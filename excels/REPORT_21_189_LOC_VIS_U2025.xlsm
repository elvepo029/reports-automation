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DAB2E854-B9A8-4F82-B542-B705BB25D19B}" xr6:coauthVersionLast="47" xr6:coauthVersionMax="47" xr10:uidLastSave="{00000000-0000-0000-0000-000000000000}"/>
  <bookViews>
    <workbookView xWindow="-3105" yWindow="-13470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<sst xmlns="http://schemas.openxmlformats.org/spreadsheetml/2006/main" count="3330" uniqueCount="836">
  <si>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</si>
  <si>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</si>
  <si>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</si>
  <si>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</si>
  <si>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</si>
  <si>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</si>
  <si>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</si>
  <si>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</si>
  <si>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</si>
  <si>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</si>
  <si>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</si>
  <si>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</si>
  <si>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</si>
  <si>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</si>
  <si>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</si>
  <si>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</si>
  <si>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</si>
  <si>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</si>
  <si>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</si>
  <si>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</si>
  <si>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</si>
  <si>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</si>
  <si>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</si>
  <si>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</si>
  <si>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</si>
  <si>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</si>
  <si>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</si>
  <si>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</si>
  <si>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</si>
  <si>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</si>
  <si>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</si>
  <si>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</si>
  <si>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</si>
  <si>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</si>
  <si>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</si>
  <si>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</si>
  <si>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</si>
  <si>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</si>
  <si>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</si>
  <si>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</si>
  <si>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</si>
  <si>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</si>
  <si>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</si>
  <si>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</si>
  <si>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</si>
  <si>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</si>
  <si>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</si>
  <si>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</si>
  <si>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</si>
  <si>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</si>
  <si>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</si>
  <si>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</si>
  <si>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</si>
  <si>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</si>
  <si>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</si>
  <si>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</si>
  <si>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</si>
  <si>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</si>
  <si>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</si>
  <si>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</si>
  <si>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</si>
  <si>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</si>
  <si>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</si>
  <si>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</si>
  <si>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</si>
  <si>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</si>
  <si>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</si>
  <si>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</si>
  <si>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</si>
  <si>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</si>
  <si>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</si>
  <si>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</si>
  <si>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</si>
  <si>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</si>
  <si>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</si>
  <si>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</si>
  <si>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</si>
  <si>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</si>
  <si>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</si>
  <si>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</si>
  <si>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</si>
  <si>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</si>
  <si>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</si>
  <si>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</si>
  <si>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</si>
  <si>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</si>
  <si>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</si>
  <si>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</si>
  <si>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</si>
  <si>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</si>
  <si>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</si>
  <si>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</si>
  <si>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</si>
  <si>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</si>
  <si>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</si>
  <si>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</si>
  <si>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</si>
  <si>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</si>
  <si>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</si>
  <si>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</si>
  <si>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</si>
  <si>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</si>
  <si>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</si>
  <si>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</si>
  <si>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</si>
  <si>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</si>
  <si>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</si>
  <si>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</si>
  <si>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</si>
  <si>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</si>
  <si>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</si>
  <si>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</si>
  <si>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</si>
  <si>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</si>
  <si>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</si>
  <si>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</si>
  <si>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</si>
  <si>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</si>
  <si>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</si>
  <si>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</si>
  <si>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</si>
  <si>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</si>
  <si>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</si>
  <si>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</si>
  <si>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</si>
  <si>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</si>
  <si>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</si>
  <si>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</si>
  <si>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</si>
  <si>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</si>
  <si>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</si>
  <si>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</si>
  <si>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</si>
  <si>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</si>
  <si>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</si>
  <si>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</si>
  <si>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</si>
  <si>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</si>
  <si>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</si>
  <si>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</si>
  <si>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</si>
  <si>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</si>
  <si>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</si>
  <si>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</si>
  <si>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</si>
  <si>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</si>
  <si>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</si>
  <si>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</si>
  <si>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</si>
  <si>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</si>
  <si>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</si>
  <si>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</si>
  <si>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</si>
  <si>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</si>
  <si>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</si>
  <si>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</si>
  <si>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</si>
  <si>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</si>
  <si>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</si>
  <si>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</si>
  <si>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</si>
  <si>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</si>
  <si>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</si>
  <si>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</si>
  <si>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</si>
  <si>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</si>
  <si>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</si>
  <si>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</si>
  <si>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</si>
  <si>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</si>
  <si>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</si>
  <si>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</si>
  <si>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</si>
  <si>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</si>
  <si>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</si>
  <si>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</si>
  <si>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</si>
  <si>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</si>
  <si>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</si>
  <si>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</si>
  <si>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</si>
  <si>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</si>
  <si>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</si>
  <si>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</si>
  <si>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</si>
  <si>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</si>
  <si>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</si>
  <si>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</si>
  <si>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</si>
  <si>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</si>
  <si>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</si>
  <si>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</si>
  <si>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</si>
  <si>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</si>
  <si>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</si>
  <si>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</si>
  <si>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</si>
  <si>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</si>
  <si>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</si>
  <si>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</si>
  <si>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</si>
  <si>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</si>
  <si>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</si>
  <si>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</si>
  <si>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</si>
  <si>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</si>
  <si>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</si>
  <si>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</si>
  <si>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</si>
  <si>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</si>
  <si>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</si>
  <si>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</si>
  <si>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</si>
  <si>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</si>
  <si>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</si>
  <si>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</si>
  <si>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</si>
  <si>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</si>
  <si>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</si>
  <si>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</si>
  <si>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</si>
  <si>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</si>
  <si>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</si>
  <si>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</si>
  <si>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</si>
  <si>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</si>
  <si>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</si>
  <si>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</si>
  <si>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</si>
  <si>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</si>
  <si>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</si>
  <si>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</si>
  <si>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</si>
  <si>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</si>
  <si>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</si>
  <si>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</si>
  <si>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</si>
  <si>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</si>
  <si>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</si>
  <si>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</si>
  <si>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</si>
  <si>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</si>
  <si>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</si>
  <si>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</si>
  <si>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</si>
  <si>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</si>
  <si>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</si>
  <si>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</si>
  <si>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</si>
  <si>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</si>
  <si>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</si>
  <si>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</si>
  <si>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</si>
  <si>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</si>
  <si>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</si>
  <si>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</si>
  <si>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</si>
  <si>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</si>
  <si>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</si>
  <si>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</si>
  <si>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</si>
  <si>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</si>
  <si>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</si>
  <si>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</si>
  <si>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</si>
  <si>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</si>
  <si>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</si>
  <si>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</si>
  <si>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</si>
  <si>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</si>
  <si>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</si>
  <si>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</si>
  <si>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</si>
  <si>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</si>
  <si>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</si>
  <si>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</si>
  <si>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</si>
  <si>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</si>
  <si>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</si>
  <si>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</si>
  <si>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</si>
  <si>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</si>
  <si>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</si>
  <si>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</si>
  <si>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</si>
  <si>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</si>
  <si>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</si>
  <si>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</si>
  <si>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</si>
  <si>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</si>
  <si>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</si>
  <si>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</si>
  <si>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</si>
  <si>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</si>
  <si>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</si>
  <si>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</si>
  <si>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</si>
  <si>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</si>
  <si>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</si>
  <si>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</si>
  <si>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</si>
  <si>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</si>
  <si>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</si>
  <si>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</si>
  <si>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</si>
  <si>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</si>
  <si>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</si>
  <si>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</si>
  <si>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</si>
  <si>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</si>
  <si>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</si>
  <si>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</si>
  <si>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</si>
  <si>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</si>
  <si>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</si>
  <si>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</si>
  <si>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</si>
  <si>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</si>
  <si>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</si>
  <si>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</si>
  <si>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</si>
  <si>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</si>
  <si>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</si>
  <si>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</si>
  <si>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</si>
  <si>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</si>
  <si>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</si>
  <si>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</si>
  <si>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</si>
  <si>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</si>
  <si>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</si>
  <si>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</si>
  <si>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</si>
  <si>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</si>
  <si>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</si>
  <si>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</si>
  <si>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</si>
  <si>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</si>
  <si>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</si>
  <si>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</si>
  <si>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</si>
  <si>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</si>
  <si>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</si>
  <si>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</si>
  <si>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</si>
  <si>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</si>
  <si>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</si>
  <si>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</si>
  <si>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</si>
  <si>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</si>
  <si>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</si>
  <si>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</si>
  <si>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</si>
  <si>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</si>
  <si>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</si>
  <si>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</si>
  <si>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</si>
  <si>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</si>
  <si>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</si>
  <si>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</si>
  <si>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</si>
  <si>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</si>
  <si>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</si>
  <si>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</si>
  <si>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</si>
  <si>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</si>
  <si>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</si>
  <si>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</si>
  <si>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</si>
  <si>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</si>
  <si>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</si>
  <si>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</si>
  <si>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</si>
  <si>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</si>
  <si>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</si>
  <si>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</si>
  <si>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</si>
  <si>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</si>
  <si>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</si>
  <si>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</si>
  <si>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</si>
  <si>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</si>
  <si>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</si>
  <si>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</si>
  <si>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</si>
  <si>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</si>
  <si>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</si>
  <si>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</si>
  <si>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</si>
  <si>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</si>
  <si>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</si>
  <si>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</si>
  <si>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</si>
  <si>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</si>
  <si>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</si>
  <si>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</si>
  <si>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</si>
  <si>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</si>
  <si>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</si>
  <si>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</si>
  <si>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</si>
  <si>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</si>
  <si>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</si>
  <si>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</si>
  <si>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</si>
  <si>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</si>
  <si>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</si>
  <si>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</si>
  <si>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</si>
  <si>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</si>
  <si>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</si>
  <si>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</si>
  <si>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</si>
  <si>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</si>
  <si>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</si>
  <si>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</si>
  <si>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</si>
  <si>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</si>
  <si>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</si>
  <si>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</si>
  <si>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</si>
  <si>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</si>
  <si>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</si>
  <si>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</si>
  <si>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</si>
  <si>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</si>
  <si>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</si>
  <si>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</si>
  <si>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</si>
  <si>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</si>
  <si>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</si>
  <si>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</si>
  <si>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</si>
  <si>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</si>
  <si>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</si>
  <si>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</si>
  <si>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</si>
  <si>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</si>
  <si>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</si>
  <si>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</si>
  <si>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</si>
  <si>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</si>
  <si>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</si>
  <si>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</si>
  <si>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</si>
  <si>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</si>
  <si>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</si>
  <si>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</si>
  <si>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</si>
  <si>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</si>
  <si>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</si>
  <si>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</si>
  <si>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</si>
  <si>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</si>
  <si>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</si>
  <si>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</si>
  <si>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</si>
  <si>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</si>
  <si>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</si>
  <si>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</si>
  <si>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</si>
  <si>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</si>
  <si>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</si>
  <si>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</si>
  <si>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</si>
  <si>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</si>
  <si>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</si>
  <si>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</si>
  <si>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</si>
  <si>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</si>
  <si>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</si>
  <si>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</si>
  <si>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</si>
  <si>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</si>
  <si>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</si>
  <si>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</si>
  <si>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</si>
  <si>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</si>
  <si>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</si>
  <si>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</si>
  <si>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</si>
  <si>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</si>
  <si>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</si>
  <si>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</si>
  <si>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</si>
  <si>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</si>
  <si>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</si>
  <si>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</si>
  <si>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</si>
  <si>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</si>
  <si>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</si>
  <si>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</si>
  <si>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</si>
  <si>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</si>
  <si>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</si>
  <si>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</si>
  <si>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</si>
  <si>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</si>
  <si>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</si>
  <si>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</si>
  <si>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</si>
  <si>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</si>
  <si>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</si>
  <si>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</si>
  <si>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</si>
  <si>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</si>
  <si>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</si>
  <si>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</si>
  <si>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</si>
  <si>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</si>
  <si>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</si>
  <si>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</si>
  <si>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</si>
  <si>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</si>
  <si>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</si>
  <si>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</si>
  <si>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</si>
  <si>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</si>
  <si>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</si>
  <si>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</si>
  <si>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</si>
  <si>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</si>
  <si>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</si>
  <si>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</si>
  <si>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</si>
  <si>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</si>
  <si>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</si>
  <si>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</si>
  <si>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</si>
  <si>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</si>
  <si>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</si>
  <si>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</si>
  <si>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</si>
  <si>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</si>
  <si>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</si>
  <si>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</si>
  <si>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</si>
  <si>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</si>
  <si>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</si>
  <si>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</si>
  <si>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</si>
  <si>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</si>
  <si>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</si>
  <si>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</si>
  <si>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</si>
  <si>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</si>
  <si>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</si>
  <si>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</si>
  <si>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</si>
  <si>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</si>
  <si>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</si>
  <si>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</si>
  <si>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</si>
  <si>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</si>
  <si>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</si>
  <si>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</si>
  <si>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</si>
  <si>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</si>
  <si>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</si>
  <si>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</si>
  <si>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</si>
  <si>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</si>
  <si>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</si>
  <si>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</si>
  <si>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</si>
  <si>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</si>
  <si>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</si>
  <si>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</si>
  <si>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</si>
  <si>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</si>
  <si>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</si>
  <si>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</si>
  <si>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</si>
  <si>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</si>
  <si>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</si>
  <si>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</si>
  <si>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</si>
  <si>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</si>
  <si>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</si>
  <si>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</si>
  <si>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</si>
  <si>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</si>
  <si>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</si>
  <si>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</si>
  <si>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</si>
  <si>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</si>
  <si>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</si>
  <si>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</si>
  <si>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</si>
  <si>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</si>
  <si>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</si>
  <si>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</si>
  <si>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</si>
  <si>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</si>
  <si>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</si>
  <si>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</si>
  <si>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</si>
  <si>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</si>
  <si>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</si>
  <si>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</si>
  <si>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</si>
  <si>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</si>
  <si>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</si>
  <si>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</si>
  <si>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</si>
  <si>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</si>
  <si>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</si>
  <si>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</si>
  <si>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</si>
  <si>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</si>
  <si>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</si>
  <si>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</si>
  <si>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</si>
  <si>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</si>
  <si>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</si>
  <si>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</si>
  <si>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</si>
  <si>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</si>
  <si>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</si>
  <si>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</si>
  <si>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</si>
  <si>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</si>
  <si>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</si>
  <si>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</si>
  <si>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</si>
  <si>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</si>
  <si>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</si>
  <si>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</si>
  <si>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</si>
  <si>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</si>
  <si>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</si>
  <si>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</si>
  <si>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</si>
  <si>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</si>
  <si>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</si>
  <si>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</si>
  <si>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</si>
  <si>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</si>
  <si>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</si>
  <si>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</si>
  <si>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</si>
  <si>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</si>
  <si>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</si>
  <si>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</si>
  <si>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</si>
  <si>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</si>
  <si>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</si>
  <si>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</si>
  <si>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</si>
  <si>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</si>
  <si>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</si>
  <si>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</si>
  <si>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</si>
  <si>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</si>
  <si>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</si>
  <si>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</si>
  <si>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</si>
  <si>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</si>
  <si>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</si>
  <si>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</si>
  <si>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</si>
  <si>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</si>
  <si>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</si>
  <si>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</si>
  <si>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</si>
  <si>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</si>
  <si>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</si>
  <si>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</si>
  <si>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</si>
  <si>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</si>
  <si>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</si>
  <si>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</si>
  <si>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</si>
  <si>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</si>
  <si>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</si>
  <si>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</si>
  <si>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</si>
  <si>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</si>
  <si>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</si>
  <si>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</si>
  <si>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</si>
  <si>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</si>
  <si>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</si>
  <si>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</si>
  <si>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</si>
  <si>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</si>
  <si>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</si>
  <si>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</si>
  <si>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</si>
  <si>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</si>
  <si>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</si>
  <si>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</si>
  <si>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</si>
  <si>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</si>
  <si>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</si>
  <si>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</si>
  <si>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</si>
  <si>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</si>
  <si>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</si>
  <si>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</si>
  <si>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</si>
  <si>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</si>
  <si>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</si>
  <si>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</si>
  <si>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</si>
  <si>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</si>
  <si>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</si>
  <si>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</si>
  <si>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</si>
  <si>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</si>
  <si>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</si>
  <si>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</si>
  <si>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</si>
  <si>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</si>
  <si>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</si>
  <si>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</si>
  <si>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</si>
  <si>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</si>
  <si>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</si>
  <si>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</si>
  <si>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</si>
  <si>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</si>
  <si>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</si>
  <si>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</si>
  <si>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</si>
  <si>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</si>
  <si>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</si>
  <si>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</si>
  <si>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</si>
  <si>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</si>
  <si>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</si>
  <si>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</si>
  <si>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</si>
  <si>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</si>
  <si>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</si>
  <si>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</si>
  <si>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</si>
  <si>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</si>
  <si>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</si>
  <si>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</si>
  <si>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</si>
  <si>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</si>
  <si>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</si>
  <si>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</si>
  <si>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</si>
  <si>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</si>
  <si>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</si>
  <si>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</si>
  <si>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</si>
  <si>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</si>
  <si>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</si>
  <si>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</si>
  <si>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</si>
  <si>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</si>
  <si>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</si>
  <si>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</si>
  <si>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</si>
  <si>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</si>
  <si>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</si>
  <si>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</si>
  <si>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</si>
  <si>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</si>
  <si>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</si>
  <si>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</si>
  <si>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</si>
  <si>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</si>
  <si>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</si>
  <si>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</si>
  <si>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</si>
  <si>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</si>
  <si>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</si>
  <si>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</si>
  <si>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</si>
  <si>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</si>
  <si>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</si>
  <si>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</si>
  <si>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</si>
  <si>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</si>
  <si>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</si>
  <si>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</si>
  <si>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</si>
  <si>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</si>
  <si>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</si>
  <si>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</si>
  <si>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</si>
  <si>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</si>
  <si>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</si>
  <si>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</si>
  <si>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</si>
  <si>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</si>
  <si>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</si>
  <si>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</si>
  <si>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</si>
  <si>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</si>
  <si>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</si>
  <si>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</si>
  <si>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</si>
  <si>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</si>
  <si>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</si>
  <si>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</si>
  <si>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</si>
  <si>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</si>
  <si>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</si>
  <si>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</si>
  <si>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</si>
  <si>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</si>
  <si>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</si>
  <si>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</si>
  <si>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</si>
  <si>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</si>
  <si>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</si>
  <si>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</si>
  <si>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</si>
  <si>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</si>
  <si>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</si>
  <si>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</si>
  <si>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</si>
  <si>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</si>
  <si>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</si>
  <si>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</si>
  <si>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</si>
  <si>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</si>
  <si>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</si>
  <si>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</si>
  <si>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</si>
  <si>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</si>
  <si>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C:\temp</t>
  </si>
  <si>
    <t>LOCAL</t>
  </si>
  <si>
    <t>VISITANTE</t>
  </si>
  <si>
    <t>D ENTRY</t>
  </si>
  <si>
    <t>CALLER 1</t>
  </si>
  <si>
    <t>CALLER 2</t>
  </si>
  <si>
    <t>TIMEK</t>
  </si>
  <si>
    <t>SHOTC</t>
  </si>
  <si>
    <t>USC MAN</t>
  </si>
  <si>
    <t>C:\TEMP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</si>
</sst>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1" sqref="C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>
        <v>21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21_189_LOC_VIS_U2025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835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189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 t="s">
        <v>825</v>
      </c>
      <c r="C3" s="178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">
        <v>827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LOC</v>
      </c>
      <c r="I4" s="5"/>
      <c r="J4" s="119" t="s">
        <v>714</v>
      </c>
      <c r="K4" s="54" t="s">
        <v>742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">
        <v>828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830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831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832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834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/>
      <c r="C17" s="31"/>
      <c r="D17" s="32"/>
      <c r="E17" s="33"/>
      <c r="F17" s="36"/>
      <c r="G17" s="36"/>
      <c r="H17" s="38"/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2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3">COUNTIF($L$17:$L$106,AB17)</f>
        <v>0</v>
      </c>
      <c r="AD17" s="61">
        <f t="shared" ref="AD17:AD25" si="4">P17</f>
        <v>10</v>
      </c>
      <c r="AE17" s="66" t="s">
        <v>11</v>
      </c>
      <c r="AF17" s="65">
        <f t="shared" ref="AF17:AF48" si="5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/>
      <c r="C18" s="31"/>
      <c r="D18" s="32"/>
      <c r="E18" s="33"/>
      <c r="F18" s="36"/>
      <c r="G18" s="36"/>
      <c r="H18" s="38"/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2"/>
        <v>0</v>
      </c>
      <c r="R18" s="5" t="s">
        <v>171</v>
      </c>
      <c r="U18" s="66" t="s">
        <v>21</v>
      </c>
      <c r="V18" s="65">
        <f t="shared" ref="V18:V24" si="6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3"/>
        <v>0</v>
      </c>
      <c r="AD18" s="61">
        <f t="shared" si="4"/>
        <v>0.5</v>
      </c>
      <c r="AE18" s="66" t="s">
        <v>12</v>
      </c>
      <c r="AF18" s="65">
        <f t="shared" si="5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/>
      <c r="C19" s="31"/>
      <c r="D19" s="32"/>
      <c r="E19" s="33"/>
      <c r="F19" s="36"/>
      <c r="G19" s="36"/>
      <c r="H19" s="38"/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2"/>
        <v>0</v>
      </c>
      <c r="R19" s="5" t="s">
        <v>172</v>
      </c>
      <c r="U19" s="66" t="s">
        <v>8</v>
      </c>
      <c r="V19" s="65">
        <f t="shared" si="6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3"/>
        <v>0</v>
      </c>
      <c r="AD19" s="61">
        <f t="shared" si="4"/>
        <v>15</v>
      </c>
      <c r="AE19" s="66" t="s">
        <v>19</v>
      </c>
      <c r="AF19" s="65">
        <f t="shared" si="5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ref="B17:B48" si="7">IF(C20="","",$B$2)</f>
        <v/>
      </c>
      <c r="C20" s="31" t="str">
        <f t="shared" ref="C17:C48" si="8">IF(I20="","",$C$2)</f>
        <v/>
      </c>
      <c r="D20" s="32"/>
      <c r="E20" s="33"/>
      <c r="F20" s="36"/>
      <c r="G20" s="36"/>
      <c r="H20" s="38" t="str">
        <f t="shared" ref="H19:H81" si="9">IF(I20="","",$I$14)</f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2"/>
        <v>0</v>
      </c>
      <c r="R20" s="5" t="s">
        <v>171</v>
      </c>
      <c r="U20" s="66" t="s">
        <v>29</v>
      </c>
      <c r="V20" s="65">
        <f t="shared" si="6"/>
        <v>0</v>
      </c>
      <c r="X20" s="82"/>
      <c r="Y20" s="83"/>
      <c r="Z20" s="88"/>
      <c r="AA20" s="65"/>
      <c r="AB20" s="66" t="s">
        <v>24</v>
      </c>
      <c r="AC20" s="61">
        <f t="shared" si="3"/>
        <v>0</v>
      </c>
      <c r="AD20" s="61">
        <f t="shared" si="4"/>
        <v>10</v>
      </c>
      <c r="AE20" s="66" t="s">
        <v>168</v>
      </c>
      <c r="AF20" s="65">
        <f t="shared" si="5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7"/>
        <v/>
      </c>
      <c r="C21" s="31" t="str">
        <f t="shared" si="8"/>
        <v/>
      </c>
      <c r="D21" s="32"/>
      <c r="E21" s="33"/>
      <c r="F21" s="36"/>
      <c r="G21" s="36"/>
      <c r="H21" s="38" t="str">
        <f t="shared" si="9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2"/>
        <v>0</v>
      </c>
      <c r="R21" s="5" t="s">
        <v>172</v>
      </c>
      <c r="U21" s="66" t="s">
        <v>31</v>
      </c>
      <c r="V21" s="65">
        <f t="shared" si="6"/>
        <v>0</v>
      </c>
      <c r="X21" s="82"/>
      <c r="Y21" s="83"/>
      <c r="Z21" s="105"/>
      <c r="AA21" s="65"/>
      <c r="AB21" s="66" t="s">
        <v>46</v>
      </c>
      <c r="AC21" s="61">
        <f t="shared" si="3"/>
        <v>0</v>
      </c>
      <c r="AD21" s="61">
        <f t="shared" si="4"/>
        <v>5</v>
      </c>
      <c r="AE21" s="66" t="s">
        <v>20</v>
      </c>
      <c r="AF21" s="65">
        <f t="shared" si="5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7"/>
        <v/>
      </c>
      <c r="C22" s="31" t="str">
        <f t="shared" si="8"/>
        <v/>
      </c>
      <c r="D22" s="32"/>
      <c r="E22" s="33"/>
      <c r="F22" s="36"/>
      <c r="G22" s="36"/>
      <c r="H22" s="38" t="str">
        <f t="shared" si="9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2"/>
        <v>0</v>
      </c>
      <c r="R22" s="5"/>
      <c r="U22" s="66" t="s">
        <v>32</v>
      </c>
      <c r="V22" s="65">
        <f t="shared" si="6"/>
        <v>0</v>
      </c>
      <c r="X22" s="82"/>
      <c r="Y22" s="83"/>
      <c r="Z22" s="105"/>
      <c r="AA22" s="65"/>
      <c r="AB22" s="66" t="s">
        <v>6</v>
      </c>
      <c r="AC22" s="61">
        <f t="shared" si="3"/>
        <v>0</v>
      </c>
      <c r="AD22" s="61">
        <f t="shared" si="4"/>
        <v>1</v>
      </c>
      <c r="AE22" s="66" t="s">
        <v>167</v>
      </c>
      <c r="AF22" s="65">
        <f t="shared" si="5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7"/>
        <v/>
      </c>
      <c r="C23" s="31" t="str">
        <f t="shared" si="8"/>
        <v/>
      </c>
      <c r="D23" s="32"/>
      <c r="E23" s="33"/>
      <c r="F23" s="36"/>
      <c r="G23" s="36"/>
      <c r="H23" s="38" t="str">
        <f t="shared" si="9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2"/>
        <v>0</v>
      </c>
      <c r="R23" s="5"/>
      <c r="U23" s="66" t="s">
        <v>33</v>
      </c>
      <c r="V23" s="65">
        <f t="shared" si="6"/>
        <v>0</v>
      </c>
      <c r="X23" s="82"/>
      <c r="Y23" s="83"/>
      <c r="Z23" s="105"/>
      <c r="AA23" s="65"/>
      <c r="AB23" s="66" t="s">
        <v>7</v>
      </c>
      <c r="AC23" s="61">
        <f t="shared" si="3"/>
        <v>0</v>
      </c>
      <c r="AD23" s="61">
        <f t="shared" si="4"/>
        <v>2.5</v>
      </c>
      <c r="AE23" s="66" t="s">
        <v>21</v>
      </c>
      <c r="AF23" s="65">
        <f t="shared" si="5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7"/>
        <v/>
      </c>
      <c r="C24" s="31" t="str">
        <f t="shared" si="8"/>
        <v/>
      </c>
      <c r="D24" s="32"/>
      <c r="E24" s="33"/>
      <c r="F24" s="36"/>
      <c r="G24" s="36"/>
      <c r="H24" s="38" t="str">
        <f t="shared" si="9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2"/>
        <v>0</v>
      </c>
      <c r="R24" s="5" t="s">
        <v>171</v>
      </c>
      <c r="U24" s="66" t="s">
        <v>40</v>
      </c>
      <c r="V24" s="65">
        <f t="shared" si="6"/>
        <v>0</v>
      </c>
      <c r="X24" s="82"/>
      <c r="Y24" s="83"/>
      <c r="Z24" s="105"/>
      <c r="AA24" s="65"/>
      <c r="AB24" s="66" t="s">
        <v>47</v>
      </c>
      <c r="AC24" s="61">
        <f t="shared" si="3"/>
        <v>0</v>
      </c>
      <c r="AD24" s="61">
        <f t="shared" si="4"/>
        <v>1</v>
      </c>
      <c r="AE24" s="66" t="s">
        <v>8</v>
      </c>
      <c r="AF24" s="65">
        <f t="shared" si="5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7"/>
        <v/>
      </c>
      <c r="C25" s="31" t="str">
        <f t="shared" si="8"/>
        <v/>
      </c>
      <c r="D25" s="32"/>
      <c r="E25" s="33"/>
      <c r="F25" s="36"/>
      <c r="G25" s="36"/>
      <c r="H25" s="38" t="str">
        <f t="shared" si="9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2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3"/>
        <v>0</v>
      </c>
      <c r="AD25" s="61">
        <f t="shared" si="4"/>
        <v>2</v>
      </c>
      <c r="AE25" s="66" t="s">
        <v>22</v>
      </c>
      <c r="AF25" s="65">
        <f t="shared" si="5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7"/>
        <v/>
      </c>
      <c r="C26" s="31" t="str">
        <f t="shared" si="8"/>
        <v/>
      </c>
      <c r="D26" s="32"/>
      <c r="E26" s="33"/>
      <c r="F26" s="36"/>
      <c r="G26" s="36"/>
      <c r="H26" s="38" t="str">
        <f t="shared" si="9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2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3"/>
        <v>0</v>
      </c>
      <c r="AD26" s="61">
        <v>20</v>
      </c>
      <c r="AE26" s="66" t="s">
        <v>23</v>
      </c>
      <c r="AF26" s="65">
        <f t="shared" si="5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7"/>
        <v/>
      </c>
      <c r="C27" s="31" t="str">
        <f t="shared" si="8"/>
        <v/>
      </c>
      <c r="D27" s="32"/>
      <c r="E27" s="33"/>
      <c r="F27" s="36"/>
      <c r="G27" s="36"/>
      <c r="H27" s="38" t="str">
        <f t="shared" si="9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2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3"/>
        <v>0</v>
      </c>
      <c r="AD27" s="61">
        <f>P27</f>
        <v>5</v>
      </c>
      <c r="AE27" s="66" t="s">
        <v>24</v>
      </c>
      <c r="AF27" s="65">
        <f t="shared" si="5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7"/>
        <v/>
      </c>
      <c r="C28" s="31" t="str">
        <f t="shared" si="8"/>
        <v/>
      </c>
      <c r="D28" s="32"/>
      <c r="E28" s="33"/>
      <c r="F28" s="36"/>
      <c r="G28" s="36"/>
      <c r="H28" s="38" t="str">
        <f t="shared" si="9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2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3"/>
        <v>0</v>
      </c>
      <c r="AD28" s="61">
        <f>P28</f>
        <v>10</v>
      </c>
      <c r="AE28" s="66" t="s">
        <v>46</v>
      </c>
      <c r="AF28" s="65">
        <f t="shared" si="5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7"/>
        <v/>
      </c>
      <c r="C29" s="31" t="str">
        <f t="shared" si="8"/>
        <v/>
      </c>
      <c r="D29" s="32"/>
      <c r="E29" s="33"/>
      <c r="F29" s="36"/>
      <c r="G29" s="36"/>
      <c r="H29" s="38" t="str">
        <f t="shared" si="9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2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3"/>
        <v>0</v>
      </c>
      <c r="AD29" s="61">
        <f>P29</f>
        <v>1</v>
      </c>
      <c r="AE29" s="66" t="s">
        <v>25</v>
      </c>
      <c r="AF29" s="65">
        <f t="shared" si="5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7"/>
        <v/>
      </c>
      <c r="C30" s="31" t="str">
        <f t="shared" si="8"/>
        <v/>
      </c>
      <c r="D30" s="32"/>
      <c r="E30" s="33"/>
      <c r="F30" s="36"/>
      <c r="G30" s="36"/>
      <c r="H30" s="38" t="str">
        <f t="shared" si="9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2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5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7"/>
        <v/>
      </c>
      <c r="C31" s="31" t="str">
        <f t="shared" si="8"/>
        <v/>
      </c>
      <c r="D31" s="32"/>
      <c r="E31" s="33"/>
      <c r="F31" s="36"/>
      <c r="G31" s="36"/>
      <c r="H31" s="38" t="str">
        <f t="shared" si="9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2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5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7"/>
        <v/>
      </c>
      <c r="C32" s="31" t="str">
        <f t="shared" si="8"/>
        <v/>
      </c>
      <c r="D32" s="32"/>
      <c r="E32" s="33"/>
      <c r="F32" s="36"/>
      <c r="G32" s="36"/>
      <c r="H32" s="38" t="str">
        <f t="shared" si="9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2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5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7"/>
        <v/>
      </c>
      <c r="C33" s="31" t="str">
        <f t="shared" si="8"/>
        <v/>
      </c>
      <c r="D33" s="32"/>
      <c r="E33" s="33"/>
      <c r="F33" s="36"/>
      <c r="G33" s="36"/>
      <c r="H33" s="38" t="str">
        <f t="shared" si="9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2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5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7"/>
        <v/>
      </c>
      <c r="C34" s="31" t="str">
        <f t="shared" si="8"/>
        <v/>
      </c>
      <c r="D34" s="32"/>
      <c r="E34" s="33"/>
      <c r="F34" s="36"/>
      <c r="G34" s="36"/>
      <c r="H34" s="38" t="str">
        <f t="shared" si="9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2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5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7"/>
        <v/>
      </c>
      <c r="C35" s="31" t="str">
        <f t="shared" si="8"/>
        <v/>
      </c>
      <c r="D35" s="32"/>
      <c r="E35" s="33"/>
      <c r="F35" s="36"/>
      <c r="G35" s="36"/>
      <c r="H35" s="38" t="str">
        <f t="shared" si="9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2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5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7"/>
        <v/>
      </c>
      <c r="C36" s="31" t="str">
        <f t="shared" si="8"/>
        <v/>
      </c>
      <c r="D36" s="32"/>
      <c r="E36" s="33"/>
      <c r="F36" s="36"/>
      <c r="G36" s="36"/>
      <c r="H36" s="38" t="str">
        <f t="shared" si="9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2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5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7"/>
        <v/>
      </c>
      <c r="C37" s="31" t="str">
        <f t="shared" si="8"/>
        <v/>
      </c>
      <c r="D37" s="32"/>
      <c r="E37" s="33"/>
      <c r="F37" s="36"/>
      <c r="G37" s="36"/>
      <c r="H37" s="38" t="str">
        <f t="shared" si="9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2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5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7"/>
        <v/>
      </c>
      <c r="C38" s="31" t="str">
        <f t="shared" si="8"/>
        <v/>
      </c>
      <c r="D38" s="32"/>
      <c r="E38" s="33"/>
      <c r="F38" s="36"/>
      <c r="G38" s="36"/>
      <c r="H38" s="38" t="str">
        <f t="shared" si="9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2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5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7"/>
        <v/>
      </c>
      <c r="C39" s="31" t="str">
        <f t="shared" si="8"/>
        <v/>
      </c>
      <c r="D39" s="32"/>
      <c r="E39" s="33"/>
      <c r="F39" s="36"/>
      <c r="G39" s="36"/>
      <c r="H39" s="38" t="str">
        <f t="shared" si="9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2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5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7"/>
        <v/>
      </c>
      <c r="C40" s="31" t="str">
        <f t="shared" si="8"/>
        <v/>
      </c>
      <c r="D40" s="32"/>
      <c r="E40" s="33"/>
      <c r="F40" s="36"/>
      <c r="G40" s="36"/>
      <c r="H40" s="38" t="str">
        <f t="shared" si="9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2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5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7"/>
        <v/>
      </c>
      <c r="C41" s="31" t="str">
        <f t="shared" si="8"/>
        <v/>
      </c>
      <c r="D41" s="32"/>
      <c r="E41" s="33"/>
      <c r="F41" s="36"/>
      <c r="G41" s="36"/>
      <c r="H41" s="38" t="str">
        <f t="shared" si="9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2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5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7"/>
        <v/>
      </c>
      <c r="C42" s="31" t="str">
        <f t="shared" si="8"/>
        <v/>
      </c>
      <c r="D42" s="32"/>
      <c r="E42" s="33"/>
      <c r="F42" s="36"/>
      <c r="G42" s="36"/>
      <c r="H42" s="38" t="str">
        <f t="shared" si="9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2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5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7"/>
        <v/>
      </c>
      <c r="C43" s="31" t="str">
        <f t="shared" si="8"/>
        <v/>
      </c>
      <c r="D43" s="32"/>
      <c r="E43" s="33"/>
      <c r="F43" s="36"/>
      <c r="G43" s="36"/>
      <c r="H43" s="38" t="str">
        <f t="shared" si="9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2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5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7"/>
        <v/>
      </c>
      <c r="C44" s="31" t="str">
        <f t="shared" si="8"/>
        <v/>
      </c>
      <c r="D44" s="32"/>
      <c r="E44" s="33"/>
      <c r="F44" s="36"/>
      <c r="G44" s="36"/>
      <c r="H44" s="38" t="str">
        <f t="shared" si="9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2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5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7"/>
        <v/>
      </c>
      <c r="C45" s="31" t="str">
        <f t="shared" si="8"/>
        <v/>
      </c>
      <c r="D45" s="32"/>
      <c r="E45" s="33"/>
      <c r="F45" s="36"/>
      <c r="G45" s="36"/>
      <c r="H45" s="38" t="str">
        <f t="shared" si="9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2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5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7"/>
        <v/>
      </c>
      <c r="C46" s="31" t="str">
        <f t="shared" si="8"/>
        <v/>
      </c>
      <c r="D46" s="32"/>
      <c r="E46" s="33"/>
      <c r="F46" s="36"/>
      <c r="G46" s="36"/>
      <c r="H46" s="38" t="str">
        <f t="shared" si="9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2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5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7"/>
        <v/>
      </c>
      <c r="C47" s="31" t="str">
        <f t="shared" si="8"/>
        <v/>
      </c>
      <c r="D47" s="32"/>
      <c r="E47" s="33"/>
      <c r="F47" s="36"/>
      <c r="G47" s="36"/>
      <c r="H47" s="38" t="str">
        <f t="shared" si="9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2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5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7"/>
        <v/>
      </c>
      <c r="C48" s="31" t="str">
        <f t="shared" si="8"/>
        <v/>
      </c>
      <c r="D48" s="32"/>
      <c r="E48" s="33"/>
      <c r="F48" s="36"/>
      <c r="G48" s="36"/>
      <c r="H48" s="38" t="str">
        <f t="shared" si="9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2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5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9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9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9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9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9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9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9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9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9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9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9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9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9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9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9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9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9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9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9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9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9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9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9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9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9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9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9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9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9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9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9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9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9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REPORT_U2025189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"U2025189"</v>
      </c>
      <c r="F3" s="45" t="str">
        <f t="shared" ref="F3:F16" si="0">""""&amp;B3&amp;"""" &amp; " : " &amp;C3&amp;","</f>
        <v>"name" : "U2025189",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"U189"</v>
      </c>
      <c r="F4" s="45" t="str">
        <f t="shared" si="0"/>
        <v>"cod" : "U189",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189</v>
      </c>
      <c r="F6" s="45" t="str">
        <f t="shared" si="0"/>
        <v>"number" : 189,</v>
      </c>
    </row>
    <row r="7" spans="2:6" x14ac:dyDescent="0.2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">
      <c r="B8" s="43" t="s">
        <v>125</v>
      </c>
      <c r="C8" s="43" t="str">
        <f>""""&amp;'SCOUT &amp; LOGISTICS'!D4 &amp;""""</f>
        <v>"LOCAL"</v>
      </c>
      <c r="F8" s="45" t="str">
        <f t="shared" si="0"/>
        <v>"home_team" : "LOCAL",</v>
      </c>
    </row>
    <row r="9" spans="2:6" x14ac:dyDescent="0.2">
      <c r="B9" s="43" t="s">
        <v>126</v>
      </c>
      <c r="C9" s="43" t="str">
        <f>""""&amp;'SCOUT &amp; LOGISTICS'!D5&amp;""""</f>
        <v>"VISITANTE"</v>
      </c>
      <c r="F9" s="45" t="str">
        <f t="shared" si="0"/>
        <v>"away_team" : "VISITANTE",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 ENTRY"</v>
      </c>
      <c r="F10" s="45" t="str">
        <f t="shared" si="0"/>
        <v>"Data_entry" : "D ENTRY",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1"</v>
      </c>
      <c r="F11" s="45" t="str">
        <f t="shared" si="0"/>
        <v>"Caller_1" : "CALLER 1",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2"</v>
      </c>
      <c r="F12" s="45" t="str">
        <f t="shared" si="0"/>
        <v>"Caller_2" : "CALLER 2",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"TIMEK"</v>
      </c>
      <c r="F13" s="45" t="str">
        <f t="shared" si="0"/>
        <v>"Timerkeeper" : "TIMEK",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"SHOTC"</v>
      </c>
      <c r="F14" s="45" t="str">
        <f t="shared" si="0"/>
        <v>"Shotclock" : "SHOTC",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"USC MAN"</v>
      </c>
      <c r="F16" s="45" t="str">
        <f t="shared" si="0"/>
        <v>"Live_Game_Manager" : "USC MAN",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21_189_LOC_VIS_U2025</v>
      </c>
      <c r="F52" s="45" t="str">
        <f>""""&amp;B52&amp;"""" &amp; " : " &amp;C52</f>
        <v>"result" : 21_189_LOC_VIS_U2025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U189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>"DATE: " &amp; TEXT('SCOUT &amp; LOGISTICS'!B3,"dd/mm")</f>
        <v>DATE: Date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Local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Visitante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 ENTRY</v>
      </c>
      <c r="C8" s="201"/>
      <c r="D8" s="201"/>
      <c r="E8" s="201"/>
      <c r="F8" s="201"/>
      <c r="G8" s="201" t="str">
        <f>IF('SCOUT &amp; LOGISTICS'!D7="","",'SCOUT &amp; LOGISTICS'!D7)</f>
        <v>CALLER 1</v>
      </c>
      <c r="H8" s="201"/>
      <c r="I8" s="201"/>
      <c r="J8" s="201"/>
      <c r="K8" s="201"/>
      <c r="L8" s="201" t="str">
        <f>IF('SCOUT &amp; LOGISTICS'!D8="","",'SCOUT &amp; LOGISTICS'!D8)</f>
        <v>CALLER 2</v>
      </c>
      <c r="M8" s="201"/>
      <c r="N8" s="201"/>
      <c r="O8" s="201"/>
      <c r="P8" s="201"/>
      <c r="Q8" s="201" t="str">
        <f>IF('SCOUT &amp; LOGISTICS'!D9="","",'SCOUT &amp; LOGISTICS'!D9)</f>
        <v>TIMEK</v>
      </c>
      <c r="R8" s="201"/>
      <c r="S8" s="201"/>
      <c r="T8" s="201"/>
      <c r="U8" s="201"/>
      <c r="V8" s="201" t="str">
        <f>IF('SCOUT &amp; LOGISTICS'!D10="","",'SCOUT &amp; LOGISTICS'!D10)</f>
        <v>SHOTC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USC MAN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2026-04-03T18:22:27Z</cp:lastPrinted>
  <dcterms:created xsi:type="dcterms:W3CDTF">2023-09-19T19:50:35Z</dcterms:created>
  <dcterms:modified xsi:type="dcterms:W3CDTF">2026-04-03T18:23:54Z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