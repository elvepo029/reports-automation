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22" documentId="8_{E3575B49-27A3-4330-AF69-626604465C3E}" xr6:coauthVersionLast="47" xr6:coauthVersionMax="47" xr10:uidLastSave="{10D01936-0A4D-4CA8-A3F8-4E997AE8D16F}"/>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<sst xmlns="http://schemas.openxmlformats.org/spreadsheetml/2006/main" count="3290" uniqueCount="773">
  <si>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</si>
  <si>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</si>
  <si>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</si>
  <si>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</si>
  <si>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</si>
  <si>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</si>
  <si>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</si>
  <si>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</si>
  <si>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</si>
  <si>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</si>
  <si>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</si>
  <si>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</si>
  <si>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</si>
  <si>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</si>
  <si>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</si>
  <si>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</si>
  <si>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</si>
  <si>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</si>
  <si>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</si>
  <si>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</si>
  <si>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</si>
  <si>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</si>
  <si>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</si>
  <si>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</si>
  <si>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</si>
  <si>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</si>
  <si>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</si>
  <si>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</si>
  <si>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</si>
  <si>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</si>
  <si>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</si>
  <si>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</si>
  <si>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</si>
  <si>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</si>
  <si>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</si>
  <si>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</si>
  <si>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</si>
  <si>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</si>
  <si>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</si>
  <si>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</si>
  <si>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</si>
  <si>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</si>
  <si>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</si>
  <si>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</si>
  <si>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</si>
  <si>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</si>
  <si>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</si>
  <si>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</si>
  <si>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</si>
  <si>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</si>
  <si>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</si>
  <si>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</si>
  <si>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</si>
  <si>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</si>
  <si>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</si>
  <si>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</si>
  <si>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</si>
  <si>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</si>
  <si>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</si>
  <si>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</si>
  <si>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</si>
  <si>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</si>
  <si>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</si>
  <si>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</si>
  <si>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</si>
  <si>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</si>
  <si>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</si>
  <si>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</si>
  <si>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</si>
  <si>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</si>
  <si>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</si>
  <si>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</si>
  <si>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</si>
  <si>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</si>
  <si>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</si>
  <si>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</si>
  <si>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</si>
  <si>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</si>
  <si>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</si>
  <si>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</si>
  <si>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</si>
  <si>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</si>
  <si>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</si>
  <si>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</si>
  <si>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</si>
  <si>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</si>
  <si>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</si>
  <si>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</si>
  <si>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</si>
  <si>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</si>
  <si>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</si>
  <si>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</si>
  <si>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</si>
  <si>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</si>
  <si>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</si>
  <si>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</si>
  <si>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</si>
  <si>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</si>
  <si>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</si>
  <si>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</si>
  <si>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</si>
  <si>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</si>
  <si>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</si>
  <si>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</si>
  <si>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</si>
  <si>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</si>
  <si>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</si>
  <si>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</si>
  <si>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</si>
  <si>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</si>
  <si>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</si>
  <si>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</si>
  <si>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</si>
  <si>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</si>
  <si>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</si>
  <si>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</si>
  <si>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</si>
  <si>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</si>
  <si>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</si>
  <si>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</si>
  <si>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</si>
  <si>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</si>
  <si>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</si>
  <si>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</si>
  <si>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</si>
  <si>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</si>
  <si>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</si>
  <si>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</si>
  <si>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</si>
  <si>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</si>
  <si>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</si>
  <si>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</si>
  <si>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</si>
  <si>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</si>
  <si>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</si>
  <si>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</si>
  <si>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</si>
  <si>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</si>
  <si>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</si>
  <si>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</si>
  <si>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</si>
  <si>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</si>
  <si>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</si>
  <si>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</si>
  <si>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</si>
  <si>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</si>
  <si>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</si>
  <si>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</si>
  <si>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</si>
  <si>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</si>
  <si>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</si>
  <si>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</si>
  <si>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</si>
  <si>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</si>
  <si>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</si>
  <si>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</si>
  <si>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</si>
  <si>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</si>
  <si>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</si>
  <si>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</si>
  <si>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</si>
  <si>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</si>
  <si>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</si>
  <si>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</si>
  <si>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</si>
  <si>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</si>
  <si>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</si>
  <si>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</si>
  <si>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</si>
  <si>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</si>
  <si>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</si>
  <si>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</si>
  <si>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</si>
  <si>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</si>
  <si>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</si>
  <si>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</si>
  <si>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</si>
  <si>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</si>
  <si>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</si>
  <si>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</si>
  <si>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</si>
  <si>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</si>
  <si>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</si>
  <si>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</si>
  <si>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</si>
  <si>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</si>
  <si>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</si>
  <si>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</si>
  <si>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</si>
  <si>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</si>
  <si>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</si>
  <si>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</si>
  <si>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</si>
  <si>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</si>
  <si>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</si>
  <si>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</si>
  <si>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</si>
  <si>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</si>
  <si>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</si>
  <si>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</si>
  <si>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</si>
  <si>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</si>
  <si>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</si>
  <si>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</si>
  <si>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</si>
  <si>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</si>
  <si>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</si>
  <si>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</si>
  <si>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</si>
  <si>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</si>
  <si>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</si>
  <si>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</si>
  <si>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</si>
  <si>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</si>
  <si>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</si>
  <si>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</si>
  <si>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</si>
  <si>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</si>
  <si>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</si>
  <si>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</si>
  <si>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</si>
  <si>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</si>
  <si>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</si>
  <si>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</si>
  <si>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</si>
  <si>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</si>
  <si>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</si>
  <si>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</si>
  <si>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</si>
  <si>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</si>
  <si>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</si>
  <si>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</si>
  <si>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</si>
  <si>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</si>
  <si>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</si>
  <si>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</si>
  <si>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</si>
  <si>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</si>
  <si>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</si>
  <si>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</si>
  <si>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</si>
  <si>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</si>
  <si>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</si>
  <si>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</si>
  <si>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</si>
  <si>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</si>
  <si>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</si>
  <si>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</si>
  <si>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</si>
  <si>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</si>
  <si>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</si>
  <si>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</si>
  <si>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</si>
  <si>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</si>
  <si>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</si>
  <si>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</si>
  <si>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</si>
  <si>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</si>
  <si>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</si>
  <si>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</si>
  <si>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</si>
  <si>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</si>
  <si>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</si>
  <si>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</si>
  <si>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</si>
  <si>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</si>
  <si>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</si>
  <si>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</si>
  <si>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</si>
  <si>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</si>
  <si>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</si>
  <si>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</si>
  <si>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</si>
  <si>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</si>
  <si>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</si>
  <si>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</si>
  <si>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</si>
  <si>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</si>
  <si>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</si>
  <si>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</si>
  <si>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</si>
  <si>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</si>
  <si>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</si>
  <si>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</si>
  <si>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</si>
  <si>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</si>
  <si>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</si>
  <si>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</si>
  <si>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</si>
  <si>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</si>
  <si>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</si>
  <si>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</si>
  <si>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</si>
  <si>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</si>
  <si>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</si>
  <si>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</si>
  <si>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</si>
  <si>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</si>
  <si>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</si>
  <si>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</si>
  <si>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</si>
  <si>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</si>
  <si>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</si>
  <si>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</si>
  <si>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</si>
  <si>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</si>
  <si>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</si>
  <si>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</si>
  <si>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</si>
  <si>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</si>
  <si>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</si>
  <si>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</si>
  <si>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</si>
  <si>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</si>
  <si>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</si>
  <si>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</si>
  <si>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</si>
  <si>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</si>
  <si>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</si>
  <si>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</si>
  <si>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</si>
  <si>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</si>
  <si>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</si>
  <si>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</si>
  <si>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</si>
  <si>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</si>
  <si>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</si>
  <si>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</si>
  <si>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</si>
  <si>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</si>
  <si>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</si>
  <si>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</si>
  <si>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</si>
  <si>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</si>
  <si>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</si>
  <si>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</si>
  <si>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</si>
  <si>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</si>
  <si>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</si>
  <si>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</si>
  <si>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</si>
  <si>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</si>
  <si>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</si>
  <si>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</si>
  <si>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</si>
  <si>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</si>
  <si>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</si>
  <si>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</si>
  <si>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</si>
  <si>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</si>
  <si>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</si>
  <si>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</si>
  <si>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</si>
  <si>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</si>
  <si>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</si>
  <si>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</si>
  <si>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</si>
  <si>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</si>
  <si>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</si>
  <si>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</si>
  <si>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</si>
  <si>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</si>
  <si>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</si>
  <si>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</si>
  <si>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</si>
  <si>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</si>
  <si>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</si>
  <si>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</si>
  <si>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</si>
  <si>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</si>
  <si>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</si>
  <si>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</si>
  <si>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</si>
  <si>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</si>
  <si>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</si>
  <si>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</si>
  <si>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</si>
  <si>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</si>
  <si>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</si>
  <si>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</si>
  <si>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</si>
  <si>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</si>
  <si>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</si>
  <si>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</si>
  <si>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</si>
  <si>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</si>
  <si>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</si>
  <si>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</si>
  <si>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</si>
  <si>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</si>
  <si>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</si>
  <si>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</si>
  <si>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</si>
  <si>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</si>
  <si>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</si>
  <si>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</si>
  <si>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</si>
  <si>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</si>
  <si>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</si>
  <si>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</si>
  <si>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</si>
  <si>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</si>
  <si>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</si>
  <si>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</si>
  <si>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</si>
  <si>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</si>
  <si>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</si>
  <si>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</si>
  <si>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</si>
  <si>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</si>
  <si>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</si>
  <si>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</si>
  <si>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</si>
  <si>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</si>
  <si>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</si>
  <si>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</si>
  <si>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</si>
  <si>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</si>
  <si>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</si>
  <si>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</si>
  <si>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</si>
  <si>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</si>
  <si>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</si>
  <si>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</si>
  <si>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</si>
  <si>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</si>
  <si>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</si>
  <si>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</si>
  <si>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</si>
  <si>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</si>
  <si>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</si>
  <si>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</si>
  <si>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</si>
  <si>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</si>
  <si>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</si>
  <si>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</si>
  <si>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</si>
  <si>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</si>
  <si>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</si>
  <si>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</si>
  <si>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</si>
  <si>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</si>
  <si>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</si>
  <si>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</si>
  <si>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</si>
  <si>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</si>
  <si>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</si>
  <si>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</si>
  <si>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</si>
  <si>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</si>
  <si>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</si>
  <si>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</si>
  <si>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</si>
  <si>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</si>
  <si>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</si>
  <si>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</si>
  <si>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</si>
  <si>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</si>
  <si>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</si>
  <si>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</si>
  <si>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</si>
  <si>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</si>
  <si>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</si>
  <si>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</si>
  <si>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</si>
  <si>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</si>
  <si>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</si>
  <si>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</si>
  <si>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</si>
  <si>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</si>
  <si>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</si>
  <si>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</si>
  <si>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</si>
  <si>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</si>
  <si>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</si>
  <si>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</si>
  <si>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</si>
  <si>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</si>
  <si>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</si>
  <si>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</si>
  <si>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</si>
  <si>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</si>
  <si>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</si>
  <si>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</si>
  <si>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</si>
  <si>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</si>
  <si>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</si>
  <si>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</si>
  <si>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</si>
  <si>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</si>
  <si>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</si>
  <si>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</si>
  <si>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</si>
  <si>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</si>
  <si>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</si>
  <si>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</si>
  <si>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</si>
  <si>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</si>
  <si>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</si>
  <si>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</si>
  <si>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</si>
  <si>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</si>
  <si>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</si>
  <si>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</si>
  <si>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</si>
  <si>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</si>
  <si>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</si>
  <si>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</si>
  <si>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</si>
  <si>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</si>
  <si>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</si>
  <si>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</si>
  <si>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</si>
  <si>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</si>
  <si>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</si>
  <si>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</si>
  <si>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</si>
  <si>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</si>
  <si>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</si>
  <si>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</si>
  <si>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</si>
  <si>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</si>
  <si>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</si>
  <si>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</si>
  <si>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</si>
  <si>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</si>
  <si>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</si>
  <si>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</si>
  <si>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</si>
  <si>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</si>
  <si>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</si>
  <si>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</si>
  <si>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</si>
  <si>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</si>
  <si>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</si>
  <si>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</si>
  <si>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</si>
  <si>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</si>
  <si>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</si>
  <si>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</si>
  <si>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</si>
  <si>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</si>
  <si>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</si>
  <si>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</si>
  <si>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</si>
  <si>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</si>
  <si>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</si>
  <si>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</si>
  <si>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</si>
  <si>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</si>
  <si>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</si>
  <si>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</si>
  <si>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</si>
  <si>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</si>
  <si>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</si>
  <si>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</si>
  <si>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</si>
  <si>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</si>
  <si>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</si>
  <si>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</si>
  <si>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</si>
  <si>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</si>
  <si>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</si>
  <si>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</si>
  <si>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</si>
  <si>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</si>
  <si>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</si>
  <si>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</si>
  <si>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</si>
  <si>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</si>
  <si>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</si>
  <si>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</si>
  <si>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</si>
  <si>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</si>
  <si>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</si>
  <si>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</si>
  <si>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</si>
  <si>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</si>
  <si>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</si>
  <si>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</si>
  <si>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</si>
  <si>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</si>
  <si>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</si>
  <si>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</si>
  <si>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</si>
  <si>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</si>
  <si>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</si>
  <si>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</si>
  <si>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</si>
  <si>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</si>
  <si>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</si>
  <si>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</si>
  <si>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</si>
  <si>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</si>
  <si>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</si>
  <si>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</si>
  <si>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</si>
  <si>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</si>
  <si>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</si>
  <si>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</si>
  <si>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</si>
  <si>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</si>
  <si>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</si>
  <si>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</si>
  <si>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</si>
  <si>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</si>
  <si>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</si>
  <si>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</si>
  <si>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</si>
  <si>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</si>
  <si>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</si>
  <si>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</si>
  <si>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</si>
  <si>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</si>
  <si>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</si>
  <si>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</si>
  <si>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</si>
  <si>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</si>
  <si>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</si>
  <si>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</si>
  <si>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</si>
  <si>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</si>
  <si>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</si>
  <si>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</si>
  <si>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</si>
  <si>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</si>
  <si>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</si>
  <si>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</si>
  <si>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</si>
  <si>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</si>
  <si>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</si>
  <si>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</si>
  <si>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</si>
  <si>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</si>
  <si>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</si>
  <si>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</si>
  <si>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</si>
  <si>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</si>
  <si>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</si>
  <si>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</si>
  <si>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</si>
  <si>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</si>
  <si>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</si>
  <si>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</si>
  <si>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</si>
  <si>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</si>
  <si>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</si>
  <si>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</si>
  <si>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</si>
  <si>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</si>
  <si>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</si>
  <si>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</si>
  <si>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</si>
  <si>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</si>
  <si>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</si>
  <si>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</si>
  <si>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</si>
  <si>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</si>
  <si>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</si>
  <si>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</si>
  <si>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</si>
  <si>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</si>
  <si>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</si>
  <si>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</si>
  <si>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</si>
  <si>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</si>
  <si>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</si>
  <si>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</si>
  <si>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</si>
  <si>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</si>
  <si>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</si>
  <si>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</si>
  <si>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</si>
  <si>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</si>
  <si>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</si>
  <si>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</si>
  <si>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</si>
  <si>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</si>
  <si>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</si>
  <si>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</si>
  <si>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</si>
  <si>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</si>
  <si>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</si>
  <si>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</si>
  <si>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</si>
  <si>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</si>
  <si>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</si>
  <si>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</si>
  <si>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</si>
  <si>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</si>
  <si>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</si>
  <si>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</si>
  <si>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</si>
  <si>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</si>
  <si>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</si>
  <si>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</si>
  <si>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</si>
  <si>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</si>
  <si>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</si>
  <si>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</si>
  <si>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</si>
  <si>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</si>
  <si>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</si>
  <si>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</si>
  <si>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</si>
  <si>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</si>
  <si>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</si>
  <si>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</si>
  <si>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</si>
  <si>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</si>
  <si>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</si>
  <si>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</si>
  <si>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</si>
  <si>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</si>
  <si>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</si>
  <si>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</si>
  <si>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</si>
  <si>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</si>
  <si>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</si>
  <si>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</si>
  <si>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</si>
  <si>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</si>
  <si>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</si>
  <si>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</si>
  <si>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</si>
  <si>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</si>
  <si>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</si>
  <si>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</si>
  <si>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</si>
  <si>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</si>
  <si>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</si>
  <si>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</si>
  <si>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</si>
  <si>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</si>
  <si>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</si>
  <si>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</si>
  <si>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</si>
  <si>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</si>
  <si>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</si>
  <si>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</si>
  <si>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</si>
  <si>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</si>
  <si>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</si>
  <si>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</si>
  <si>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</si>
  <si>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</si>
  <si>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</si>
  <si>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</si>
  <si>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</si>
  <si>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</si>
  <si>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08:30</t>
  </si>
  <si>
    <t>4</t>
  </si>
  <si>
    <t>73</t>
  </si>
  <si>
    <t>69</t>
  </si>
  <si>
    <t>07:49</t>
  </si>
  <si>
    <t>09:26</t>
  </si>
  <si>
    <t>65</t>
  </si>
  <si>
    <t>04:39</t>
  </si>
  <si>
    <t>1</t>
  </si>
  <si>
    <t>11</t>
  </si>
  <si>
    <t>9</t>
  </si>
  <si>
    <t>452</t>
  </si>
  <si>
    <t>462</t>
  </si>
  <si>
    <t>440</t>
  </si>
  <si>
    <t>53</t>
  </si>
  <si>
    <t>56</t>
  </si>
  <si>
    <t>DANILO VESOVIC</t>
  </si>
  <si>
    <t>MARKO LEPOVIC</t>
  </si>
  <si>
    <t>FRANCESC SENPAU VILLANUEVA</t>
  </si>
  <si>
    <t>IVANA KRSTIC</t>
  </si>
  <si>
    <t>BILJANA KOSTRES</t>
  </si>
  <si>
    <t>ELOI VERGE</t>
  </si>
  <si>
    <t>Tricky game with several critical situations, most of them were successfuly overcomed, however, watch out with the missing foul as it could have brought further problems related to free throws. For the rest, good criteria in general. Keep it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</si>
</sst>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40" sqref="K40"/>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21</v>
      </c>
      <c r="D1" s="124" t="s">
        <v>748</v>
      </c>
      <c r="E1" s="125">
        <v>2025</v>
      </c>
      <c r="F1" s="120" t="str">
        <f>TEXT(C1,"00") &amp; "_" &amp; TEXT(C2,"000")&amp; "_" &amp; H4 &amp; "_" &amp; H5 &amp; "_" &amp; B2</f>
        <v>21_201_DUB_ULK_E2025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201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46030.833333333336</v>
      </c>
      <c r="C3" s="157"/>
      <c r="D3" s="39">
        <v>574</v>
      </c>
      <c r="E3" s="29"/>
      <c r="F3" s="26">
        <f>SUBTOTAL(3,I17:I106)</f>
        <v>5</v>
      </c>
      <c r="G3" s="27">
        <f>IF(OR(D3="",D3=0),"",F3/D3)</f>
        <v>8.7108013937282226E-3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Dubai Basketball</v>
      </c>
      <c r="E4" s="161"/>
      <c r="F4" s="161"/>
      <c r="G4" s="162"/>
      <c r="H4" s="118" t="str">
        <f>IF(ISERROR(VLOOKUP($B$2&amp;TEXT($C$2,"000"),GAMES!$A$3:$I$562,6,FALSE)),"LOC",VLOOKUP($B$2&amp;TEXT($C$2,"000"),GAMES!$A$3:$I$562,6,FALSE))</f>
        <v>DUB</v>
      </c>
      <c r="I4" s="5"/>
      <c r="J4" s="119" t="s">
        <v>714</v>
      </c>
      <c r="K4" s="54" t="s">
        <v>742</v>
      </c>
      <c r="L4" s="5"/>
      <c r="M4" s="167" t="s">
        <v>772</v>
      </c>
      <c r="N4" s="168"/>
      <c r="O4" s="2"/>
      <c r="P4" s="2"/>
      <c r="Q4" s="84" t="s">
        <v>175</v>
      </c>
      <c r="R4" s="94">
        <f>(IF(G3="",0,G3))</f>
        <v>8.7108013937282226E-3</v>
      </c>
      <c r="S4" s="61">
        <f>SUM(I13:M13)</f>
        <v>0</v>
      </c>
      <c r="T4" s="78"/>
      <c r="U4" s="61">
        <f>AC18</f>
        <v>1</v>
      </c>
      <c r="V4" s="61">
        <f>+AC22</f>
        <v>1</v>
      </c>
      <c r="W4" s="61">
        <f>AC24</f>
        <v>0</v>
      </c>
      <c r="X4" s="61">
        <f>AC29</f>
        <v>1</v>
      </c>
      <c r="Y4" s="61">
        <f>AC25</f>
        <v>0</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Fenerbahce Beko Istanbul</v>
      </c>
      <c r="E5" s="174"/>
      <c r="F5" s="174"/>
      <c r="G5" s="175"/>
      <c r="H5" s="118" t="str">
        <f>IF(ISERROR(VLOOKUP($B$2&amp;TEXT($C$2,"000"),GAMES!$A$3:$I$562,7,FALSE)),"VIS",VLOOKUP($B$2&amp;TEXT($C$2,"000"),GAMES!$A$3:$I$562,7,FALSE))</f>
        <v>ULK</v>
      </c>
      <c r="I5" s="5"/>
      <c r="J5" s="5"/>
      <c r="K5" s="5"/>
      <c r="L5" s="5"/>
      <c r="M5" s="169"/>
      <c r="N5" s="170"/>
      <c r="O5" s="2"/>
      <c r="P5" s="2"/>
      <c r="Q5" s="89" t="s">
        <v>174</v>
      </c>
      <c r="R5" s="94">
        <f>R4*R3</f>
        <v>0.87108013937282225</v>
      </c>
      <c r="S5" s="70">
        <f t="shared" ref="S5" si="0">S4*S3</f>
        <v>0</v>
      </c>
      <c r="T5" s="92"/>
      <c r="U5" s="70">
        <f t="shared" ref="U5:AG5" si="1">U4*U3</f>
        <v>0.5</v>
      </c>
      <c r="V5" s="70">
        <f t="shared" si="1"/>
        <v>1</v>
      </c>
      <c r="W5" s="70">
        <f t="shared" si="1"/>
        <v>0</v>
      </c>
      <c r="X5" s="70">
        <f t="shared" si="1"/>
        <v>1</v>
      </c>
      <c r="Y5" s="70">
        <f t="shared" si="1"/>
        <v>0</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766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767</v>
      </c>
      <c r="E7" s="179"/>
      <c r="F7" s="179"/>
      <c r="G7" s="180"/>
      <c r="H7" s="129" t="s">
        <v>709</v>
      </c>
      <c r="I7" s="129" t="s">
        <v>710</v>
      </c>
      <c r="J7" s="129" t="s">
        <v>711</v>
      </c>
      <c r="K7" s="129" t="s">
        <v>712</v>
      </c>
      <c r="L7" s="129" t="s">
        <v>713</v>
      </c>
      <c r="M7" s="58">
        <f>Q7</f>
        <v>20.871080139372822</v>
      </c>
      <c r="N7" s="58"/>
      <c r="O7" s="2"/>
      <c r="P7" s="2"/>
      <c r="Q7" s="86">
        <f>SUM(R5,S5,AC16)</f>
        <v>20.871080139372822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768</v>
      </c>
      <c r="E8" s="182"/>
      <c r="F8" s="182"/>
      <c r="G8" s="183"/>
      <c r="H8" s="129" t="s">
        <v>746</v>
      </c>
      <c r="I8" s="129" t="s">
        <v>746</v>
      </c>
      <c r="J8" s="129" t="s">
        <v>747</v>
      </c>
      <c r="K8" s="129" t="s">
        <v>743</v>
      </c>
      <c r="L8" s="129" t="s">
        <v>744</v>
      </c>
      <c r="M8" s="129" t="s">
        <v>108</v>
      </c>
      <c r="N8" s="2"/>
      <c r="O8" s="2"/>
      <c r="P8" s="2"/>
      <c r="Q8" s="85">
        <f>SUM(R5:BA5)</f>
        <v>20.871080139372822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743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769</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770</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201</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771</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2</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201</v>
      </c>
      <c r="D17" s="32" t="s">
        <v>750</v>
      </c>
      <c r="E17" s="33" t="s">
        <v>751</v>
      </c>
      <c r="F17" s="36" t="s">
        <v>752</v>
      </c>
      <c r="G17" s="36" t="s">
        <v>753</v>
      </c>
      <c r="H17" s="38" t="str">
        <f>IF(I17="","",$I$14)</f>
        <v>SCOUTING</v>
      </c>
      <c r="I17" s="34" t="s">
        <v>761</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201</v>
      </c>
      <c r="D18" s="32" t="s">
        <v>754</v>
      </c>
      <c r="E18" s="33" t="s">
        <v>751</v>
      </c>
      <c r="F18" s="36" t="s">
        <v>752</v>
      </c>
      <c r="G18" s="36" t="s">
        <v>753</v>
      </c>
      <c r="H18" s="38" t="str">
        <f t="shared" ref="H18:H81" si="8">IF(I18="","",$I$14)</f>
        <v>SCOUTING</v>
      </c>
      <c r="I18" s="34" t="s">
        <v>762</v>
      </c>
      <c r="J18" s="13" t="s">
        <v>4</v>
      </c>
      <c r="K18" s="13" t="s">
        <v>62</v>
      </c>
      <c r="L18" s="13" t="s">
        <v>7</v>
      </c>
      <c r="M18" s="13" t="s">
        <v>28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201</v>
      </c>
      <c r="D19" s="32" t="s">
        <v>755</v>
      </c>
      <c r="E19" s="33" t="s">
        <v>751</v>
      </c>
      <c r="F19" s="36" t="s">
        <v>752</v>
      </c>
      <c r="G19" s="36" t="s">
        <v>756</v>
      </c>
      <c r="H19" s="38" t="str">
        <f t="shared" si="8"/>
        <v>SCOUTING</v>
      </c>
      <c r="I19" s="34" t="s">
        <v>763</v>
      </c>
      <c r="J19" s="13" t="s">
        <v>4</v>
      </c>
      <c r="K19" s="13" t="s">
        <v>62</v>
      </c>
      <c r="L19" s="13" t="s">
        <v>75</v>
      </c>
      <c r="M19" s="13" t="s">
        <v>22</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1</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201</v>
      </c>
      <c r="D20" s="32" t="s">
        <v>757</v>
      </c>
      <c r="E20" s="33" t="s">
        <v>758</v>
      </c>
      <c r="F20" s="36" t="s">
        <v>759</v>
      </c>
      <c r="G20" s="36" t="s">
        <v>760</v>
      </c>
      <c r="H20" s="38" t="str">
        <f t="shared" si="8"/>
        <v>SCOUTING</v>
      </c>
      <c r="I20" s="34" t="s">
        <v>764</v>
      </c>
      <c r="J20" s="13" t="s">
        <v>4</v>
      </c>
      <c r="K20" s="13" t="s">
        <v>63</v>
      </c>
      <c r="L20" s="13" t="s">
        <v>6</v>
      </c>
      <c r="M20" s="13" t="s">
        <v>168</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201</v>
      </c>
      <c r="D21" s="32" t="s">
        <v>757</v>
      </c>
      <c r="E21" s="33" t="s">
        <v>758</v>
      </c>
      <c r="F21" s="36" t="s">
        <v>759</v>
      </c>
      <c r="G21" s="36" t="s">
        <v>760</v>
      </c>
      <c r="H21" s="38" t="str">
        <f t="shared" si="8"/>
        <v>SCOUTING</v>
      </c>
      <c r="I21" s="34" t="s">
        <v>765</v>
      </c>
      <c r="J21" s="13" t="s">
        <v>3</v>
      </c>
      <c r="K21" s="13" t="s">
        <v>63</v>
      </c>
      <c r="L21" s="13" t="s">
        <v>76</v>
      </c>
      <c r="M21" s="13" t="s">
        <v>29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REPORT_E2025201</v>
      </c>
    </row>
    <row r="2" spans="2:6" x14ac:dyDescent="0.25">
      <c r="F2" s="45" t="s">
        <v>157</v>
      </c>
    </row>
    <row r="3" spans="2:6" x14ac:dyDescent="0.25">
      <c r="B3" s="43" t="s">
        <v>156</v>
      </c>
      <c r="C3" s="43" t="str">
        <f>""""&amp;'SCOUT &amp; LOGISTICS'!B2&amp;TEXT('SCOUT &amp; LOGISTICS'!C2,"000")&amp;""""</f>
        <v>"E2025201"</v>
      </c>
      <c r="F3" s="45" t="str">
        <f t="shared" ref="F3:F16" si="0">""""&amp;B3&amp;"""" &amp; " : " &amp;C3&amp;","</f>
        <v>"name" : "E2025201",</v>
      </c>
    </row>
    <row r="4" spans="2:6" x14ac:dyDescent="0.25">
      <c r="B4" s="43" t="s">
        <v>119</v>
      </c>
      <c r="C4" s="43" t="str">
        <f>""""&amp;LEFT('SCOUT &amp; LOGISTICS'!B2,1) &amp; TEXT('SCOUT &amp; LOGISTICS'!C2,"000")&amp;""""</f>
        <v>"E201"</v>
      </c>
      <c r="F4" s="45" t="str">
        <f t="shared" si="0"/>
        <v>"cod" : "E201",</v>
      </c>
    </row>
    <row r="5" spans="2:6" x14ac:dyDescent="0.25">
      <c r="B5" s="43" t="s">
        <v>117</v>
      </c>
      <c r="C5" s="43" t="str">
        <f>""""&amp;LEFT('SCOUT &amp; LOGISTICS'!B2,1)&amp;""""</f>
        <v>"E"</v>
      </c>
      <c r="F5" s="45" t="str">
        <f t="shared" si="0"/>
        <v>"competition" : "E",</v>
      </c>
    </row>
    <row r="6" spans="2:6" x14ac:dyDescent="0.25">
      <c r="B6" s="43" t="s">
        <v>118</v>
      </c>
      <c r="C6" s="43" t="str">
        <f>TEXT('SCOUT &amp; LOGISTICS'!C2,"000")</f>
        <v>201</v>
      </c>
      <c r="F6" s="45" t="str">
        <f t="shared" si="0"/>
        <v>"number" : 201,</v>
      </c>
    </row>
    <row r="7" spans="2:6" x14ac:dyDescent="0.25">
      <c r="B7" s="43" t="s">
        <v>116</v>
      </c>
      <c r="C7" s="43" t="str">
        <f ca="1">""""&amp;TEXT('SCOUT &amp; LOGISTICS'!B3,"dd/mm/aaaa")&amp;""""</f>
        <v>"08/01/2026"</v>
      </c>
      <c r="F7" s="45" t="str">
        <f t="shared" ca="1" si="0"/>
        <v>"date" : "08/01/2026",</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"Fenerbahce Beko Istanbul"</v>
      </c>
      <c r="F9" s="45" t="str">
        <f t="shared" si="0"/>
        <v>"away_team" : "Fenerbahce Beko Istanbul",</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"FRANCESC SENPAU VILLANUEVA"</v>
      </c>
      <c r="F12" s="45" t="str">
        <f t="shared" si="0"/>
        <v>"Caller_2" : "FRANCESC SENPAU VILLANUEVA",</v>
      </c>
    </row>
    <row r="13" spans="2:6" x14ac:dyDescent="0.25">
      <c r="B13" s="43" t="s">
        <v>98</v>
      </c>
      <c r="C13" s="43" t="str">
        <f>""""&amp;IF('SCOUT &amp; LOGISTICS'!D9="","",'SCOUT &amp; LOGISTICS'!D9)&amp;""""</f>
        <v>"ANA KRSTIC"</v>
      </c>
      <c r="F13" s="45" t="str">
        <f t="shared" si="0"/>
        <v>"Timerkeeper" : "ANA KRSTIC",</v>
      </c>
    </row>
    <row r="14" spans="2:6" x14ac:dyDescent="0.25">
      <c r="B14" s="43" t="s">
        <v>99</v>
      </c>
      <c r="C14" s="43" t="str">
        <f>""""&amp;IF('SCOUT &amp; LOGISTICS'!D10="","",'SCOUT &amp; LOGISTICS'!D10)&amp;""""</f>
        <v>"IVANA KRSTIC"</v>
      </c>
      <c r="F14" s="45" t="str">
        <f t="shared" si="0"/>
        <v>"Shotclock" : "IVANA KRSTIC",</v>
      </c>
    </row>
    <row r="15" spans="2:6" x14ac:dyDescent="0.25">
      <c r="B15" s="43" t="s">
        <v>108</v>
      </c>
      <c r="C15" s="43" t="str">
        <f>""""&amp;IF('SCOUT &amp; LOGISTICS'!D11="","",'SCOUT &amp; LOGISTICS'!D11)&amp;""""</f>
        <v>"BILJANA KOSTRES"</v>
      </c>
      <c r="F15" s="45" t="str">
        <f t="shared" si="0"/>
        <v>"IRS" : "BILJANA KOSTRES",</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574</v>
      </c>
      <c r="F25" s="45" t="str">
        <f t="shared" ref="F25:F48" si="1">""""&amp;C25&amp;"""" &amp; " : " &amp;D25&amp;","</f>
        <v>"total_actions" : 574,</v>
      </c>
    </row>
    <row r="26" spans="2:6" x14ac:dyDescent="0.25">
      <c r="C26" s="43" t="s">
        <v>132</v>
      </c>
      <c r="D26" s="43">
        <f>'SCOUT &amp; LOGISTICS'!F3</f>
        <v>5</v>
      </c>
      <c r="F26" s="45" t="str">
        <f t="shared" si="1"/>
        <v>"total_correcions" : 5,</v>
      </c>
    </row>
    <row r="27" spans="2:6" x14ac:dyDescent="0.25">
      <c r="C27" s="43" t="s">
        <v>133</v>
      </c>
      <c r="D27" s="43" t="str">
        <f>""""&amp;IF(OR(D25="",D25=0),"",TEXT(D26/D25,"0,0%"))&amp;""""</f>
        <v>"0,9%"</v>
      </c>
      <c r="F27" s="45" t="str">
        <f t="shared" si="1"/>
        <v>"%_corrections" : "0,9%",</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"Tricky game with several critical situations, most of them were successfuly overcomed, however, watch out with the missing foul as it could have brought further problems related to free throws. For the rest, good criteria in general. Keep it up!"</v>
      </c>
      <c r="F51" s="45" t="str">
        <f>""""&amp;B51&amp;"""" &amp; " : " &amp;C51&amp;","</f>
        <v>"comments" : "Tricky game with several critical situations, most of them were successfuly overcomed, however, watch out with the missing foul as it could have brought further problems related to free throws. For the rest, good criteria in general. Keep it up!",</v>
      </c>
    </row>
    <row r="52" spans="2:6" x14ac:dyDescent="0.25">
      <c r="B52" s="43" t="s">
        <v>153</v>
      </c>
      <c r="C52" s="43" t="str">
        <f>TEXT('SCOUT &amp; LOGISTICS'!F1,"0,0")</f>
        <v>21_201_DUB_ULK_E2025</v>
      </c>
      <c r="F52" s="45" t="str">
        <f>""""&amp;B52&amp;"""" &amp; " : " &amp;C52</f>
        <v>"result" : 21_201_DUB_ULK_E2025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E201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08/01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Dubai Basketball</v>
      </c>
      <c r="C6" s="212"/>
      <c r="D6" s="212"/>
      <c r="E6" s="212"/>
      <c r="F6" s="212"/>
      <c r="G6" s="212"/>
      <c r="H6" s="212"/>
      <c r="I6" s="212"/>
      <c r="J6" s="212"/>
      <c r="K6" s="212"/>
      <c r="L6" s="212"/>
      <c r="M6" s="212"/>
      <c r="N6" s="212"/>
      <c r="O6" s="212"/>
      <c r="P6" s="212"/>
      <c r="Q6" s="212" t="str">
        <f>PROPER('SCOUT &amp; LOGISTICS'!D5)</f>
        <v>Fenerbahce Beko Istanbul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DANILO VESOVIC</v>
      </c>
      <c r="C8" s="206"/>
      <c r="D8" s="206"/>
      <c r="E8" s="206"/>
      <c r="F8" s="206"/>
      <c r="G8" s="206" t="str">
        <f>IF('SCOUT &amp; LOGISTICS'!D7="","",'SCOUT &amp; LOGISTICS'!D7)</f>
        <v>MARKO LEPOVIC</v>
      </c>
      <c r="H8" s="206"/>
      <c r="I8" s="206"/>
      <c r="J8" s="206"/>
      <c r="K8" s="206"/>
      <c r="L8" s="206" t="str">
        <f>IF('SCOUT &amp; LOGISTICS'!D8="","",'SCOUT &amp; LOGISTICS'!D8)</f>
        <v>FRANCESC SENPAU VILLANUEVA</v>
      </c>
      <c r="M8" s="206"/>
      <c r="N8" s="206"/>
      <c r="O8" s="206"/>
      <c r="P8" s="206"/>
      <c r="Q8" s="206" t="str">
        <f>IF('SCOUT &amp; LOGISTICS'!D9="","",'SCOUT &amp; LOGISTICS'!D9)</f>
        <v>ANA KRSTIC</v>
      </c>
      <c r="R8" s="206"/>
      <c r="S8" s="206"/>
      <c r="T8" s="206"/>
      <c r="U8" s="206"/>
      <c r="V8" s="206" t="str">
        <f>IF('SCOUT &amp; LOGISTICS'!D10="","",'SCOUT &amp; LOGISTICS'!D10)</f>
        <v>IVANA KRSTIC</v>
      </c>
      <c r="W8" s="206"/>
      <c r="X8" s="206"/>
      <c r="Y8" s="206"/>
      <c r="Z8" s="206"/>
      <c r="AA8" s="206" t="str">
        <f>IF('SCOUT &amp; LOGISTICS'!D11="","",'SCOUT &amp; LOGISTICS'!D11)</f>
        <v>BILJANA KOSTRES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574</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8.7108013937282226E-3</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3</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2</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4</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1</v>
      </c>
      <c r="C27" s="197"/>
      <c r="D27" s="197"/>
      <c r="E27" s="197"/>
      <c r="F27" s="197"/>
      <c r="G27" s="197">
        <f>'SCOUT &amp; LOGISTICS'!AC22</f>
        <v>1</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Tricky game with several critical situations, most of them were successfuly overcomed, however, watch out with the missing foul as it could have brought further problems related to free throws. For the rest, good criteria in general.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20.871080139372822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D72B59-AA0E-46A1-9B94-4CCDC85C40A3}"/>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2026-01-08T21:55:09Z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