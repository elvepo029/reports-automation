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55E84158-332B-4667-BF5A-DB0753DD9441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<sst xmlns="http://schemas.openxmlformats.org/spreadsheetml/2006/main" count="3301" uniqueCount="770">
  <si>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</si>
  <si>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</si>
  <si>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</si>
  <si>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</si>
  <si>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</si>
  <si>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</si>
  <si>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</si>
  <si>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</si>
  <si>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</si>
  <si>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</si>
  <si>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</si>
  <si>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</si>
  <si>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</si>
  <si>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</si>
  <si>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</si>
  <si>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</si>
  <si>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</si>
  <si>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</si>
  <si>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</si>
  <si>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</si>
  <si>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</si>
  <si>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</si>
  <si>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</si>
  <si>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</si>
  <si>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</si>
  <si>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</si>
  <si>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</si>
  <si>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</si>
  <si>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</si>
  <si>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</si>
  <si>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</si>
  <si>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</si>
  <si>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</si>
  <si>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</si>
  <si>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</si>
  <si>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</si>
  <si>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</si>
  <si>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</si>
  <si>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</si>
  <si>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</si>
  <si>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</si>
  <si>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</si>
  <si>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</si>
  <si>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</si>
  <si>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</si>
  <si>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</si>
  <si>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</si>
  <si>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</si>
  <si>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</si>
  <si>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</si>
  <si>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</si>
  <si>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</si>
  <si>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</si>
  <si>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</si>
  <si>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</si>
  <si>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</si>
  <si>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</si>
  <si>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</si>
  <si>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</si>
  <si>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</si>
  <si>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</si>
  <si>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</si>
  <si>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</si>
  <si>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</si>
  <si>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</si>
  <si>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</si>
  <si>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</si>
  <si>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</si>
  <si>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</si>
  <si>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</si>
  <si>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</si>
  <si>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</si>
  <si>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</si>
  <si>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</si>
  <si>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</si>
  <si>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</si>
  <si>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</si>
  <si>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</si>
  <si>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</si>
  <si>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</si>
  <si>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</si>
  <si>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</si>
  <si>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</si>
  <si>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</si>
  <si>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</si>
  <si>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</si>
  <si>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</si>
  <si>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</si>
  <si>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</si>
  <si>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</si>
  <si>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</si>
  <si>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</si>
  <si>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</si>
  <si>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</si>
  <si>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</si>
  <si>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</si>
  <si>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</si>
  <si>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</si>
  <si>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</si>
  <si>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</si>
  <si>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</si>
  <si>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</si>
  <si>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</si>
  <si>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</si>
  <si>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</si>
  <si>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</si>
  <si>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</si>
  <si>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</si>
  <si>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</si>
  <si>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</si>
  <si>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</si>
  <si>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</si>
  <si>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</si>
  <si>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</si>
  <si>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</si>
  <si>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</si>
  <si>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</si>
  <si>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</si>
  <si>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</si>
  <si>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</si>
  <si>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</si>
  <si>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</si>
  <si>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</si>
  <si>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</si>
  <si>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</si>
  <si>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</si>
  <si>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</si>
  <si>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</si>
  <si>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</si>
  <si>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</si>
  <si>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</si>
  <si>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</si>
  <si>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</si>
  <si>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</si>
  <si>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</si>
  <si>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</si>
  <si>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</si>
  <si>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</si>
  <si>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</si>
  <si>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</si>
  <si>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</si>
  <si>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</si>
  <si>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</si>
  <si>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</si>
  <si>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</si>
  <si>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</si>
  <si>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</si>
  <si>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</si>
  <si>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</si>
  <si>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</si>
  <si>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</si>
  <si>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</si>
  <si>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</si>
  <si>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</si>
  <si>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</si>
  <si>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</si>
  <si>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</si>
  <si>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</si>
  <si>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</si>
  <si>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</si>
  <si>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</si>
  <si>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</si>
  <si>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</si>
  <si>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</si>
  <si>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</si>
  <si>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</si>
  <si>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</si>
  <si>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</si>
  <si>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</si>
  <si>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</si>
  <si>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</si>
  <si>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</si>
  <si>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</si>
  <si>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</si>
  <si>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</si>
  <si>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</si>
  <si>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</si>
  <si>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</si>
  <si>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</si>
  <si>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</si>
  <si>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</si>
  <si>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</si>
  <si>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</si>
  <si>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</si>
  <si>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</si>
  <si>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</si>
  <si>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</si>
  <si>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</si>
  <si>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</si>
  <si>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</si>
  <si>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</si>
  <si>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</si>
  <si>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</si>
  <si>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</si>
  <si>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</si>
  <si>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</si>
  <si>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</si>
  <si>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</si>
  <si>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</si>
  <si>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</si>
  <si>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</si>
  <si>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</si>
  <si>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</si>
  <si>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</si>
  <si>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</si>
  <si>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</si>
  <si>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</si>
  <si>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</si>
  <si>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</si>
  <si>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</si>
  <si>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</si>
  <si>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</si>
  <si>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</si>
  <si>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</si>
  <si>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</si>
  <si>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</si>
  <si>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</si>
  <si>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</si>
  <si>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</si>
  <si>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</si>
  <si>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</si>
  <si>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</si>
  <si>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</si>
  <si>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</si>
  <si>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</si>
  <si>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</si>
  <si>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</si>
  <si>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</si>
  <si>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</si>
  <si>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</si>
  <si>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</si>
  <si>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</si>
  <si>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</si>
  <si>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</si>
  <si>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</si>
  <si>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</si>
  <si>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</si>
  <si>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</si>
  <si>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</si>
  <si>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</si>
  <si>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</si>
  <si>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</si>
  <si>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</si>
  <si>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</si>
  <si>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</si>
  <si>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</si>
  <si>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</si>
  <si>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</si>
  <si>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</si>
  <si>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</si>
  <si>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</si>
  <si>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</si>
  <si>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</si>
  <si>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</si>
  <si>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</si>
  <si>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</si>
  <si>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</si>
  <si>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</si>
  <si>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</si>
  <si>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</si>
  <si>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</si>
  <si>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</si>
  <si>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</si>
  <si>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</si>
  <si>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</si>
  <si>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</si>
  <si>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</si>
  <si>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</si>
  <si>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</si>
  <si>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</si>
  <si>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</si>
  <si>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</si>
  <si>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</si>
  <si>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</si>
  <si>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</si>
  <si>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</si>
  <si>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</si>
  <si>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</si>
  <si>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</si>
  <si>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</si>
  <si>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</si>
  <si>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</si>
  <si>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</si>
  <si>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</si>
  <si>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</si>
  <si>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</si>
  <si>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</si>
  <si>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</si>
  <si>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</si>
  <si>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</si>
  <si>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</si>
  <si>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</si>
  <si>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</si>
  <si>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</si>
  <si>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</si>
  <si>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</si>
  <si>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</si>
  <si>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</si>
  <si>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</si>
  <si>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</si>
  <si>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</si>
  <si>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</si>
  <si>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</si>
  <si>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</si>
  <si>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</si>
  <si>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</si>
  <si>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</si>
  <si>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</si>
  <si>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</si>
  <si>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</si>
  <si>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</si>
  <si>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</si>
  <si>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</si>
  <si>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</si>
  <si>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</si>
  <si>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</si>
  <si>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</si>
  <si>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</si>
  <si>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</si>
  <si>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</si>
  <si>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</si>
  <si>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</si>
  <si>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</si>
  <si>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</si>
  <si>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</si>
  <si>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</si>
  <si>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</si>
  <si>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</si>
  <si>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</si>
  <si>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</si>
  <si>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</si>
  <si>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</si>
  <si>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</si>
  <si>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</si>
  <si>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</si>
  <si>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</si>
  <si>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</si>
  <si>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</si>
  <si>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</si>
  <si>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</si>
  <si>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</si>
  <si>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</si>
  <si>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</si>
  <si>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</si>
  <si>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</si>
  <si>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</si>
  <si>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</si>
  <si>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</si>
  <si>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</si>
  <si>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</si>
  <si>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</si>
  <si>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</si>
  <si>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</si>
  <si>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</si>
  <si>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</si>
  <si>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</si>
  <si>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</si>
  <si>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</si>
  <si>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</si>
  <si>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</si>
  <si>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</si>
  <si>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</si>
  <si>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</si>
  <si>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</si>
  <si>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</si>
  <si>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</si>
  <si>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</si>
  <si>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</si>
  <si>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</si>
  <si>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</si>
  <si>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</si>
  <si>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</si>
  <si>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</si>
  <si>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</si>
  <si>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</si>
  <si>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</si>
  <si>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</si>
  <si>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</si>
  <si>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</si>
  <si>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</si>
  <si>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</si>
  <si>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</si>
  <si>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</si>
  <si>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</si>
  <si>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</si>
  <si>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</si>
  <si>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</si>
  <si>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</si>
  <si>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</si>
  <si>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</si>
  <si>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</si>
  <si>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</si>
  <si>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</si>
  <si>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</si>
  <si>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</si>
  <si>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</si>
  <si>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</si>
  <si>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</si>
  <si>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</si>
  <si>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</si>
  <si>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</si>
  <si>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</si>
  <si>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</si>
  <si>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</si>
  <si>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</si>
  <si>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</si>
  <si>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</si>
  <si>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</si>
  <si>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</si>
  <si>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</si>
  <si>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</si>
  <si>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</si>
  <si>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</si>
  <si>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</si>
  <si>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</si>
  <si>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</si>
  <si>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</si>
  <si>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</si>
  <si>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</si>
  <si>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</si>
  <si>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</si>
  <si>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</si>
  <si>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</si>
  <si>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</si>
  <si>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</si>
  <si>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</si>
  <si>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</si>
  <si>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</si>
  <si>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</si>
  <si>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</si>
  <si>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</si>
  <si>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</si>
  <si>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</si>
  <si>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</si>
  <si>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</si>
  <si>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</si>
  <si>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</si>
  <si>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</si>
  <si>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</si>
  <si>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</si>
  <si>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</si>
  <si>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</si>
  <si>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</si>
  <si>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</si>
  <si>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</si>
  <si>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</si>
  <si>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</si>
  <si>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</si>
  <si>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</si>
  <si>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</si>
  <si>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</si>
  <si>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</si>
  <si>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</si>
  <si>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</si>
  <si>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</si>
  <si>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</si>
  <si>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</si>
  <si>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</si>
  <si>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</si>
  <si>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</si>
  <si>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</si>
  <si>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</si>
  <si>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</si>
  <si>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</si>
  <si>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</si>
  <si>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</si>
  <si>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</si>
  <si>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</si>
  <si>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</si>
  <si>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</si>
  <si>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</si>
  <si>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</si>
  <si>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</si>
  <si>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</si>
  <si>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</si>
  <si>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</si>
  <si>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</si>
  <si>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</si>
  <si>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</si>
  <si>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</si>
  <si>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</si>
  <si>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</si>
  <si>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</si>
  <si>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</si>
  <si>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</si>
  <si>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</si>
  <si>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</si>
  <si>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</si>
  <si>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</si>
  <si>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</si>
  <si>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</si>
  <si>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</si>
  <si>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</si>
  <si>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</si>
  <si>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</si>
  <si>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</si>
  <si>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</si>
  <si>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</si>
  <si>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</si>
  <si>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</si>
  <si>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</si>
  <si>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</si>
  <si>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</si>
  <si>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</si>
  <si>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</si>
  <si>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</si>
  <si>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</si>
  <si>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</si>
  <si>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</si>
  <si>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</si>
  <si>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</si>
  <si>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</si>
  <si>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</si>
  <si>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</si>
  <si>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</si>
  <si>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</si>
  <si>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</si>
  <si>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</si>
  <si>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</si>
  <si>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</si>
  <si>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</si>
  <si>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</si>
  <si>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</si>
  <si>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</si>
  <si>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</si>
  <si>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</si>
  <si>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</si>
  <si>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</si>
  <si>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</si>
  <si>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</si>
  <si>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</si>
  <si>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</si>
  <si>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</si>
  <si>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</si>
  <si>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</si>
  <si>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</si>
  <si>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</si>
  <si>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</si>
  <si>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</si>
  <si>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</si>
  <si>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</si>
  <si>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</si>
  <si>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</si>
  <si>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</si>
  <si>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</si>
  <si>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</si>
  <si>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</si>
  <si>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</si>
  <si>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</si>
  <si>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</si>
  <si>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</si>
  <si>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</si>
  <si>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</si>
  <si>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</si>
  <si>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</si>
  <si>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</si>
  <si>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</si>
  <si>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</si>
  <si>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</si>
  <si>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</si>
  <si>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</si>
  <si>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</si>
  <si>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</si>
  <si>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</si>
  <si>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</si>
  <si>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</si>
  <si>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</si>
  <si>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</si>
  <si>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</si>
  <si>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</si>
  <si>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</si>
  <si>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</si>
  <si>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</si>
  <si>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</si>
  <si>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</si>
  <si>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</si>
  <si>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</si>
  <si>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</si>
  <si>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</si>
  <si>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</si>
  <si>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</si>
  <si>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</si>
  <si>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</si>
  <si>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</si>
  <si>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</si>
  <si>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</si>
  <si>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</si>
  <si>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</si>
  <si>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</si>
  <si>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</si>
  <si>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</si>
  <si>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</si>
  <si>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</si>
  <si>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</si>
  <si>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</si>
  <si>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</si>
  <si>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</si>
  <si>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</si>
  <si>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</si>
  <si>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</si>
  <si>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</si>
  <si>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</si>
  <si>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</si>
  <si>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</si>
  <si>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</si>
  <si>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</si>
  <si>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</si>
  <si>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</si>
  <si>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</si>
  <si>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</si>
  <si>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</si>
  <si>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</si>
  <si>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</si>
  <si>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</si>
  <si>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</si>
  <si>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</si>
  <si>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</si>
  <si>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</si>
  <si>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</si>
  <si>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</si>
  <si>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</si>
  <si>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</si>
  <si>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</si>
  <si>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</si>
  <si>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</si>
  <si>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</si>
  <si>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</si>
  <si>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</si>
  <si>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</si>
  <si>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</si>
  <si>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</si>
  <si>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</si>
  <si>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</si>
  <si>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</si>
  <si>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</si>
  <si>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</si>
  <si>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</si>
  <si>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</si>
  <si>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</si>
  <si>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</si>
  <si>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</si>
  <si>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</si>
  <si>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</si>
  <si>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</si>
  <si>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</si>
  <si>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</si>
  <si>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</si>
  <si>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</si>
  <si>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</si>
  <si>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</si>
  <si>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</si>
  <si>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</si>
  <si>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</si>
  <si>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</si>
  <si>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</si>
  <si>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</si>
  <si>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</si>
  <si>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</si>
  <si>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</si>
  <si>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</si>
  <si>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</si>
  <si>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</si>
  <si>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</si>
  <si>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</si>
  <si>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</si>
  <si>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</si>
  <si>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</si>
  <si>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</si>
  <si>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</si>
  <si>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</si>
  <si>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</si>
  <si>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</si>
  <si>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</si>
  <si>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</si>
  <si>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</si>
  <si>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</si>
  <si>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</si>
  <si>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</si>
  <si>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</si>
  <si>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</si>
  <si>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</si>
  <si>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</si>
  <si>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</si>
  <si>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</si>
  <si>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</si>
  <si>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</si>
  <si>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</si>
  <si>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</si>
  <si>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</si>
  <si>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</si>
  <si>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</si>
  <si>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</si>
  <si>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</si>
  <si>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</si>
  <si>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</si>
  <si>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</si>
  <si>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</si>
  <si>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</si>
  <si>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</si>
  <si>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</si>
  <si>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</si>
  <si>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</si>
  <si>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</si>
  <si>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</si>
  <si>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</si>
  <si>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</si>
  <si>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</si>
  <si>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</si>
  <si>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</si>
  <si>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</si>
  <si>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</si>
  <si>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</si>
  <si>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</si>
  <si>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</si>
  <si>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</si>
  <si>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</si>
  <si>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</si>
  <si>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</si>
  <si>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</si>
  <si>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</si>
  <si>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</si>
  <si>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</si>
  <si>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</si>
  <si>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</si>
  <si>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</si>
  <si>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</si>
  <si>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</si>
  <si>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</si>
  <si>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</si>
  <si>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</si>
  <si>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</si>
  <si>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</si>
  <si>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</si>
  <si>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</si>
  <si>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</si>
  <si>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</si>
  <si>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</si>
  <si>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</si>
  <si>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</si>
  <si>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</si>
  <si>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</si>
  <si>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</si>
  <si>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</si>
  <si>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</si>
  <si>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</si>
  <si>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</si>
  <si>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</si>
  <si>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</si>
  <si>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</si>
  <si>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</si>
  <si>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</si>
  <si>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9:33</t>
  </si>
  <si>
    <t>7:02</t>
  </si>
  <si>
    <t>3:18</t>
  </si>
  <si>
    <t>4:36</t>
  </si>
  <si>
    <t>7:24</t>
  </si>
  <si>
    <t>El contacte els agafa en angle mort</t>
  </si>
  <si>
    <t>7:14</t>
  </si>
  <si>
    <t>6:57</t>
  </si>
  <si>
    <t>6:07</t>
  </si>
  <si>
    <t>5:02</t>
  </si>
  <si>
    <t>8:07</t>
  </si>
  <si>
    <t>4:26</t>
  </si>
  <si>
    <t>Gracias por el trabajo. Echad un vistazo a algún criterio de asistencias. Creo que eso os podrá ayudar a afinar aún más vuestro buen scout ;)</t>
  </si>
  <si>
    <t>LUIS CALLEJA</t>
  </si>
  <si>
    <t>VICTOR LAQUIDAIN</t>
  </si>
  <si>
    <t>MARIA LUZ DEL PINO</t>
  </si>
  <si>
    <t>INES RAQUEL PIATKOWSKA</t>
  </si>
  <si>
    <t>NOA GARCIA</t>
  </si>
  <si>
    <t>ALVARO PEÑALBA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</si>
</sst>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21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21_202_MAD_TEL_E2025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202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46030.864583333336</v>
      </c>
      <c r="C3" s="178"/>
      <c r="D3" s="39">
        <v>594</v>
      </c>
      <c r="E3" s="29"/>
      <c r="F3" s="26">
        <f>SUBTOTAL(3,I17:I106)</f>
        <v>11</v>
      </c>
      <c r="G3" s="27">
        <f>IF(OR(D3="",D3=0),"",F3/D3)</f>
        <v>1.8518518518518517E-2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763</v>
      </c>
      <c r="N4" s="186"/>
      <c r="O4" s="2"/>
      <c r="P4" s="2"/>
      <c r="Q4" s="84" t="s">
        <v>175</v>
      </c>
      <c r="R4" s="94">
        <f>(IF(G3="",0,G3))</f>
        <v>1.8518518518518517E-2</v>
      </c>
      <c r="S4" s="61">
        <f>SUM(I13:M13)</f>
        <v>0</v>
      </c>
      <c r="T4" s="78"/>
      <c r="U4" s="61">
        <f>AC18</f>
        <v>7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1.8518518518518516</v>
      </c>
      <c r="S5" s="70">
        <f t="shared" ref="S5" si="0">S4*S3</f>
        <v>0</v>
      </c>
      <c r="T5" s="92"/>
      <c r="U5" s="70">
        <f t="shared" ref="U5:AG5" si="1">U4*U3</f>
        <v>3.5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764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765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10.851851851851851</v>
      </c>
      <c r="N7" s="58"/>
      <c r="O7" s="2"/>
      <c r="P7" s="2"/>
      <c r="Q7" s="86">
        <f>SUM(R5,S5,AC16)</f>
        <v>10.851851851851851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766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10.851851851851851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767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768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769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202</v>
      </c>
      <c r="D17" s="32" t="s">
        <v>751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8</v>
      </c>
      <c r="J17" s="13" t="s">
        <v>4</v>
      </c>
      <c r="K17" s="13" t="s">
        <v>62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202</v>
      </c>
      <c r="D18" s="32" t="s">
        <v>752</v>
      </c>
      <c r="E18" s="33">
        <v>1</v>
      </c>
      <c r="F18" s="36">
        <v>6</v>
      </c>
      <c r="G18" s="36">
        <v>4</v>
      </c>
      <c r="H18" s="38" t="str">
        <f t="shared" ref="H18:H81" si="8">IF(I18="","",$I$14)</f>
        <v>SCOUTING</v>
      </c>
      <c r="I18" s="34">
        <v>35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7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202</v>
      </c>
      <c r="D19" s="32" t="s">
        <v>753</v>
      </c>
      <c r="E19" s="33">
        <v>1</v>
      </c>
      <c r="F19" s="36">
        <v>17</v>
      </c>
      <c r="G19" s="36">
        <v>12</v>
      </c>
      <c r="H19" s="38" t="str">
        <f t="shared" si="8"/>
        <v>SCOUTING</v>
      </c>
      <c r="I19" s="34">
        <v>90</v>
      </c>
      <c r="J19" s="13" t="s">
        <v>4</v>
      </c>
      <c r="K19" s="13" t="s">
        <v>63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5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202</v>
      </c>
      <c r="D20" s="32" t="s">
        <v>754</v>
      </c>
      <c r="E20" s="33">
        <v>2</v>
      </c>
      <c r="F20" s="36">
        <v>33</v>
      </c>
      <c r="G20" s="36">
        <v>40</v>
      </c>
      <c r="H20" s="38" t="str">
        <f t="shared" si="8"/>
        <v>SCOUTING</v>
      </c>
      <c r="I20" s="34">
        <v>227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202</v>
      </c>
      <c r="D21" s="32" t="s">
        <v>755</v>
      </c>
      <c r="E21" s="33">
        <v>3</v>
      </c>
      <c r="F21" s="36">
        <v>55</v>
      </c>
      <c r="G21" s="36">
        <v>53</v>
      </c>
      <c r="H21" s="38" t="str">
        <f t="shared" si="8"/>
        <v>SCOUTING</v>
      </c>
      <c r="I21" s="34">
        <v>339</v>
      </c>
      <c r="J21" s="13" t="s">
        <v>4</v>
      </c>
      <c r="K21" s="13" t="s">
        <v>62</v>
      </c>
      <c r="L21" s="13" t="s">
        <v>5</v>
      </c>
      <c r="M21" s="13" t="s">
        <v>22</v>
      </c>
      <c r="N21" s="35" t="s">
        <v>756</v>
      </c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202</v>
      </c>
      <c r="D22" s="32" t="s">
        <v>757</v>
      </c>
      <c r="E22" s="33">
        <v>3</v>
      </c>
      <c r="F22" s="36">
        <v>55</v>
      </c>
      <c r="G22" s="36">
        <v>53</v>
      </c>
      <c r="H22" s="38" t="str">
        <f t="shared" si="8"/>
        <v>SCOUTING</v>
      </c>
      <c r="I22" s="34">
        <v>344</v>
      </c>
      <c r="J22" s="13" t="s">
        <v>4</v>
      </c>
      <c r="K22" s="13" t="s">
        <v>63</v>
      </c>
      <c r="L22" s="13" t="s">
        <v>6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202</v>
      </c>
      <c r="D23" s="32" t="s">
        <v>758</v>
      </c>
      <c r="E23" s="33">
        <v>3</v>
      </c>
      <c r="F23" s="36">
        <v>55</v>
      </c>
      <c r="G23" s="36">
        <v>53</v>
      </c>
      <c r="H23" s="38" t="str">
        <f t="shared" si="8"/>
        <v>SCOUTING</v>
      </c>
      <c r="I23" s="34">
        <v>347</v>
      </c>
      <c r="J23" s="13" t="s">
        <v>4</v>
      </c>
      <c r="K23" s="13" t="s">
        <v>62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E2025</v>
      </c>
      <c r="C24" s="31">
        <f t="shared" si="3"/>
        <v>202</v>
      </c>
      <c r="D24" s="32" t="s">
        <v>759</v>
      </c>
      <c r="E24" s="33">
        <v>3</v>
      </c>
      <c r="F24" s="36">
        <v>58</v>
      </c>
      <c r="G24" s="36">
        <v>53</v>
      </c>
      <c r="H24" s="38" t="str">
        <f t="shared" si="8"/>
        <v>SCOUTING</v>
      </c>
      <c r="I24" s="34">
        <v>363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E2025</v>
      </c>
      <c r="C25" s="31">
        <f t="shared" si="3"/>
        <v>202</v>
      </c>
      <c r="D25" s="32" t="s">
        <v>760</v>
      </c>
      <c r="E25" s="33">
        <v>3</v>
      </c>
      <c r="F25" s="36">
        <v>61</v>
      </c>
      <c r="G25" s="36">
        <v>53</v>
      </c>
      <c r="H25" s="38" t="str">
        <f t="shared" si="8"/>
        <v>SCOUTING</v>
      </c>
      <c r="I25" s="34">
        <v>373</v>
      </c>
      <c r="J25" s="13" t="s">
        <v>4</v>
      </c>
      <c r="K25" s="13" t="s">
        <v>62</v>
      </c>
      <c r="L25" s="13" t="s">
        <v>6</v>
      </c>
      <c r="M25" s="13" t="s">
        <v>22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E2025</v>
      </c>
      <c r="C26" s="31">
        <f t="shared" si="3"/>
        <v>202</v>
      </c>
      <c r="D26" s="32" t="s">
        <v>761</v>
      </c>
      <c r="E26" s="33">
        <v>4</v>
      </c>
      <c r="F26" s="36">
        <v>83</v>
      </c>
      <c r="G26" s="36">
        <v>65</v>
      </c>
      <c r="H26" s="38" t="str">
        <f t="shared" si="8"/>
        <v>SCOUTING</v>
      </c>
      <c r="I26" s="34">
        <v>483</v>
      </c>
      <c r="J26" s="13" t="s">
        <v>4</v>
      </c>
      <c r="K26" s="13" t="s">
        <v>62</v>
      </c>
      <c r="L26" s="13" t="s">
        <v>5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>E2025</v>
      </c>
      <c r="C27" s="31">
        <f t="shared" si="3"/>
        <v>202</v>
      </c>
      <c r="D27" s="32" t="s">
        <v>762</v>
      </c>
      <c r="E27" s="33">
        <v>4</v>
      </c>
      <c r="F27" s="36">
        <v>93</v>
      </c>
      <c r="G27" s="36">
        <v>81</v>
      </c>
      <c r="H27" s="38" t="str">
        <f t="shared" si="8"/>
        <v>SCOUTING</v>
      </c>
      <c r="I27" s="34">
        <v>536</v>
      </c>
      <c r="J27" s="13" t="s">
        <v>4</v>
      </c>
      <c r="K27" s="13" t="s">
        <v>63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REPORT_E2025202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"E2025202"</v>
      </c>
      <c r="F3" s="45" t="str">
        <f t="shared" ref="F3:F16" si="0">""""&amp;B3&amp;"""" &amp; " : " &amp;C3&amp;","</f>
        <v>"name" : "E2025202",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"E202"</v>
      </c>
      <c r="F4" s="45" t="str">
        <f t="shared" si="0"/>
        <v>"cod" : "E202",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202</v>
      </c>
      <c r="F6" s="45" t="str">
        <f t="shared" si="0"/>
        <v>"number" : 202,</v>
      </c>
    </row>
    <row r="7" spans="2:6" x14ac:dyDescent="0.25">
      <c r="B7" s="43" t="s">
        <v>116</v>
      </c>
      <c r="C7" s="43" t="str">
        <f ca="1">""""&amp;TEXT('SCOUT &amp; LOGISTICS'!B3,"dd/mm/aaaa")&amp;""""</f>
        <v>"08/01/2026"</v>
      </c>
      <c r="F7" s="45" t="str">
        <f t="shared" ca="1" si="0"/>
        <v>"date" : "08/01/2026",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"LUIS CALLEJA"</v>
      </c>
      <c r="F10" s="45" t="str">
        <f t="shared" si="0"/>
        <v>"Data_entry" : "LUIS CALLEJA",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"VICTOR LAQUIDAIN"</v>
      </c>
      <c r="F11" s="45" t="str">
        <f t="shared" si="0"/>
        <v>"Caller_1" : "VICTOR LAQUIDAIN",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"MARIA LUZ DEL PINO"</v>
      </c>
      <c r="F12" s="45" t="str">
        <f t="shared" si="0"/>
        <v>"Caller_2" : "MARIA LUZ DEL PINO",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"INES RAQUEL PIATKOWSKA"</v>
      </c>
      <c r="F13" s="45" t="str">
        <f t="shared" si="0"/>
        <v>"Timerkeeper" : "INES RAQUEL PIATKOWSKA",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"NOA GARCIA"</v>
      </c>
      <c r="F14" s="45" t="str">
        <f t="shared" si="0"/>
        <v>"Shotclock" : "NOA GARCIA",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"ALVARO PEÑALBA"</v>
      </c>
      <c r="F15" s="45" t="str">
        <f t="shared" si="0"/>
        <v>"IRS" : "ALVARO PEÑALBA",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594</v>
      </c>
      <c r="F25" s="45" t="str">
        <f t="shared" ref="F25:F48" si="1">""""&amp;C25&amp;"""" &amp; " : " &amp;D25&amp;","</f>
        <v>"total_actions" : 594,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"1,9%"</v>
      </c>
      <c r="F27" s="45" t="str">
        <f t="shared" si="1"/>
        <v>"%_corrections" : "1,9%",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7</v>
      </c>
      <c r="F29" s="45" t="str">
        <f t="shared" si="1"/>
        <v>"no_team" : 7,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5</v>
      </c>
      <c r="F33" s="45" t="str">
        <f t="shared" si="1"/>
        <v>"q3" : 5,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"Gracias por el trabajo. Echad un vistazo a algún criterio de asistencias. Creo que eso os podrá ayudar a afinar aún más vuestro buen scout ;)"</v>
      </c>
      <c r="F51" s="45" t="str">
        <f>""""&amp;B51&amp;"""" &amp; " : " &amp;C51&amp;","</f>
        <v>"comments" : "Gracias por el trabajo. Echad un vistazo a algún criterio de asistencias. Creo que eso os podrá ayudar a afinar aún más vuestro buen scout ;)",</v>
      </c>
    </row>
    <row r="52" spans="2:6" x14ac:dyDescent="0.25">
      <c r="B52" s="43" t="s">
        <v>153</v>
      </c>
      <c r="C52" s="43" t="str">
        <f>TEXT('SCOUT &amp; LOGISTICS'!F1,"0,0")</f>
        <v>21_202_MAD_TEL_E2025</v>
      </c>
      <c r="F52" s="45" t="str">
        <f>""""&amp;B52&amp;"""" &amp; " : " &amp;C52</f>
        <v>"result" : 21_202_MAD_TEL_E2025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E202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08/01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LUIS CALLEJA</v>
      </c>
      <c r="C8" s="201"/>
      <c r="D8" s="201"/>
      <c r="E8" s="201"/>
      <c r="F8" s="201"/>
      <c r="G8" s="201" t="str">
        <f>IF('SCOUT &amp; LOGISTICS'!D7="","",'SCOUT &amp; LOGISTICS'!D7)</f>
        <v>VICTOR LAQUIDAIN</v>
      </c>
      <c r="H8" s="201"/>
      <c r="I8" s="201"/>
      <c r="J8" s="201"/>
      <c r="K8" s="201"/>
      <c r="L8" s="201" t="str">
        <f>IF('SCOUT &amp; LOGISTICS'!D8="","",'SCOUT &amp; LOGISTICS'!D8)</f>
        <v>MARIA LUZ DEL PINO</v>
      </c>
      <c r="M8" s="201"/>
      <c r="N8" s="201"/>
      <c r="O8" s="201"/>
      <c r="P8" s="201"/>
      <c r="Q8" s="201" t="str">
        <f>IF('SCOUT &amp; LOGISTICS'!D9="","",'SCOUT &amp; LOGISTICS'!D9)</f>
        <v>INES RAQUEL PIATKOWSKA</v>
      </c>
      <c r="R8" s="201"/>
      <c r="S8" s="201"/>
      <c r="T8" s="201"/>
      <c r="U8" s="201"/>
      <c r="V8" s="201" t="str">
        <f>IF('SCOUT &amp; LOGISTICS'!D10="","",'SCOUT &amp; LOGISTICS'!D10)</f>
        <v>NOA GARCIA</v>
      </c>
      <c r="W8" s="201"/>
      <c r="X8" s="201"/>
      <c r="Y8" s="201"/>
      <c r="Z8" s="201"/>
      <c r="AA8" s="201" t="str">
        <f>IF('SCOUT &amp; LOGISTICS'!D11="","",'SCOUT &amp; LOGISTICS'!D11)</f>
        <v>ALVARO PEÑALBA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594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1.8518518518518517E-2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7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3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5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11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7</v>
      </c>
      <c r="C27" s="199"/>
      <c r="D27" s="199"/>
      <c r="E27" s="199"/>
      <c r="F27" s="199"/>
      <c r="G27" s="199">
        <f>'SCOUT &amp; LOGISTICS'!AC22</f>
        <v>3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Gracias por el trabajo. Echad un vistazo a algún criterio de asistencias. Creo que eso os podrá ayudar a afinar aún más vuestro buen scout ;)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10.851851851851851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04090689-F2F4-4C38-AA43-B0CC1576957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2026-01-09T16:46:21Z</cp:lastPrinted>
  <dcterms:created xsi:type="dcterms:W3CDTF">2023-09-19T19:50:35Z</dcterms:created>
  <dcterms:modified xsi:type="dcterms:W3CDTF">2026-01-09T16:46:29Z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