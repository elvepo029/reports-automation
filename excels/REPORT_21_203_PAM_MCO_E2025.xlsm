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5" documentId="8_{B2D81CB7-FF8F-4183-944E-07220D9ADD50}" xr6:coauthVersionLast="47" xr6:coauthVersionMax="47" xr10:uidLastSave="{37024564-42C4-41AF-9633-3A9FFE52D8B2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<sst xmlns="http://schemas.openxmlformats.org/spreadsheetml/2006/main" count="3316" uniqueCount="773">
  <si>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</si>
  <si>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</si>
  <si>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</si>
  <si>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</si>
  <si>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</si>
  <si>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</si>
  <si>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</si>
  <si>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</si>
  <si>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</si>
  <si>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</si>
  <si>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</si>
  <si>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</si>
  <si>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</si>
  <si>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</si>
  <si>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</si>
  <si>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</si>
  <si>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</si>
  <si>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</si>
  <si>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</si>
  <si>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</si>
  <si>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</si>
  <si>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</si>
  <si>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</si>
  <si>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</si>
  <si>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</si>
  <si>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</si>
  <si>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</si>
  <si>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</si>
  <si>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</si>
  <si>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</si>
  <si>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</si>
  <si>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</si>
  <si>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</si>
  <si>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</si>
  <si>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</si>
  <si>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</si>
  <si>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</si>
  <si>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</si>
  <si>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</si>
  <si>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</si>
  <si>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</si>
  <si>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</si>
  <si>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</si>
  <si>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</si>
  <si>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</si>
  <si>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</si>
  <si>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</si>
  <si>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</si>
  <si>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</si>
  <si>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</si>
  <si>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</si>
  <si>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</si>
  <si>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</si>
  <si>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</si>
  <si>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</si>
  <si>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</si>
  <si>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</si>
  <si>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</si>
  <si>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</si>
  <si>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</si>
  <si>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</si>
  <si>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</si>
  <si>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</si>
  <si>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</si>
  <si>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</si>
  <si>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</si>
  <si>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</si>
  <si>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</si>
  <si>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</si>
  <si>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</si>
  <si>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</si>
  <si>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</si>
  <si>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</si>
  <si>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</si>
  <si>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</si>
  <si>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</si>
  <si>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</si>
  <si>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</si>
  <si>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</si>
  <si>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</si>
  <si>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</si>
  <si>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</si>
  <si>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</si>
  <si>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</si>
  <si>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</si>
  <si>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</si>
  <si>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</si>
  <si>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</si>
  <si>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</si>
  <si>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</si>
  <si>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</si>
  <si>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</si>
  <si>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</si>
  <si>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</si>
  <si>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</si>
  <si>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</si>
  <si>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</si>
  <si>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</si>
  <si>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</si>
  <si>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</si>
  <si>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</si>
  <si>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</si>
  <si>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</si>
  <si>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</si>
  <si>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</si>
  <si>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</si>
  <si>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</si>
  <si>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</si>
  <si>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</si>
  <si>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</si>
  <si>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</si>
  <si>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</si>
  <si>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</si>
  <si>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</si>
  <si>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</si>
  <si>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</si>
  <si>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</si>
  <si>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</si>
  <si>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</si>
  <si>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</si>
  <si>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</si>
  <si>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</si>
  <si>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</si>
  <si>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</si>
  <si>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</si>
  <si>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</si>
  <si>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</si>
  <si>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</si>
  <si>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</si>
  <si>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</si>
  <si>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</si>
  <si>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</si>
  <si>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</si>
  <si>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</si>
  <si>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</si>
  <si>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</si>
  <si>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</si>
  <si>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</si>
  <si>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</si>
  <si>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</si>
  <si>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</si>
  <si>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</si>
  <si>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</si>
  <si>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</si>
  <si>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</si>
  <si>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</si>
  <si>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</si>
  <si>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</si>
  <si>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</si>
  <si>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</si>
  <si>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</si>
  <si>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</si>
  <si>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</si>
  <si>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</si>
  <si>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</si>
  <si>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</si>
  <si>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</si>
  <si>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</si>
  <si>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</si>
  <si>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</si>
  <si>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</si>
  <si>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</si>
  <si>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</si>
  <si>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</si>
  <si>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</si>
  <si>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</si>
  <si>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</si>
  <si>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</si>
  <si>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</si>
  <si>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</si>
  <si>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</si>
  <si>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</si>
  <si>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</si>
  <si>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</si>
  <si>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</si>
  <si>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</si>
  <si>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</si>
  <si>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</si>
  <si>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</si>
  <si>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</si>
  <si>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</si>
  <si>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</si>
  <si>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</si>
  <si>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</si>
  <si>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</si>
  <si>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</si>
  <si>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</si>
  <si>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</si>
  <si>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</si>
  <si>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</si>
  <si>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</si>
  <si>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</si>
  <si>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</si>
  <si>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</si>
  <si>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</si>
  <si>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</si>
  <si>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</si>
  <si>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</si>
  <si>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</si>
  <si>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</si>
  <si>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</si>
  <si>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</si>
  <si>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</si>
  <si>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</si>
  <si>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</si>
  <si>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</si>
  <si>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</si>
  <si>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</si>
  <si>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</si>
  <si>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</si>
  <si>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</si>
  <si>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</si>
  <si>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</si>
  <si>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</si>
  <si>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</si>
  <si>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</si>
  <si>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</si>
  <si>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</si>
  <si>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</si>
  <si>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</si>
  <si>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</si>
  <si>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</si>
  <si>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</si>
  <si>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</si>
  <si>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</si>
  <si>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</si>
  <si>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</si>
  <si>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</si>
  <si>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</si>
  <si>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</si>
  <si>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</si>
  <si>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</si>
  <si>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</si>
  <si>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</si>
  <si>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</si>
  <si>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</si>
  <si>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</si>
  <si>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</si>
  <si>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</si>
  <si>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</si>
  <si>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</si>
  <si>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</si>
  <si>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</si>
  <si>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</si>
  <si>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</si>
  <si>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</si>
  <si>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</si>
  <si>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</si>
  <si>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</si>
  <si>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</si>
  <si>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</si>
  <si>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</si>
  <si>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</si>
  <si>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</si>
  <si>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</si>
  <si>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</si>
  <si>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</si>
  <si>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</si>
  <si>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</si>
  <si>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</si>
  <si>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</si>
  <si>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</si>
  <si>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</si>
  <si>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</si>
  <si>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</si>
  <si>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</si>
  <si>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</si>
  <si>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</si>
  <si>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</si>
  <si>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</si>
  <si>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</si>
  <si>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</si>
  <si>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</si>
  <si>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</si>
  <si>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</si>
  <si>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</si>
  <si>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</si>
  <si>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</si>
  <si>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</si>
  <si>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</si>
  <si>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</si>
  <si>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</si>
  <si>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</si>
  <si>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</si>
  <si>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</si>
  <si>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</si>
  <si>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</si>
  <si>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</si>
  <si>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</si>
  <si>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</si>
  <si>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</si>
  <si>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</si>
  <si>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</si>
  <si>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</si>
  <si>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</si>
  <si>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</si>
  <si>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</si>
  <si>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</si>
  <si>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</si>
  <si>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</si>
  <si>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</si>
  <si>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</si>
  <si>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</si>
  <si>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</si>
  <si>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</si>
  <si>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</si>
  <si>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</si>
  <si>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</si>
  <si>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</si>
  <si>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</si>
  <si>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</si>
  <si>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</si>
  <si>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</si>
  <si>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</si>
  <si>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</si>
  <si>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</si>
  <si>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</si>
  <si>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</si>
  <si>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</si>
  <si>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</si>
  <si>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</si>
  <si>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</si>
  <si>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</si>
  <si>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</si>
  <si>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</si>
  <si>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</si>
  <si>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</si>
  <si>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</si>
  <si>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</si>
  <si>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</si>
  <si>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</si>
  <si>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</si>
  <si>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</si>
  <si>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</si>
  <si>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</si>
  <si>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</si>
  <si>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</si>
  <si>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</si>
  <si>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</si>
  <si>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</si>
  <si>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</si>
  <si>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</si>
  <si>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</si>
  <si>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</si>
  <si>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</si>
  <si>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</si>
  <si>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</si>
  <si>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</si>
  <si>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</si>
  <si>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</si>
  <si>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</si>
  <si>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</si>
  <si>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</si>
  <si>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</si>
  <si>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</si>
  <si>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</si>
  <si>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</si>
  <si>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</si>
  <si>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</si>
  <si>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</si>
  <si>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</si>
  <si>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</si>
  <si>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</si>
  <si>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</si>
  <si>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</si>
  <si>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</si>
  <si>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</si>
  <si>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</si>
  <si>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</si>
  <si>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</si>
  <si>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</si>
  <si>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</si>
  <si>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</si>
  <si>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</si>
  <si>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</si>
  <si>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</si>
  <si>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</si>
  <si>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</si>
  <si>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</si>
  <si>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</si>
  <si>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</si>
  <si>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</si>
  <si>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</si>
  <si>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</si>
  <si>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</si>
  <si>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</si>
  <si>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</si>
  <si>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</si>
  <si>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</si>
  <si>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</si>
  <si>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</si>
  <si>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</si>
  <si>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</si>
  <si>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</si>
  <si>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</si>
  <si>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</si>
  <si>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</si>
  <si>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</si>
  <si>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</si>
  <si>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</si>
  <si>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</si>
  <si>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</si>
  <si>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</si>
  <si>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</si>
  <si>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</si>
  <si>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</si>
  <si>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</si>
  <si>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</si>
  <si>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</si>
  <si>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</si>
  <si>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</si>
  <si>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</si>
  <si>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</si>
  <si>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</si>
  <si>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</si>
  <si>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</si>
  <si>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</si>
  <si>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</si>
  <si>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</si>
  <si>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</si>
  <si>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</si>
  <si>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</si>
  <si>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</si>
  <si>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</si>
  <si>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</si>
  <si>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</si>
  <si>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</si>
  <si>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</si>
  <si>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</si>
  <si>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</si>
  <si>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</si>
  <si>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</si>
  <si>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</si>
  <si>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</si>
  <si>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</si>
  <si>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</si>
  <si>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</si>
  <si>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</si>
  <si>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</si>
  <si>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</si>
  <si>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</si>
  <si>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</si>
  <si>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</si>
  <si>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</si>
  <si>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</si>
  <si>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</si>
  <si>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</si>
  <si>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</si>
  <si>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</si>
  <si>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</si>
  <si>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</si>
  <si>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</si>
  <si>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</si>
  <si>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</si>
  <si>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</si>
  <si>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</si>
  <si>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</si>
  <si>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</si>
  <si>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</si>
  <si>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</si>
  <si>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</si>
  <si>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</si>
  <si>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</si>
  <si>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</si>
  <si>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</si>
  <si>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</si>
  <si>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</si>
  <si>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</si>
  <si>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</si>
  <si>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</si>
  <si>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</si>
  <si>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</si>
  <si>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</si>
  <si>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</si>
  <si>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</si>
  <si>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</si>
  <si>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</si>
  <si>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</si>
  <si>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</si>
  <si>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</si>
  <si>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</si>
  <si>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</si>
  <si>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</si>
  <si>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</si>
  <si>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</si>
  <si>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</si>
  <si>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</si>
  <si>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</si>
  <si>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</si>
  <si>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</si>
  <si>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</si>
  <si>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</si>
  <si>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</si>
  <si>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</si>
  <si>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</si>
  <si>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</si>
  <si>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</si>
  <si>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</si>
  <si>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</si>
  <si>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</si>
  <si>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</si>
  <si>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</si>
  <si>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</si>
  <si>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</si>
  <si>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</si>
  <si>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</si>
  <si>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</si>
  <si>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</si>
  <si>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</si>
  <si>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</si>
  <si>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</si>
  <si>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</si>
  <si>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</si>
  <si>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</si>
  <si>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</si>
  <si>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</si>
  <si>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</si>
  <si>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</si>
  <si>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</si>
  <si>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</si>
  <si>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</si>
  <si>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</si>
  <si>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</si>
  <si>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</si>
  <si>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</si>
  <si>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</si>
  <si>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</si>
  <si>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</si>
  <si>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</si>
  <si>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</si>
  <si>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</si>
  <si>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</si>
  <si>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</si>
  <si>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</si>
  <si>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</si>
  <si>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</si>
  <si>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</si>
  <si>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</si>
  <si>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</si>
  <si>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</si>
  <si>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</si>
  <si>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</si>
  <si>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</si>
  <si>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</si>
  <si>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</si>
  <si>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</si>
  <si>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</si>
  <si>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</si>
  <si>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</si>
  <si>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</si>
  <si>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</si>
  <si>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</si>
  <si>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</si>
  <si>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</si>
  <si>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</si>
  <si>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</si>
  <si>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</si>
  <si>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</si>
  <si>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</si>
  <si>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</si>
  <si>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</si>
  <si>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</si>
  <si>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</si>
  <si>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</si>
  <si>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</si>
  <si>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</si>
  <si>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</si>
  <si>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</si>
  <si>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</si>
  <si>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</si>
  <si>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</si>
  <si>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</si>
  <si>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</si>
  <si>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</si>
  <si>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</si>
  <si>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</si>
  <si>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</si>
  <si>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</si>
  <si>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</si>
  <si>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</si>
  <si>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</si>
  <si>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</si>
  <si>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</si>
  <si>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</si>
  <si>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</si>
  <si>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</si>
  <si>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</si>
  <si>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</si>
  <si>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</si>
  <si>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</si>
  <si>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</si>
  <si>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</si>
  <si>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</si>
  <si>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</si>
  <si>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</si>
  <si>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</si>
  <si>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</si>
  <si>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</si>
  <si>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</si>
  <si>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</si>
  <si>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</si>
  <si>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</si>
  <si>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</si>
  <si>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</si>
  <si>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</si>
  <si>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</si>
  <si>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</si>
  <si>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</si>
  <si>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</si>
  <si>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</si>
  <si>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</si>
  <si>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</si>
  <si>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</si>
  <si>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</si>
  <si>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</si>
  <si>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</si>
  <si>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</si>
  <si>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</si>
  <si>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</si>
  <si>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</si>
  <si>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</si>
  <si>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</si>
  <si>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</si>
  <si>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</si>
  <si>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</si>
  <si>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</si>
  <si>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</si>
  <si>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</si>
  <si>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</si>
  <si>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</si>
  <si>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</si>
  <si>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</si>
  <si>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</si>
  <si>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</si>
  <si>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</si>
  <si>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</si>
  <si>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</si>
  <si>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</si>
  <si>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</si>
  <si>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</si>
  <si>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</si>
  <si>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</si>
  <si>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</si>
  <si>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</si>
  <si>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</si>
  <si>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</si>
  <si>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</si>
  <si>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</si>
  <si>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</si>
  <si>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</si>
  <si>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</si>
  <si>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</si>
  <si>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</si>
  <si>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</si>
  <si>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</si>
  <si>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</si>
  <si>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</si>
  <si>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</si>
  <si>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</si>
  <si>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</si>
  <si>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</si>
  <si>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</si>
  <si>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</si>
  <si>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</si>
  <si>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</si>
  <si>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</si>
  <si>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</si>
  <si>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</si>
  <si>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</si>
  <si>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</si>
  <si>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</si>
  <si>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</si>
  <si>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</si>
  <si>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</si>
  <si>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</si>
  <si>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</si>
  <si>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</si>
  <si>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</si>
  <si>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</si>
  <si>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</si>
  <si>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</si>
  <si>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</si>
  <si>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</si>
  <si>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</si>
  <si>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</si>
  <si>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</si>
  <si>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</si>
  <si>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</si>
  <si>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</si>
  <si>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</si>
  <si>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</si>
  <si>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</si>
  <si>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</si>
  <si>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</si>
  <si>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</si>
  <si>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</si>
  <si>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</si>
  <si>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</si>
  <si>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</si>
  <si>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</si>
  <si>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</si>
  <si>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</si>
  <si>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</si>
  <si>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</si>
  <si>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</si>
  <si>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</si>
  <si>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</si>
  <si>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</si>
  <si>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</si>
  <si>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</si>
  <si>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</si>
  <si>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</si>
  <si>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</si>
  <si>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</si>
  <si>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</si>
  <si>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</si>
  <si>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</si>
  <si>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</si>
  <si>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</si>
  <si>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</si>
  <si>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</si>
  <si>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</si>
  <si>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</si>
  <si>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</si>
  <si>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</si>
  <si>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</si>
  <si>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</si>
  <si>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</si>
  <si>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</si>
  <si>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</si>
  <si>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</si>
  <si>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</si>
  <si>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</si>
  <si>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</si>
  <si>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</si>
  <si>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</si>
  <si>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</si>
  <si>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</si>
  <si>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</si>
  <si>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</si>
  <si>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</si>
  <si>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</si>
  <si>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</si>
  <si>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</si>
  <si>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</si>
  <si>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</si>
  <si>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</si>
  <si>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</si>
  <si>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</si>
  <si>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</si>
  <si>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</si>
  <si>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JACOBO LAPRESTA</t>
  </si>
  <si>
    <t>JOSE VICENTE ARQUES</t>
  </si>
  <si>
    <t>JOSE ANTONIO RODRIGUEZ</t>
  </si>
  <si>
    <t>PABLO DESSE</t>
  </si>
  <si>
    <t>DIEGO RUIZ</t>
  </si>
  <si>
    <t>BORJA RODRIGUEZ</t>
  </si>
  <si>
    <t>03:01</t>
  </si>
  <si>
    <t>-</t>
  </si>
  <si>
    <t>02:45</t>
  </si>
  <si>
    <t>01:58</t>
  </si>
  <si>
    <t>01:57</t>
  </si>
  <si>
    <t>01:55</t>
  </si>
  <si>
    <t>01:53</t>
  </si>
  <si>
    <t>01:42</t>
  </si>
  <si>
    <t>07:58</t>
  </si>
  <si>
    <t>07:52</t>
  </si>
  <si>
    <t>07:47</t>
  </si>
  <si>
    <t>07:09</t>
  </si>
  <si>
    <t>05:15</t>
  </si>
  <si>
    <t>03:20</t>
  </si>
  <si>
    <t>I can’t tell you anything. You should evaluate yourselves what happened and how you can improve it. I’ll just remind you that if I need to review a play, tell me the play number, since I’m at least one minute behind the live broadcast.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</si>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</sst>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21_203_PAM_MCO_E2025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46030.854166666664</v>
      </c>
      <c r="C3" s="178"/>
      <c r="D3" s="39">
        <v>626</v>
      </c>
      <c r="E3" s="29"/>
      <c r="F3" s="26">
        <f>SUBTOTAL(3,I17:I106)</f>
        <v>14</v>
      </c>
      <c r="G3" s="27">
        <f>IF(OR(D3="",D3=0),"",F3/D3)</f>
        <v>2.2364217252396165E-2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771</v>
      </c>
      <c r="N4" s="186"/>
      <c r="O4" s="2"/>
      <c r="P4" s="2"/>
      <c r="Q4" s="84" t="s">
        <v>175</v>
      </c>
      <c r="R4" s="94">
        <f>(IF(G3="",0,G3))</f>
        <v>2.2364217252396165E-2</v>
      </c>
      <c r="S4" s="61">
        <f>SUM(I13:M13)</f>
        <v>2</v>
      </c>
      <c r="T4" s="78"/>
      <c r="U4" s="61">
        <f>AC18</f>
        <v>4</v>
      </c>
      <c r="V4" s="61">
        <f>+AC22</f>
        <v>8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2.2364217252396164</v>
      </c>
      <c r="S5" s="70">
        <f t="shared" ref="S5" si="0">S4*S3</f>
        <v>2</v>
      </c>
      <c r="T5" s="92"/>
      <c r="U5" s="70">
        <f t="shared" ref="U5:AG5" si="1">U4*U3</f>
        <v>2</v>
      </c>
      <c r="V5" s="70">
        <f t="shared" si="1"/>
        <v>8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36.736421725239616</v>
      </c>
      <c r="N7" s="58"/>
      <c r="O7" s="2"/>
      <c r="P7" s="2"/>
      <c r="Q7" s="86">
        <f>SUM(R5,S5,AC16)</f>
        <v>36.736421725239616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16.736421725239616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203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32.5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203</v>
      </c>
      <c r="D17" s="32" t="s">
        <v>757</v>
      </c>
      <c r="E17" s="33">
        <v>1</v>
      </c>
      <c r="F17" s="36">
        <v>21</v>
      </c>
      <c r="G17" s="36">
        <v>18</v>
      </c>
      <c r="H17" s="38" t="str">
        <f>IF(I17="","",$I$14)</f>
        <v>SCOUTING</v>
      </c>
      <c r="I17" s="34">
        <v>91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8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203</v>
      </c>
      <c r="D18" s="32" t="s">
        <v>53</v>
      </c>
      <c r="E18" s="33">
        <v>1</v>
      </c>
      <c r="F18" s="36">
        <v>16</v>
      </c>
      <c r="G18" s="36">
        <v>12</v>
      </c>
      <c r="H18" s="38" t="str">
        <f t="shared" ref="H18:H81" si="8">IF(I18="","",$I$14)</f>
        <v>SCOUTING</v>
      </c>
      <c r="I18" s="34" t="s">
        <v>758</v>
      </c>
      <c r="J18" s="13" t="s">
        <v>3</v>
      </c>
      <c r="K18" s="13" t="s">
        <v>62</v>
      </c>
      <c r="L18" s="13" t="s">
        <v>77</v>
      </c>
      <c r="M18" s="13" t="s">
        <v>34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203</v>
      </c>
      <c r="D19" s="32" t="s">
        <v>759</v>
      </c>
      <c r="E19" s="33">
        <v>1</v>
      </c>
      <c r="F19" s="36">
        <v>23</v>
      </c>
      <c r="G19" s="36">
        <v>20</v>
      </c>
      <c r="H19" s="38" t="str">
        <f t="shared" si="8"/>
        <v>SCOUTING</v>
      </c>
      <c r="I19" s="34">
        <v>97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203</v>
      </c>
      <c r="D20" s="32" t="s">
        <v>760</v>
      </c>
      <c r="E20" s="33">
        <v>1</v>
      </c>
      <c r="F20" s="36">
        <v>23</v>
      </c>
      <c r="G20" s="36">
        <v>23</v>
      </c>
      <c r="H20" s="38" t="str">
        <f t="shared" si="8"/>
        <v>SCOUTING</v>
      </c>
      <c r="I20" s="34">
        <v>116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203</v>
      </c>
      <c r="D21" s="32" t="s">
        <v>761</v>
      </c>
      <c r="E21" s="33">
        <v>1</v>
      </c>
      <c r="F21" s="36">
        <v>23</v>
      </c>
      <c r="G21" s="36">
        <v>23</v>
      </c>
      <c r="H21" s="38" t="str">
        <f t="shared" si="8"/>
        <v>SCOUTING</v>
      </c>
      <c r="I21" s="34">
        <v>116</v>
      </c>
      <c r="J21" s="13" t="s">
        <v>4</v>
      </c>
      <c r="K21" s="13" t="s">
        <v>63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203</v>
      </c>
      <c r="D22" s="32" t="s">
        <v>762</v>
      </c>
      <c r="E22" s="33">
        <v>1</v>
      </c>
      <c r="F22" s="36">
        <v>23</v>
      </c>
      <c r="G22" s="36">
        <v>23</v>
      </c>
      <c r="H22" s="38" t="str">
        <f t="shared" si="8"/>
        <v>SCOUTING</v>
      </c>
      <c r="I22" s="34">
        <v>117</v>
      </c>
      <c r="J22" s="13" t="s">
        <v>4</v>
      </c>
      <c r="K22" s="13" t="s">
        <v>62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8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203</v>
      </c>
      <c r="D23" s="32" t="s">
        <v>763</v>
      </c>
      <c r="E23" s="33">
        <v>1</v>
      </c>
      <c r="F23" s="36">
        <v>23</v>
      </c>
      <c r="G23" s="36">
        <v>23</v>
      </c>
      <c r="H23" s="38" t="str">
        <f t="shared" si="8"/>
        <v>SCOUTING</v>
      </c>
      <c r="I23" s="34">
        <v>118</v>
      </c>
      <c r="J23" s="13" t="s">
        <v>4</v>
      </c>
      <c r="K23" s="13" t="s">
        <v>62</v>
      </c>
      <c r="L23" s="13" t="s">
        <v>6</v>
      </c>
      <c r="M23" s="13" t="s">
        <v>26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203</v>
      </c>
      <c r="D24" s="32" t="s">
        <v>764</v>
      </c>
      <c r="E24" s="33">
        <v>1</v>
      </c>
      <c r="F24" s="36">
        <v>23</v>
      </c>
      <c r="G24" s="36">
        <v>23</v>
      </c>
      <c r="H24" s="38" t="str">
        <f t="shared" si="8"/>
        <v>SCOUTING</v>
      </c>
      <c r="I24" s="34">
        <v>120</v>
      </c>
      <c r="J24" s="13" t="s">
        <v>4</v>
      </c>
      <c r="K24" s="13" t="s">
        <v>62</v>
      </c>
      <c r="L24" s="13" t="s">
        <v>7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203</v>
      </c>
      <c r="D25" s="32" t="s">
        <v>765</v>
      </c>
      <c r="E25" s="33">
        <v>2</v>
      </c>
      <c r="F25" s="36">
        <v>30</v>
      </c>
      <c r="G25" s="36">
        <v>30</v>
      </c>
      <c r="H25" s="38" t="str">
        <f t="shared" si="8"/>
        <v>SCOUTING</v>
      </c>
      <c r="I25" s="34">
        <v>183</v>
      </c>
      <c r="J25" s="13" t="s">
        <v>4</v>
      </c>
      <c r="K25" s="13" t="s">
        <v>63</v>
      </c>
      <c r="L25" s="13" t="s">
        <v>6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203</v>
      </c>
      <c r="D26" s="32" t="s">
        <v>766</v>
      </c>
      <c r="E26" s="33">
        <v>2</v>
      </c>
      <c r="F26" s="36">
        <v>30</v>
      </c>
      <c r="G26" s="36">
        <v>30</v>
      </c>
      <c r="H26" s="38" t="str">
        <f t="shared" si="8"/>
        <v>SCOUTING</v>
      </c>
      <c r="I26" s="34">
        <v>184</v>
      </c>
      <c r="J26" s="13" t="s">
        <v>4</v>
      </c>
      <c r="K26" s="13" t="s">
        <v>63</v>
      </c>
      <c r="L26" s="13" t="s">
        <v>6</v>
      </c>
      <c r="M26" s="13" t="s">
        <v>27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203</v>
      </c>
      <c r="D27" s="32" t="s">
        <v>767</v>
      </c>
      <c r="E27" s="33">
        <v>2</v>
      </c>
      <c r="F27" s="36">
        <v>30</v>
      </c>
      <c r="G27" s="36">
        <v>30</v>
      </c>
      <c r="H27" s="38" t="str">
        <f t="shared" si="8"/>
        <v>SCOUTING</v>
      </c>
      <c r="I27" s="34">
        <v>187</v>
      </c>
      <c r="J27" s="13" t="s">
        <v>4</v>
      </c>
      <c r="K27" s="13" t="s">
        <v>62</v>
      </c>
      <c r="L27" s="13" t="s">
        <v>6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203</v>
      </c>
      <c r="D28" s="32" t="s">
        <v>768</v>
      </c>
      <c r="E28" s="33">
        <v>2</v>
      </c>
      <c r="F28" s="36">
        <v>32</v>
      </c>
      <c r="G28" s="36">
        <v>32</v>
      </c>
      <c r="H28" s="38" t="str">
        <f t="shared" si="8"/>
        <v>SCOUTING</v>
      </c>
      <c r="I28" s="34">
        <v>195</v>
      </c>
      <c r="J28" s="13" t="s">
        <v>4</v>
      </c>
      <c r="K28" s="13" t="s">
        <v>63</v>
      </c>
      <c r="L28" s="13" t="s">
        <v>6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203</v>
      </c>
      <c r="D29" s="32" t="s">
        <v>769</v>
      </c>
      <c r="E29" s="33">
        <v>2</v>
      </c>
      <c r="F29" s="36">
        <v>34</v>
      </c>
      <c r="G29" s="36">
        <v>41</v>
      </c>
      <c r="H29" s="38" t="str">
        <f t="shared" si="8"/>
        <v>SCOUTING</v>
      </c>
      <c r="I29" s="34">
        <v>221</v>
      </c>
      <c r="J29" s="13" t="s">
        <v>4</v>
      </c>
      <c r="K29" s="13" t="s">
        <v>63</v>
      </c>
      <c r="L29" s="13" t="s">
        <v>6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203</v>
      </c>
      <c r="D30" s="32" t="s">
        <v>770</v>
      </c>
      <c r="E30" s="33">
        <v>4</v>
      </c>
      <c r="F30" s="36">
        <v>85</v>
      </c>
      <c r="G30" s="36">
        <v>95</v>
      </c>
      <c r="H30" s="38" t="str">
        <f t="shared" si="8"/>
        <v>SCOUTING</v>
      </c>
      <c r="I30" s="34">
        <v>568</v>
      </c>
      <c r="J30" s="13" t="s">
        <v>4</v>
      </c>
      <c r="K30" s="13" t="s">
        <v>63</v>
      </c>
      <c r="L30" s="13" t="s">
        <v>5</v>
      </c>
      <c r="M30" s="13" t="s">
        <v>28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"E2025203"</v>
      </c>
      <c r="F3" s="45" t="str">
        <f t="shared" ref="F3:F16" si="0">""""&amp;B3&amp;"""" &amp; " : " &amp;C3&amp;","</f>
        <v>"name" : "E2025203",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"E203"</v>
      </c>
      <c r="F4" s="45" t="str">
        <f t="shared" si="0"/>
        <v>"cod" : "E203",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203</v>
      </c>
      <c r="F6" s="45" t="str">
        <f t="shared" si="0"/>
        <v>"number" : 203,</v>
      </c>
    </row>
    <row r="7" spans="2:6" x14ac:dyDescent="0.25">
      <c r="B7" s="43" t="s">
        <v>116</v>
      </c>
      <c r="C7" s="43" t="str">
        <f ca="1">""""&amp;TEXT('SCOUT &amp; LOGISTICS'!B3,"dd/mm/aaaa")&amp;""""</f>
        <v>"08/01/Thursday"</v>
      </c>
      <c r="F7" s="45" t="str">
        <f t="shared" ca="1" si="0"/>
        <v>"date" : "08/01/Thursday",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"PABLO DESSE"</v>
      </c>
      <c r="F13" s="45" t="str">
        <f t="shared" si="0"/>
        <v>"Timerkeeper" : "PABLO DESSE",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"DIEGO RUIZ"</v>
      </c>
      <c r="F14" s="45" t="str">
        <f t="shared" si="0"/>
        <v>"Shotclock" : "DIEGO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8</v>
      </c>
      <c r="F31" s="45" t="str">
        <f t="shared" si="1"/>
        <v>"q1" : 8,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can’t tell you anything. You should evaluate yourselves what happened and how you can improve it. I’ll just remind you that if I need to review a play, tell me the play number, since I’m at least one minute behind the live broadcast."</v>
      </c>
      <c r="F51" s="45" t="str">
        <f>""""&amp;B51&amp;"""" &amp; " : " &amp;C51&amp;","</f>
        <v>"comments" : "I can’t tell you anything. You should evaluate yourselves what happened and how you can improve it. I’ll just remind you that if I need to review a play, tell me the play number, since I’m at least one minute behind the live broadcast.",</v>
      </c>
    </row>
    <row r="52" spans="2:6" x14ac:dyDescent="0.25">
      <c r="B52" s="43" t="s">
        <v>153</v>
      </c>
      <c r="C52" s="43" t="str">
        <f>TEXT('SCOUT &amp; LOGISTICS'!F1,"0,0")</f>
        <v>21_203_PAM_MCO_E2025</v>
      </c>
      <c r="F52" s="45" t="str">
        <f>""""&amp;B52&amp;"""" &amp; " : " &amp;C52</f>
        <v>"result" : 21_203_PAM_MCO_E2025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E203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JACOBO LAPRESTA</v>
      </c>
      <c r="C8" s="201"/>
      <c r="D8" s="201"/>
      <c r="E8" s="201"/>
      <c r="F8" s="201"/>
      <c r="G8" s="201" t="str">
        <f>IF('SCOUT &amp; LOGISTICS'!D7="","",'SCOUT &amp; LOGISTICS'!D7)</f>
        <v>JOSE VICENTE ARQUES</v>
      </c>
      <c r="H8" s="201"/>
      <c r="I8" s="201"/>
      <c r="J8" s="201"/>
      <c r="K8" s="201"/>
      <c r="L8" s="201" t="str">
        <f>IF('SCOUT &amp; LOGISTICS'!D8="","",'SCOUT &amp; LOGISTICS'!D8)</f>
        <v>JOSE ANTONIO RODRIGUEZ</v>
      </c>
      <c r="M8" s="201"/>
      <c r="N8" s="201"/>
      <c r="O8" s="201"/>
      <c r="P8" s="201"/>
      <c r="Q8" s="201" t="str">
        <f>IF('SCOUT &amp; LOGISTICS'!D9="","",'SCOUT &amp; LOGISTICS'!D9)</f>
        <v>PABLO DESSE</v>
      </c>
      <c r="R8" s="201"/>
      <c r="S8" s="201"/>
      <c r="T8" s="201"/>
      <c r="U8" s="201"/>
      <c r="V8" s="201" t="str">
        <f>IF('SCOUT &amp; LOGISTICS'!D10="","",'SCOUT &amp; LOGISTICS'!D10)</f>
        <v>DIEGO RUIZ</v>
      </c>
      <c r="W8" s="201"/>
      <c r="X8" s="201"/>
      <c r="Y8" s="201"/>
      <c r="Z8" s="201"/>
      <c r="AA8" s="201" t="str">
        <f>IF('SCOUT &amp; LOGISTICS'!D11="","",'SCOUT &amp; LOGISTICS'!D11)</f>
        <v>BORJA RODRIGUEZ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626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2.2364217252396165E-2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7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8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8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1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 can’t tell you anything. You should evaluate yourselves what happened and how you can improve it. I’ll just remind you that if I need to review a play, tell me the play number, since I’m at least one minute behind the live broadcast.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36.736421725239616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FB0C1A-FC9A-4F61-8090-9C6A9E6F4B3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2026-01-09T16:09:23Z</cp:lastPrinted>
  <dcterms:created xsi:type="dcterms:W3CDTF">2023-09-19T19:50:35Z</dcterms:created>
  <dcterms:modified xsi:type="dcterms:W3CDTF">2026-01-09T16:09:27Z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