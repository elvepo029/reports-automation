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32" documentId="8_{3669CD34-AFCA-42A3-94A2-C2B7E2F810C7}" xr6:coauthVersionLast="47" xr6:coauthVersionMax="47" xr10:uidLastSave="{A28515B1-A6D3-432C-A25A-3E72447840B4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<sst xmlns="http://schemas.openxmlformats.org/spreadsheetml/2006/main" count="3250" uniqueCount="757">
  <si>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</si>
  <si>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</si>
  <si>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</si>
  <si>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</si>
  <si>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</si>
  <si>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</si>
  <si>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</si>
  <si>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</si>
  <si>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</si>
  <si>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</si>
  <si>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</si>
  <si>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</si>
  <si>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</si>
  <si>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</si>
  <si>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</si>
  <si>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</si>
  <si>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</si>
  <si>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</si>
  <si>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</si>
  <si>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</si>
  <si>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</si>
  <si>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</si>
  <si>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</si>
  <si>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</si>
  <si>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</si>
  <si>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</si>
  <si>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</si>
  <si>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</si>
  <si>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</si>
  <si>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</si>
  <si>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</si>
  <si>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</si>
  <si>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</si>
  <si>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</si>
  <si>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</si>
  <si>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</si>
  <si>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</si>
  <si>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</si>
  <si>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</si>
  <si>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</si>
  <si>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</si>
  <si>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</si>
  <si>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</si>
  <si>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</si>
  <si>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</si>
  <si>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</si>
  <si>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</si>
  <si>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</si>
  <si>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</si>
  <si>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</si>
  <si>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</si>
  <si>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</si>
  <si>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</si>
  <si>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</si>
  <si>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</si>
  <si>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</si>
  <si>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</si>
  <si>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</si>
  <si>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</si>
  <si>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</si>
  <si>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</si>
  <si>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</si>
  <si>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</si>
  <si>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</si>
  <si>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</si>
  <si>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</si>
  <si>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</si>
  <si>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</si>
  <si>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</si>
  <si>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</si>
  <si>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</si>
  <si>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</si>
  <si>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</si>
  <si>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</si>
  <si>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</si>
  <si>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</si>
  <si>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</si>
  <si>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</si>
  <si>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</si>
  <si>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</si>
  <si>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</si>
  <si>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</si>
  <si>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</si>
  <si>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</si>
  <si>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</si>
  <si>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</si>
  <si>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</si>
  <si>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</si>
  <si>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</si>
  <si>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</si>
  <si>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</si>
  <si>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</si>
  <si>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</si>
  <si>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</si>
  <si>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</si>
  <si>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</si>
  <si>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</si>
  <si>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</si>
  <si>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</si>
  <si>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</si>
  <si>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</si>
  <si>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</si>
  <si>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</si>
  <si>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</si>
  <si>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</si>
  <si>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</si>
  <si>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</si>
  <si>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</si>
  <si>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</si>
  <si>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</si>
  <si>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</si>
  <si>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</si>
  <si>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</si>
  <si>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</si>
  <si>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</si>
  <si>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</si>
  <si>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</si>
  <si>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</si>
  <si>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</si>
  <si>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</si>
  <si>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</si>
  <si>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</si>
  <si>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</si>
  <si>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</si>
  <si>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</si>
  <si>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</si>
  <si>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</si>
  <si>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</si>
  <si>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</si>
  <si>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</si>
  <si>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</si>
  <si>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</si>
  <si>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</si>
  <si>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</si>
  <si>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</si>
  <si>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</si>
  <si>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</si>
  <si>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</si>
  <si>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</si>
  <si>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</si>
  <si>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</si>
  <si>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</si>
  <si>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</si>
  <si>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</si>
  <si>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</si>
  <si>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</si>
  <si>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</si>
  <si>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</si>
  <si>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</si>
  <si>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</si>
  <si>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</si>
  <si>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</si>
  <si>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</si>
  <si>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</si>
  <si>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</si>
  <si>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</si>
  <si>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</si>
  <si>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</si>
  <si>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</si>
  <si>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</si>
  <si>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</si>
  <si>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</si>
  <si>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</si>
  <si>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</si>
  <si>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</si>
  <si>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</si>
  <si>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</si>
  <si>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</si>
  <si>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</si>
  <si>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</si>
  <si>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</si>
  <si>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</si>
  <si>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</si>
  <si>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</si>
  <si>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</si>
  <si>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</si>
  <si>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</si>
  <si>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</si>
  <si>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</si>
  <si>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</si>
  <si>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</si>
  <si>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</si>
  <si>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</si>
  <si>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</si>
  <si>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</si>
  <si>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</si>
  <si>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</si>
  <si>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</si>
  <si>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</si>
  <si>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</si>
  <si>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</si>
  <si>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</si>
  <si>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</si>
  <si>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</si>
  <si>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</si>
  <si>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</si>
  <si>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</si>
  <si>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</si>
  <si>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</si>
  <si>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</si>
  <si>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</si>
  <si>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</si>
  <si>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</si>
  <si>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</si>
  <si>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</si>
  <si>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</si>
  <si>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</si>
  <si>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</si>
  <si>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</si>
  <si>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</si>
  <si>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</si>
  <si>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</si>
  <si>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</si>
  <si>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</si>
  <si>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</si>
  <si>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</si>
  <si>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</si>
  <si>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</si>
  <si>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</si>
  <si>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</si>
  <si>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</si>
  <si>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</si>
  <si>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</si>
  <si>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</si>
  <si>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</si>
  <si>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</si>
  <si>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</si>
  <si>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</si>
  <si>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</si>
  <si>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</si>
  <si>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</si>
  <si>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</si>
  <si>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</si>
  <si>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</si>
  <si>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</si>
  <si>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</si>
  <si>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</si>
  <si>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</si>
  <si>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</si>
  <si>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</si>
  <si>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</si>
  <si>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</si>
  <si>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</si>
  <si>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</si>
  <si>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</si>
  <si>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</si>
  <si>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</si>
  <si>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</si>
  <si>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</si>
  <si>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</si>
  <si>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</si>
  <si>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</si>
  <si>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</si>
  <si>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</si>
  <si>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</si>
  <si>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</si>
  <si>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</si>
  <si>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</si>
  <si>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</si>
  <si>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</si>
  <si>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</si>
  <si>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</si>
  <si>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</si>
  <si>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</si>
  <si>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</si>
  <si>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</si>
  <si>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</si>
  <si>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</si>
  <si>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</si>
  <si>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</si>
  <si>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</si>
  <si>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</si>
  <si>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</si>
  <si>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</si>
  <si>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</si>
  <si>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</si>
  <si>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</si>
  <si>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</si>
  <si>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</si>
  <si>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</si>
  <si>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</si>
  <si>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</si>
  <si>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</si>
  <si>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</si>
  <si>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</si>
  <si>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</si>
  <si>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</si>
  <si>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</si>
  <si>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</si>
  <si>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</si>
  <si>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</si>
  <si>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</si>
  <si>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</si>
  <si>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</si>
  <si>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</si>
  <si>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</si>
  <si>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</si>
  <si>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</si>
  <si>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</si>
  <si>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</si>
  <si>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</si>
  <si>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</si>
  <si>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</si>
  <si>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</si>
  <si>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</si>
  <si>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</si>
  <si>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</si>
  <si>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</si>
  <si>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</si>
  <si>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</si>
  <si>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</si>
  <si>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</si>
  <si>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</si>
  <si>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</si>
  <si>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</si>
  <si>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</si>
  <si>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</si>
  <si>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</si>
  <si>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</si>
  <si>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</si>
  <si>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</si>
  <si>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</si>
  <si>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</si>
  <si>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</si>
  <si>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</si>
  <si>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</si>
  <si>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</si>
  <si>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</si>
  <si>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</si>
  <si>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</si>
  <si>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</si>
  <si>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</si>
  <si>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</si>
  <si>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</si>
  <si>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</si>
  <si>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</si>
  <si>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</si>
  <si>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</si>
  <si>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</si>
  <si>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</si>
  <si>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</si>
  <si>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</si>
  <si>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</si>
  <si>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</si>
  <si>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</si>
  <si>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</si>
  <si>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</si>
  <si>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</si>
  <si>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</si>
  <si>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</si>
  <si>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</si>
  <si>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</si>
  <si>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</si>
  <si>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</si>
  <si>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</si>
  <si>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</si>
  <si>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</si>
  <si>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</si>
  <si>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</si>
  <si>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</si>
  <si>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</si>
  <si>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</si>
  <si>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</si>
  <si>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</si>
  <si>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</si>
  <si>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</si>
  <si>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</si>
  <si>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</si>
  <si>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</si>
  <si>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</si>
  <si>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</si>
  <si>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</si>
  <si>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</si>
  <si>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</si>
  <si>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</si>
  <si>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</si>
  <si>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</si>
  <si>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</si>
  <si>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</si>
  <si>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</si>
  <si>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</si>
  <si>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</si>
  <si>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</si>
  <si>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</si>
  <si>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</si>
  <si>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</si>
  <si>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</si>
  <si>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</si>
  <si>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</si>
  <si>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</si>
  <si>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</si>
  <si>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</si>
  <si>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</si>
  <si>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</si>
  <si>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</si>
  <si>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</si>
  <si>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</si>
  <si>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</si>
  <si>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</si>
  <si>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</si>
  <si>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</si>
  <si>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</si>
  <si>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</si>
  <si>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</si>
  <si>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</si>
  <si>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</si>
  <si>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</si>
  <si>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</si>
  <si>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</si>
  <si>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</si>
  <si>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</si>
  <si>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</si>
  <si>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</si>
  <si>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</si>
  <si>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</si>
  <si>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</si>
  <si>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</si>
  <si>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</si>
  <si>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</si>
  <si>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</si>
  <si>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</si>
  <si>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</si>
  <si>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</si>
  <si>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</si>
  <si>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</si>
  <si>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</si>
  <si>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</si>
  <si>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</si>
  <si>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</si>
  <si>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</si>
  <si>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</si>
  <si>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</si>
  <si>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</si>
  <si>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</si>
  <si>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</si>
  <si>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</si>
  <si>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</si>
  <si>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</si>
  <si>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</si>
  <si>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</si>
  <si>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</si>
  <si>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</si>
  <si>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</si>
  <si>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</si>
  <si>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</si>
  <si>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</si>
  <si>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</si>
  <si>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</si>
  <si>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</si>
  <si>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</si>
  <si>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</si>
  <si>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</si>
  <si>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</si>
  <si>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</si>
  <si>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</si>
  <si>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</si>
  <si>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</si>
  <si>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</si>
  <si>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</si>
  <si>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</si>
  <si>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</si>
  <si>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</si>
  <si>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</si>
  <si>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</si>
  <si>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</si>
  <si>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</si>
  <si>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</si>
  <si>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</si>
  <si>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</si>
  <si>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</si>
  <si>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</si>
  <si>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</si>
  <si>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</si>
  <si>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</si>
  <si>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</si>
  <si>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</si>
  <si>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</si>
  <si>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</si>
  <si>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</si>
  <si>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</si>
  <si>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</si>
  <si>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</si>
  <si>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</si>
  <si>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</si>
  <si>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</si>
  <si>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</si>
  <si>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</si>
  <si>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</si>
  <si>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</si>
  <si>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</si>
  <si>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</si>
  <si>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</si>
  <si>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</si>
  <si>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</si>
  <si>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</si>
  <si>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</si>
  <si>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</si>
  <si>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</si>
  <si>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</si>
  <si>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</si>
  <si>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</si>
  <si>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</si>
  <si>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</si>
  <si>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</si>
  <si>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</si>
  <si>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</si>
  <si>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</si>
  <si>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</si>
  <si>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</si>
  <si>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</si>
  <si>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</si>
  <si>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</si>
  <si>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</si>
  <si>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</si>
  <si>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</si>
  <si>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</si>
  <si>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</si>
  <si>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</si>
  <si>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</si>
  <si>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</si>
  <si>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</si>
  <si>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</si>
  <si>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</si>
  <si>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</si>
  <si>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</si>
  <si>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</si>
  <si>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</si>
  <si>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</si>
  <si>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</si>
  <si>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</si>
  <si>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</si>
  <si>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</si>
  <si>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</si>
  <si>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</si>
  <si>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</si>
  <si>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</si>
  <si>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</si>
  <si>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</si>
  <si>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</si>
  <si>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</si>
  <si>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</si>
  <si>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</si>
  <si>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</si>
  <si>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</si>
  <si>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</si>
  <si>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</si>
  <si>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</si>
  <si>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</si>
  <si>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</si>
  <si>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</si>
  <si>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</si>
  <si>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</si>
  <si>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</si>
  <si>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</si>
  <si>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</si>
  <si>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</si>
  <si>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</si>
  <si>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</si>
  <si>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</si>
  <si>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</si>
  <si>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</si>
  <si>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</si>
  <si>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</si>
  <si>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</si>
  <si>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</si>
  <si>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</si>
  <si>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</si>
  <si>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</si>
  <si>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</si>
  <si>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</si>
  <si>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</si>
  <si>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</si>
  <si>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</si>
  <si>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</si>
  <si>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</si>
  <si>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</si>
  <si>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</si>
  <si>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</si>
  <si>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</si>
  <si>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</si>
  <si>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</si>
  <si>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</si>
  <si>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</si>
  <si>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</si>
  <si>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</si>
  <si>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</si>
  <si>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</si>
  <si>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</si>
  <si>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</si>
  <si>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</si>
  <si>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</si>
  <si>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</si>
  <si>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</si>
  <si>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</si>
  <si>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</si>
  <si>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</si>
  <si>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</si>
  <si>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</si>
  <si>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</si>
  <si>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</si>
  <si>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</si>
  <si>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</si>
  <si>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</si>
  <si>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</si>
  <si>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</si>
  <si>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</si>
  <si>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</si>
  <si>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</si>
  <si>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</si>
  <si>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</si>
  <si>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</si>
  <si>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</si>
  <si>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</si>
  <si>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</si>
  <si>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</si>
  <si>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</si>
  <si>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</si>
  <si>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</si>
  <si>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</si>
  <si>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</si>
  <si>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</si>
  <si>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</si>
  <si>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</si>
  <si>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</si>
  <si>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</si>
  <si>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</si>
  <si>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</si>
  <si>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</si>
  <si>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</si>
  <si>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</si>
  <si>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</si>
  <si>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</si>
  <si>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</si>
  <si>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</si>
  <si>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</si>
  <si>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</si>
  <si>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</si>
  <si>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</si>
  <si>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</si>
  <si>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</si>
  <si>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</si>
  <si>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</si>
  <si>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</si>
  <si>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</si>
  <si>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</si>
  <si>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</si>
  <si>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</si>
  <si>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</si>
  <si>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</si>
  <si>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</si>
  <si>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</si>
  <si>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</si>
  <si>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</si>
  <si>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</si>
  <si>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</si>
  <si>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</si>
  <si>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</si>
  <si>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</si>
  <si>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</si>
  <si>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</si>
  <si>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</si>
  <si>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</si>
  <si>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</si>
  <si>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</si>
  <si>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</si>
  <si>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</si>
  <si>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</si>
  <si>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</si>
  <si>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</si>
  <si>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</si>
  <si>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</si>
  <si>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</si>
  <si>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</si>
  <si>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</si>
  <si>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</si>
  <si>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</si>
  <si>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</si>
  <si>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</si>
  <si>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</si>
  <si>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</si>
  <si>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</si>
  <si>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</si>
  <si>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</si>
  <si>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</si>
  <si>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</si>
  <si>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</si>
  <si>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</si>
  <si>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</si>
  <si>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</si>
  <si>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</si>
  <si>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</si>
  <si>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</si>
  <si>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</si>
  <si>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</si>
  <si>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</si>
  <si>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</si>
  <si>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</si>
  <si>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</si>
  <si>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</si>
  <si>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</si>
  <si>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</si>
  <si>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</si>
  <si>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</si>
  <si>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</si>
  <si>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</si>
  <si>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</si>
  <si>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</si>
  <si>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</si>
  <si>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</si>
  <si>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</si>
  <si>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</si>
  <si>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</si>
  <si>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</si>
  <si>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</si>
  <si>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</si>
  <si>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</si>
  <si>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</si>
  <si>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</si>
  <si>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</si>
  <si>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</si>
  <si>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</si>
  <si>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</si>
  <si>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</si>
  <si>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</si>
  <si>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</si>
  <si>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</si>
  <si>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</si>
  <si>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</si>
  <si>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</si>
  <si>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</si>
  <si>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</si>
  <si>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</si>
  <si>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</si>
  <si>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</si>
  <si>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</si>
  <si>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</si>
  <si>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</si>
  <si>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</si>
  <si>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</si>
  <si>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</si>
  <si>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</si>
  <si>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</si>
  <si>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</si>
  <si>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</si>
  <si>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</si>
  <si>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</si>
  <si>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</si>
  <si>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</si>
  <si>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</si>
  <si>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MARIA TRIANTAFYLLOU</t>
  </si>
  <si>
    <t>VASILEIOS STAVROPOULOS</t>
  </si>
  <si>
    <t>PANAGIOTIS KALESIORIS</t>
  </si>
  <si>
    <t>5:04</t>
  </si>
  <si>
    <t>Almost perfect! Keep it up!</t>
  </si>
  <si>
    <t>C:\Users\hector.guillen\EUROLEAGUE\EB STATS - Documents\General\SEASON 2025-26\Reports\Euroleague</t>
  </si>
  <si>
    <t>C:\Users\hector.guillen\EUROLEAGUE\EB STATS - Documents\General\SEASON 2025-26\Reports\Euroleague\PDF</t>
  </si>
  <si>
    <t>HECTOR GUILLEN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</si>
</sst>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21_204_PAN_VIR_E2025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46030.885416666664</v>
      </c>
      <c r="C3" s="157"/>
      <c r="D3" s="39">
        <v>572</v>
      </c>
      <c r="E3" s="29"/>
      <c r="F3" s="26">
        <f>SUBTOTAL(3,I17:I106)</f>
        <v>1</v>
      </c>
      <c r="G3" s="27">
        <f>IF(OR(D3="",D3=0),"",F3/D3)</f>
        <v>1.7482517482517483E-3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753</v>
      </c>
      <c r="N4" s="168"/>
      <c r="O4" s="2"/>
      <c r="P4" s="2"/>
      <c r="Q4" s="84" t="s">
        <v>175</v>
      </c>
      <c r="R4" s="94">
        <f>(IF(G3="",0,G3))</f>
        <v>1.7482517482517483E-3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0.17482517482517482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0.67482517482517479</v>
      </c>
      <c r="N7" s="58"/>
      <c r="O7" s="2"/>
      <c r="P7" s="2"/>
      <c r="Q7" s="86">
        <f>SUM(R5,S5,AC16)</f>
        <v>0.67482517482517479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0.67482517482517479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749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751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204</v>
      </c>
      <c r="D17" s="32" t="s">
        <v>752</v>
      </c>
      <c r="E17" s="33">
        <v>2</v>
      </c>
      <c r="F17" s="36">
        <v>29</v>
      </c>
      <c r="G17" s="36">
        <v>22</v>
      </c>
      <c r="H17" s="38" t="str">
        <f>IF(I17="","",$I$14)</f>
        <v>SCOUTING</v>
      </c>
      <c r="I17" s="34">
        <v>212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"E2025204"</v>
      </c>
      <c r="F3" s="45" t="str">
        <f t="shared" ref="F3:F16" si="0">""""&amp;B3&amp;"""" &amp; " : " &amp;C3&amp;","</f>
        <v>"name" : "E2025204",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"E204"</v>
      </c>
      <c r="F4" s="45" t="str">
        <f t="shared" si="0"/>
        <v>"cod" : "E204",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204</v>
      </c>
      <c r="F6" s="45" t="str">
        <f t="shared" si="0"/>
        <v>"number" : 204,</v>
      </c>
    </row>
    <row r="7" spans="2:6" x14ac:dyDescent="0.25">
      <c r="B7" s="43" t="s">
        <v>116</v>
      </c>
      <c r="C7" s="43" t="str">
        <f ca="1">""""&amp;TEXT('SCOUT &amp; LOGISTICS'!B3,"dd/mm/aaaa")&amp;""""</f>
        <v>"08/01/Thursday"</v>
      </c>
      <c r="F7" s="45" t="str">
        <f t="shared" ca="1" si="0"/>
        <v>"date" : "08/01/Thursday",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STAVROPOULOS"</v>
      </c>
      <c r="F14" s="45" t="str">
        <f t="shared" si="0"/>
        <v>"Shotclock" : "VASILEIOS STAVROPOULOS",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572</v>
      </c>
      <c r="F25" s="45" t="str">
        <f t="shared" ref="F25:F48" si="1">""""&amp;C25&amp;"""" &amp; " : " &amp;D25&amp;","</f>
        <v>"total_actions" : 572,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"Almost perfect! Keep it up!"</v>
      </c>
      <c r="F51" s="45" t="str">
        <f>""""&amp;B51&amp;"""" &amp; " : " &amp;C51&amp;","</f>
        <v>"comments" : "Almost perfect! Keep it up!",</v>
      </c>
    </row>
    <row r="52" spans="2:6" x14ac:dyDescent="0.25">
      <c r="B52" s="43" t="s">
        <v>153</v>
      </c>
      <c r="C52" s="43" t="str">
        <f>TEXT('SCOUT &amp; LOGISTICS'!F1,"0,0")</f>
        <v>21_204_PAN_VIR_E2025</v>
      </c>
      <c r="F52" s="45" t="str">
        <f>""""&amp;B52&amp;"""" &amp; " : " &amp;C52</f>
        <v>"result" : 21_204_PAN_VIR_E2025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E204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TRIANTAFYLLOU</v>
      </c>
      <c r="R8" s="206"/>
      <c r="S8" s="206"/>
      <c r="T8" s="206"/>
      <c r="U8" s="206"/>
      <c r="V8" s="206" t="str">
        <f>IF('SCOUT &amp; LOGISTICS'!D10="","",'SCOUT &amp; LOGISTICS'!D10)</f>
        <v>VASILEIOS STAVROPOULOS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1.7482517482517483E-3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Almost perfect!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0.67482517482517479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8232B0-3C3C-4789-BC91-D933A8708B9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2026-01-13T15:55:08Z</cp:lastPrinted>
  <dcterms:created xsi:type="dcterms:W3CDTF">2023-09-19T19:50:35Z</dcterms:created>
  <dcterms:modified xsi:type="dcterms:W3CDTF">2026-01-13T15:55:09Z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