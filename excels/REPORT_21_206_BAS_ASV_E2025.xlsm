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72D56BBE-C35C-45AF-9D0D-2944EA8DAE69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<sst xmlns="http://schemas.openxmlformats.org/spreadsheetml/2006/main" count="3235" uniqueCount="752">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</sst>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21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21_206_BAS_ASV_E2025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206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46031.854166666664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Baskonia Vitoria-Gasteiz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BAS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LDLC ASVEL Villeurbanne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ASV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REPORT_E2025206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"E2025206"</v>
      </c>
      <c r="F3" s="45" t="str">
        <f t="shared" ref="F3:F16" si="0">""""&amp;B3&amp;"""" &amp; " : " &amp;C3&amp;","</f>
        <v>"name" : "E2025206",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"E206"</v>
      </c>
      <c r="F4" s="45" t="str">
        <f t="shared" si="0"/>
        <v>"cod" : "E206",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206</v>
      </c>
      <c r="F6" s="45" t="str">
        <f t="shared" si="0"/>
        <v>"number" : 206,</v>
      </c>
    </row>
    <row r="7" spans="2:6" x14ac:dyDescent="0.2">
      <c r="B7" s="43" t="s">
        <v>116</v>
      </c>
      <c r="C7" s="43" t="str">
        <f ca="1">""""&amp;TEXT('SCOUT &amp; LOGISTICS'!B3,"dd/mm/aaaa")&amp;""""</f>
        <v>"09/01/Friday"</v>
      </c>
      <c r="F7" s="45" t="str">
        <f t="shared" ca="1" si="0"/>
        <v>"date" : "09/01/Friday",</v>
      </c>
    </row>
    <row r="8" spans="2:6" x14ac:dyDescent="0.2">
      <c r="B8" s="43" t="s">
        <v>125</v>
      </c>
      <c r="C8" s="43" t="str">
        <f>""""&amp;'SCOUT &amp; LOGISTICS'!D4 &amp;""""</f>
        <v>"Baskonia Vitoria-Gasteiz"</v>
      </c>
      <c r="F8" s="45" t="str">
        <f t="shared" si="0"/>
        <v>"home_team" : "Baskonia Vitoria-Gasteiz",</v>
      </c>
    </row>
    <row r="9" spans="2:6" x14ac:dyDescent="0.2">
      <c r="B9" s="43" t="s">
        <v>126</v>
      </c>
      <c r="C9" s="43" t="str">
        <f>""""&amp;'SCOUT &amp; LOGISTICS'!D5&amp;""""</f>
        <v>"LDLC ASVEL Villeurbanne"</v>
      </c>
      <c r="F9" s="45" t="str">
        <f t="shared" si="0"/>
        <v>"away_team" : "LDLC ASVEL Villeurbanne",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21_206_BAS_ASV_E2025</v>
      </c>
      <c r="F52" s="45" t="str">
        <f>""""&amp;B52&amp;"""" &amp; " : " &amp;C52</f>
        <v>"result" : 21_206_BAS_ASV_E2025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E206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09/01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Baskonia Vitoria-Gasteiz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Ldlc Asvel Villeurbanne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cbd763c1df382b163d3581e1625dd683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3111ca859055e6ae99f5b033c2cff10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E9374BB-49F5-41E6-9F6C-AC19665540B7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