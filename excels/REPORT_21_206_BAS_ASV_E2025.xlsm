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BC621E2-11CB-45AD-805A-51C327C652EB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<sst xmlns="http://schemas.openxmlformats.org/spreadsheetml/2006/main" count="3245" uniqueCount="758">
  <si>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</si>
  <si>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</si>
  <si>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</si>
  <si>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</si>
  <si>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</si>
  <si>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</si>
  <si>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</si>
  <si>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</si>
  <si>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</si>
  <si>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</si>
  <si>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</si>
  <si>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</si>
  <si>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</si>
  <si>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</si>
  <si>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</si>
  <si>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</si>
  <si>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</si>
  <si>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</si>
  <si>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</si>
  <si>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</si>
  <si>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</si>
  <si>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</si>
  <si>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</si>
  <si>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</si>
  <si>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</si>
  <si>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</si>
  <si>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</si>
  <si>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</si>
  <si>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</si>
  <si>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</si>
  <si>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</si>
  <si>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</si>
  <si>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</si>
  <si>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</si>
  <si>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</si>
  <si>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</si>
  <si>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</si>
  <si>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</si>
  <si>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</si>
  <si>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</si>
  <si>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</si>
  <si>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</si>
  <si>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</si>
  <si>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</si>
  <si>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</si>
  <si>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</si>
  <si>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</si>
  <si>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</si>
  <si>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</si>
  <si>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</si>
  <si>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</si>
  <si>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</si>
  <si>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</si>
  <si>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</si>
  <si>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</si>
  <si>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</si>
  <si>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</si>
  <si>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</si>
  <si>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</si>
  <si>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</si>
  <si>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</si>
  <si>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</si>
  <si>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</si>
  <si>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</si>
  <si>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</si>
  <si>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</si>
  <si>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</si>
  <si>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</si>
  <si>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</si>
  <si>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</si>
  <si>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</si>
  <si>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</si>
  <si>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</si>
  <si>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</si>
  <si>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</si>
  <si>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</si>
  <si>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</si>
  <si>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</si>
  <si>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</si>
  <si>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</si>
  <si>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</si>
  <si>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</si>
  <si>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</si>
  <si>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</si>
  <si>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</si>
  <si>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</si>
  <si>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</si>
  <si>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</si>
  <si>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</si>
  <si>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</si>
  <si>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</si>
  <si>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</si>
  <si>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</si>
  <si>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</si>
  <si>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</si>
  <si>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</si>
  <si>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</si>
  <si>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</si>
  <si>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</si>
  <si>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</si>
  <si>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</si>
  <si>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</si>
  <si>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</si>
  <si>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</si>
  <si>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</si>
  <si>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</si>
  <si>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</si>
  <si>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</si>
  <si>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</si>
  <si>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</si>
  <si>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</si>
  <si>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</si>
  <si>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</si>
  <si>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</si>
  <si>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</si>
  <si>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</si>
  <si>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</si>
  <si>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</si>
  <si>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</si>
  <si>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</si>
  <si>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</si>
  <si>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</si>
  <si>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</si>
  <si>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</si>
  <si>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</si>
  <si>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</si>
  <si>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</si>
  <si>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</si>
  <si>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</si>
  <si>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</si>
  <si>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</si>
  <si>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</si>
  <si>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</si>
  <si>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</si>
  <si>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</si>
  <si>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</si>
  <si>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</si>
  <si>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</si>
  <si>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</si>
  <si>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</si>
  <si>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</si>
  <si>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</si>
  <si>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</si>
  <si>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</si>
  <si>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</si>
  <si>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</si>
  <si>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</si>
  <si>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</si>
  <si>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</si>
  <si>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</si>
  <si>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</si>
  <si>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</si>
  <si>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</si>
  <si>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</si>
  <si>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</si>
  <si>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</si>
  <si>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</si>
  <si>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</si>
  <si>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</si>
  <si>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</si>
  <si>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</si>
  <si>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</si>
  <si>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</si>
  <si>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</si>
  <si>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</si>
  <si>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</si>
  <si>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</si>
  <si>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</si>
  <si>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</si>
  <si>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</si>
  <si>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</si>
  <si>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</si>
  <si>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</si>
  <si>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</si>
  <si>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</si>
  <si>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</si>
  <si>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</si>
  <si>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</si>
  <si>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</si>
  <si>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</si>
  <si>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</si>
  <si>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</si>
  <si>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</si>
  <si>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</si>
  <si>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</si>
  <si>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</si>
  <si>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</si>
  <si>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</si>
  <si>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</si>
  <si>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</si>
  <si>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</si>
  <si>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</si>
  <si>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</si>
  <si>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</si>
  <si>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</si>
  <si>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</si>
  <si>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</si>
  <si>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</si>
  <si>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</si>
  <si>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</si>
  <si>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</si>
  <si>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</si>
  <si>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</si>
  <si>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</si>
  <si>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</si>
  <si>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</si>
  <si>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</si>
  <si>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</si>
  <si>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</si>
  <si>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</si>
  <si>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</si>
  <si>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</si>
  <si>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</si>
  <si>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</si>
  <si>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</si>
  <si>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</si>
  <si>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</si>
  <si>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</si>
  <si>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</si>
  <si>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</si>
  <si>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</si>
  <si>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</si>
  <si>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</si>
  <si>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</si>
  <si>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</si>
  <si>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</si>
  <si>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</si>
  <si>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</si>
  <si>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</si>
  <si>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</si>
  <si>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</si>
  <si>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</si>
  <si>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</si>
  <si>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</si>
  <si>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</si>
  <si>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</si>
  <si>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</si>
  <si>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</si>
  <si>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</si>
  <si>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</si>
  <si>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</si>
  <si>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</si>
  <si>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</si>
  <si>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</si>
  <si>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</si>
  <si>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</si>
  <si>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</si>
  <si>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</si>
  <si>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</si>
  <si>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</si>
  <si>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</si>
  <si>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</si>
  <si>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</si>
  <si>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</si>
  <si>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</si>
  <si>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</si>
  <si>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</si>
  <si>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</si>
  <si>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</si>
  <si>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</si>
  <si>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</si>
  <si>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</si>
  <si>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</si>
  <si>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</si>
  <si>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</si>
  <si>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</si>
  <si>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</si>
  <si>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</si>
  <si>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</si>
  <si>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</si>
  <si>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</si>
  <si>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</si>
  <si>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</si>
  <si>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</si>
  <si>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</si>
  <si>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</si>
  <si>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</si>
  <si>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</si>
  <si>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</si>
  <si>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</si>
  <si>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</si>
  <si>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</si>
  <si>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</si>
  <si>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</si>
  <si>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</si>
  <si>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</si>
  <si>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</si>
  <si>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</si>
  <si>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</si>
  <si>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</si>
  <si>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</si>
  <si>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</si>
  <si>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</si>
  <si>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</si>
  <si>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</si>
  <si>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</si>
  <si>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</si>
  <si>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</si>
  <si>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</si>
  <si>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</si>
  <si>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</si>
  <si>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</si>
  <si>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</si>
  <si>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</si>
  <si>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</si>
  <si>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</si>
  <si>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</si>
  <si>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</si>
  <si>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</si>
  <si>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</si>
  <si>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</si>
  <si>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</si>
  <si>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</si>
  <si>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</si>
  <si>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</si>
  <si>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</si>
  <si>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</si>
  <si>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</si>
  <si>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</si>
  <si>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</si>
  <si>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</si>
  <si>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</si>
  <si>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</si>
  <si>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</si>
  <si>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</si>
  <si>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</si>
  <si>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</si>
  <si>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</si>
  <si>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</si>
  <si>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</si>
  <si>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</si>
  <si>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</si>
  <si>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</si>
  <si>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</si>
  <si>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</si>
  <si>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</si>
  <si>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</si>
  <si>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</si>
  <si>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</si>
  <si>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</si>
  <si>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</si>
  <si>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</si>
  <si>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</si>
  <si>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</si>
  <si>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</si>
  <si>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</si>
  <si>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</si>
  <si>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</si>
  <si>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</si>
  <si>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</si>
  <si>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</si>
  <si>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</si>
  <si>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</si>
  <si>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</si>
  <si>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</si>
  <si>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</si>
  <si>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</si>
  <si>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</si>
  <si>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</si>
  <si>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</si>
  <si>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</si>
  <si>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</si>
  <si>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</si>
  <si>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</si>
  <si>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</si>
  <si>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</si>
  <si>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</si>
  <si>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</si>
  <si>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</si>
  <si>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</si>
  <si>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</si>
  <si>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</si>
  <si>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</si>
  <si>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</si>
  <si>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</si>
  <si>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</si>
  <si>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</si>
  <si>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</si>
  <si>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</si>
  <si>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</si>
  <si>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</si>
  <si>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</si>
  <si>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</si>
  <si>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</si>
  <si>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</si>
  <si>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</si>
  <si>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</si>
  <si>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</si>
  <si>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</si>
  <si>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</si>
  <si>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</si>
  <si>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</si>
  <si>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</si>
  <si>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</si>
  <si>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</si>
  <si>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</si>
  <si>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</si>
  <si>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</si>
  <si>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</si>
  <si>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</si>
  <si>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</si>
  <si>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</si>
  <si>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</si>
  <si>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</si>
  <si>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</si>
  <si>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</si>
  <si>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</si>
  <si>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</si>
  <si>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</si>
  <si>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</si>
  <si>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</si>
  <si>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</si>
  <si>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</si>
  <si>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</si>
  <si>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</si>
  <si>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</si>
  <si>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</si>
  <si>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</si>
  <si>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</si>
  <si>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</si>
  <si>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</si>
  <si>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</si>
  <si>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</si>
  <si>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</si>
  <si>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</si>
  <si>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</si>
  <si>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</si>
  <si>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</si>
  <si>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</si>
  <si>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</si>
  <si>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</si>
  <si>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</si>
  <si>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</si>
  <si>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</si>
  <si>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</si>
  <si>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</si>
  <si>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</si>
  <si>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</si>
  <si>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</si>
  <si>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</si>
  <si>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</si>
  <si>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</si>
  <si>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</si>
  <si>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</si>
  <si>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</si>
  <si>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</si>
  <si>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</si>
  <si>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</si>
  <si>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</si>
  <si>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</si>
  <si>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</si>
  <si>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</si>
  <si>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</si>
  <si>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</si>
  <si>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</si>
  <si>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</si>
  <si>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</si>
  <si>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</si>
  <si>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</si>
  <si>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</si>
  <si>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</si>
  <si>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</si>
  <si>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</si>
  <si>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</si>
  <si>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</si>
  <si>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</si>
  <si>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</si>
  <si>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</si>
  <si>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</si>
  <si>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</si>
  <si>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</si>
  <si>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</si>
  <si>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</si>
  <si>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</si>
  <si>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</si>
  <si>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</si>
  <si>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</si>
  <si>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</si>
  <si>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</si>
  <si>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</si>
  <si>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</si>
  <si>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</si>
  <si>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</si>
  <si>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</si>
  <si>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</si>
  <si>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</si>
  <si>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</si>
  <si>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</si>
  <si>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</si>
  <si>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</si>
  <si>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</si>
  <si>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</si>
  <si>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</si>
  <si>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</si>
  <si>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</si>
  <si>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</si>
  <si>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</si>
  <si>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</si>
  <si>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</si>
  <si>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</si>
  <si>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</si>
  <si>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</si>
  <si>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</si>
  <si>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</si>
  <si>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</si>
  <si>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</si>
  <si>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</si>
  <si>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</si>
  <si>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</si>
  <si>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</si>
  <si>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</si>
  <si>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</si>
  <si>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</si>
  <si>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</si>
  <si>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</si>
  <si>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</si>
  <si>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</si>
  <si>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</si>
  <si>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</si>
  <si>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</si>
  <si>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</si>
  <si>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</si>
  <si>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</si>
  <si>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</si>
  <si>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</si>
  <si>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</si>
  <si>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</si>
  <si>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</si>
  <si>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</si>
  <si>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</si>
  <si>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</si>
  <si>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</si>
  <si>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</si>
  <si>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</si>
  <si>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</si>
  <si>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</si>
  <si>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</si>
  <si>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</si>
  <si>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</si>
  <si>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</si>
  <si>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</si>
  <si>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</si>
  <si>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</si>
  <si>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</si>
  <si>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</si>
  <si>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</si>
  <si>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</si>
  <si>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</si>
  <si>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</si>
  <si>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</si>
  <si>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</si>
  <si>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</si>
  <si>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</si>
  <si>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</si>
  <si>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</si>
  <si>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</si>
  <si>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</si>
  <si>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</si>
  <si>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</si>
  <si>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</si>
  <si>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</si>
  <si>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</si>
  <si>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</si>
  <si>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</si>
  <si>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</si>
  <si>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</si>
  <si>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</si>
  <si>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</si>
  <si>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</si>
  <si>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</si>
  <si>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</si>
  <si>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</si>
  <si>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</si>
  <si>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</si>
  <si>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</si>
  <si>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</si>
  <si>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</si>
  <si>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</si>
  <si>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</si>
  <si>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</si>
  <si>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</si>
  <si>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</si>
  <si>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</si>
  <si>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</si>
  <si>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</si>
  <si>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</si>
  <si>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</si>
  <si>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</si>
  <si>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</si>
  <si>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</si>
  <si>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</si>
  <si>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</si>
  <si>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</si>
  <si>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</si>
  <si>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</si>
  <si>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</si>
  <si>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</si>
  <si>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</si>
  <si>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</si>
  <si>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</si>
  <si>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</si>
  <si>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</si>
  <si>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</si>
  <si>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</si>
  <si>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</si>
  <si>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</si>
  <si>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</si>
  <si>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</si>
  <si>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</si>
  <si>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</si>
  <si>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</si>
  <si>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</si>
  <si>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</si>
  <si>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</si>
  <si>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</si>
  <si>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</si>
  <si>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</si>
  <si>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</si>
  <si>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</si>
  <si>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</si>
  <si>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</si>
  <si>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</si>
  <si>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</si>
  <si>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</si>
  <si>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</si>
  <si>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</si>
  <si>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</si>
  <si>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</si>
  <si>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</si>
  <si>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</si>
  <si>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</si>
  <si>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</si>
  <si>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</si>
  <si>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</si>
  <si>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</si>
  <si>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</si>
  <si>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</si>
  <si>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</si>
  <si>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</si>
  <si>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</si>
  <si>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</si>
  <si>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</si>
  <si>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</si>
  <si>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</si>
  <si>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</si>
  <si>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</si>
  <si>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</si>
  <si>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</si>
  <si>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</si>
  <si>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</si>
  <si>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</si>
  <si>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</si>
  <si>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</si>
  <si>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</si>
  <si>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</si>
  <si>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</si>
  <si>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</si>
  <si>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</si>
  <si>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</si>
  <si>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</si>
  <si>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</si>
  <si>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</si>
  <si>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</si>
  <si>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</si>
  <si>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</si>
  <si>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</si>
  <si>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</si>
  <si>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</si>
  <si>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</si>
  <si>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</si>
  <si>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</si>
  <si>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</si>
  <si>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</si>
  <si>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</si>
  <si>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</si>
  <si>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</si>
  <si>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</si>
  <si>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</si>
  <si>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</si>
  <si>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</si>
  <si>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</si>
  <si>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</si>
  <si>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</si>
  <si>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</si>
  <si>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</si>
  <si>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</si>
  <si>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</si>
  <si>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</si>
  <si>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</si>
  <si>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</si>
  <si>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</si>
  <si>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</si>
  <si>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</si>
  <si>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</si>
  <si>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</si>
  <si>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</si>
  <si>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</si>
  <si>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</si>
  <si>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</si>
  <si>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</si>
  <si>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</si>
  <si>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</si>
  <si>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</si>
  <si>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</si>
  <si>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</si>
  <si>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</si>
  <si>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</si>
  <si>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</si>
  <si>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</si>
  <si>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</si>
  <si>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</si>
  <si>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</si>
  <si>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</si>
  <si>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</si>
  <si>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</si>
  <si>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</si>
  <si>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</si>
  <si>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</si>
  <si>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</si>
  <si>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</si>
  <si>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</si>
  <si>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</si>
  <si>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</si>
  <si>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</si>
  <si>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</si>
  <si>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</si>
  <si>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</si>
  <si>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</si>
  <si>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</si>
  <si>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</si>
  <si>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</si>
  <si>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</si>
  <si>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</si>
  <si>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</si>
  <si>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</si>
  <si>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</si>
  <si>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</si>
  <si>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</si>
  <si>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</si>
  <si>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</si>
  <si>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</si>
  <si>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</si>
  <si>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</si>
  <si>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</si>
  <si>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</si>
  <si>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</si>
  <si>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</si>
  <si>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</si>
  <si>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</si>
  <si>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</si>
  <si>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</si>
  <si>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ANDONI COLMENERO</t>
  </si>
  <si>
    <t>RAQUEL GARCIA-SAMPEDRO</t>
  </si>
  <si>
    <t>LUIS MOULIAA</t>
  </si>
  <si>
    <t>PATRICA ORTIZ DE ZARATE</t>
  </si>
  <si>
    <t>SERGIO CASTRO</t>
  </si>
  <si>
    <t>IKER BASCONES</t>
  </si>
  <si>
    <t>Todo perfecto, da gusto trabajar con vosotros por fiabilidad y comunicación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</si>
</sst>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21_206_BAS_ASV_E2025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206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46031.854166666664</v>
      </c>
      <c r="C3" s="178"/>
      <c r="D3" s="39">
        <v>611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REPORT_E2025206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"E2025206"</v>
      </c>
      <c r="F3" s="45" t="str">
        <f t="shared" ref="F3:F16" si="0">""""&amp;B3&amp;"""" &amp; " : " &amp;C3&amp;","</f>
        <v>"name" : "E2025206",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"E206"</v>
      </c>
      <c r="F4" s="45" t="str">
        <f t="shared" si="0"/>
        <v>"cod" : "E206",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206</v>
      </c>
      <c r="F6" s="45" t="str">
        <f t="shared" si="0"/>
        <v>"number" : 206,</v>
      </c>
    </row>
    <row r="7" spans="2:6" x14ac:dyDescent="0.25">
      <c r="B7" s="43" t="s">
        <v>116</v>
      </c>
      <c r="C7" s="43" t="str">
        <f ca="1">""""&amp;TEXT('SCOUT &amp; LOGISTICS'!B3,"dd/mm/aaaa")&amp;""""</f>
        <v>"09/01/2026"</v>
      </c>
      <c r="F7" s="45" t="str">
        <f t="shared" ca="1" si="0"/>
        <v>"date" : "09/01/2026",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"PATRICA ORTIZ DE ZARATE"</v>
      </c>
      <c r="F13" s="45" t="str">
        <f t="shared" si="0"/>
        <v>"Timerkeeper" : "PATRICA ORTIZ DE ZARATE",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"SERGIO CASTRO"</v>
      </c>
      <c r="F14" s="45" t="str">
        <f t="shared" si="0"/>
        <v>"Shotclock" : "SERGIO CASTRO",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611</v>
      </c>
      <c r="F25" s="45" t="str">
        <f t="shared" ref="F25:F48" si="1">""""&amp;C25&amp;"""" &amp; " : " &amp;D25&amp;","</f>
        <v>"total_actions" : 611,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"Todo perfecto, da gusto trabajar con vosotros por fiabilidad y comunicación"</v>
      </c>
      <c r="F51" s="45" t="str">
        <f>""""&amp;B51&amp;"""" &amp; " : " &amp;C51&amp;","</f>
        <v>"comments" : "Todo perfecto, da gusto trabajar con vosotros por fiabilidad y comunicación",</v>
      </c>
    </row>
    <row r="52" spans="2:6" x14ac:dyDescent="0.25">
      <c r="B52" s="43" t="s">
        <v>153</v>
      </c>
      <c r="C52" s="43" t="str">
        <f>TEXT('SCOUT &amp; LOGISTICS'!F1,"0,0")</f>
        <v>21_206_BAS_ASV_E2025</v>
      </c>
      <c r="F52" s="45" t="str">
        <f>""""&amp;B52&amp;"""" &amp; " : " &amp;C52</f>
        <v>"result" : 21_206_BAS_ASV_E2025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E206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ANDONI COLMENERO</v>
      </c>
      <c r="C8" s="201"/>
      <c r="D8" s="201"/>
      <c r="E8" s="201"/>
      <c r="F8" s="201"/>
      <c r="G8" s="201" t="str">
        <f>IF('SCOUT &amp; LOGISTICS'!D7="","",'SCOUT &amp; LOGISTICS'!D7)</f>
        <v>RAQUEL GARCIA-SAMPEDRO</v>
      </c>
      <c r="H8" s="201"/>
      <c r="I8" s="201"/>
      <c r="J8" s="201"/>
      <c r="K8" s="201"/>
      <c r="L8" s="201" t="str">
        <f>IF('SCOUT &amp; LOGISTICS'!D8="","",'SCOUT &amp; LOGISTICS'!D8)</f>
        <v>LUIS MOULIAA</v>
      </c>
      <c r="M8" s="201"/>
      <c r="N8" s="201"/>
      <c r="O8" s="201"/>
      <c r="P8" s="201"/>
      <c r="Q8" s="201" t="str">
        <f>IF('SCOUT &amp; LOGISTICS'!D9="","",'SCOUT &amp; LOGISTICS'!D9)</f>
        <v>PATRICA ORTIZ DE ZARATE</v>
      </c>
      <c r="R8" s="201"/>
      <c r="S8" s="201"/>
      <c r="T8" s="201"/>
      <c r="U8" s="201"/>
      <c r="V8" s="201" t="str">
        <f>IF('SCOUT &amp; LOGISTICS'!D10="","",'SCOUT &amp; LOGISTICS'!D10)</f>
        <v>SERGIO CASTRO</v>
      </c>
      <c r="W8" s="201"/>
      <c r="X8" s="201"/>
      <c r="Y8" s="201"/>
      <c r="Z8" s="201"/>
      <c r="AA8" s="201" t="str">
        <f>IF('SCOUT &amp; LOGISTICS'!D11="","",'SCOUT &amp; LOGISTICS'!D11)</f>
        <v>IKER BASCONES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611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Todo perfecto, da gusto trabajar con vosotros por fiabilidad y comunicación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96DF7F3-D605-4696-9250-CF9FDCB0428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2026-01-09T21:43:43Z</cp:lastPrinted>
  <dcterms:created xsi:type="dcterms:W3CDTF">2023-09-19T19:50:35Z</dcterms:created>
  <dcterms:modified xsi:type="dcterms:W3CDTF">2026-01-09T21:43:47Z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