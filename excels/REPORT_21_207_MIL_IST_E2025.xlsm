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48" documentId="8_{E1EDB5F6-36FF-496B-AA2A-3F8C841A6CDD}" xr6:coauthVersionLast="47" xr6:coauthVersionMax="47" xr10:uidLastSave="{A2A1012F-8BE7-4856-8C6A-720FB6CE471B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<sst xmlns="http://schemas.openxmlformats.org/spreadsheetml/2006/main" count="3260" uniqueCount="762">
  <si>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</si>
  <si>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</si>
  <si>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</si>
  <si>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</si>
  <si>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</si>
  <si>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</si>
  <si>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</si>
  <si>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</si>
  <si>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</si>
  <si>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</si>
  <si>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</si>
  <si>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</si>
  <si>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</si>
  <si>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</si>
  <si>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</si>
  <si>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</si>
  <si>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</si>
  <si>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</si>
  <si>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</si>
  <si>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</si>
  <si>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</si>
  <si>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</si>
  <si>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</si>
  <si>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</si>
  <si>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</si>
  <si>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</si>
  <si>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</si>
  <si>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</si>
  <si>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</si>
  <si>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</si>
  <si>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</si>
  <si>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</si>
  <si>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</si>
  <si>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</si>
  <si>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</si>
  <si>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</si>
  <si>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</si>
  <si>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</si>
  <si>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</si>
  <si>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</si>
  <si>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</si>
  <si>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</si>
  <si>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</si>
  <si>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</si>
  <si>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</si>
  <si>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</si>
  <si>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</si>
  <si>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</si>
  <si>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</si>
  <si>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</si>
  <si>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</si>
  <si>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</si>
  <si>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</si>
  <si>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</si>
  <si>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</si>
  <si>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</si>
  <si>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</si>
  <si>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</si>
  <si>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</si>
  <si>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</si>
  <si>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</si>
  <si>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</si>
  <si>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</si>
  <si>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</si>
  <si>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</si>
  <si>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</si>
  <si>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</si>
  <si>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</si>
  <si>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</si>
  <si>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</si>
  <si>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</si>
  <si>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</si>
  <si>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</si>
  <si>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</si>
  <si>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</si>
  <si>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</si>
  <si>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</si>
  <si>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</si>
  <si>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</si>
  <si>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</si>
  <si>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</si>
  <si>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</si>
  <si>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</si>
  <si>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</si>
  <si>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</si>
  <si>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</si>
  <si>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</si>
  <si>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</si>
  <si>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</si>
  <si>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</si>
  <si>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</si>
  <si>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</si>
  <si>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</si>
  <si>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</si>
  <si>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</si>
  <si>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</si>
  <si>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</si>
  <si>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</si>
  <si>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</si>
  <si>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</si>
  <si>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</si>
  <si>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</si>
  <si>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</si>
  <si>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</si>
  <si>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</si>
  <si>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</si>
  <si>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</si>
  <si>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</si>
  <si>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</si>
  <si>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</si>
  <si>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</si>
  <si>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</si>
  <si>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</si>
  <si>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</si>
  <si>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</si>
  <si>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</si>
  <si>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</si>
  <si>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</si>
  <si>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</si>
  <si>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</si>
  <si>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</si>
  <si>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</si>
  <si>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</si>
  <si>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</si>
  <si>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</si>
  <si>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</si>
  <si>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</si>
  <si>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</si>
  <si>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</si>
  <si>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</si>
  <si>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</si>
  <si>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</si>
  <si>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</si>
  <si>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</si>
  <si>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</si>
  <si>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</si>
  <si>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</si>
  <si>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</si>
  <si>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</si>
  <si>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</si>
  <si>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</si>
  <si>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</si>
  <si>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</si>
  <si>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</si>
  <si>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</si>
  <si>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</si>
  <si>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</si>
  <si>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</si>
  <si>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</si>
  <si>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</si>
  <si>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</si>
  <si>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</si>
  <si>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</si>
  <si>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</si>
  <si>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</si>
  <si>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</si>
  <si>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</si>
  <si>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</si>
  <si>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</si>
  <si>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</si>
  <si>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</si>
  <si>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</si>
  <si>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</si>
  <si>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</si>
  <si>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</si>
  <si>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</si>
  <si>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</si>
  <si>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</si>
  <si>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</si>
  <si>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</si>
  <si>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</si>
  <si>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</si>
  <si>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</si>
  <si>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</si>
  <si>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</si>
  <si>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</si>
  <si>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</si>
  <si>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</si>
  <si>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</si>
  <si>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</si>
  <si>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</si>
  <si>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</si>
  <si>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</si>
  <si>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</si>
  <si>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</si>
  <si>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</si>
  <si>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</si>
  <si>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</si>
  <si>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</si>
  <si>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</si>
  <si>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</si>
  <si>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</si>
  <si>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</si>
  <si>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</si>
  <si>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</si>
  <si>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</si>
  <si>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</si>
  <si>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</si>
  <si>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</si>
  <si>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</si>
  <si>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</si>
  <si>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</si>
  <si>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</si>
  <si>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</si>
  <si>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</si>
  <si>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</si>
  <si>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</si>
  <si>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</si>
  <si>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</si>
  <si>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</si>
  <si>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</si>
  <si>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</si>
  <si>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</si>
  <si>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</si>
  <si>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</si>
  <si>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</si>
  <si>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</si>
  <si>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</si>
  <si>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</si>
  <si>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</si>
  <si>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</si>
  <si>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</si>
  <si>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</si>
  <si>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</si>
  <si>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</si>
  <si>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</si>
  <si>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</si>
  <si>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</si>
  <si>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</si>
  <si>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</si>
  <si>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</si>
  <si>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</si>
  <si>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</si>
  <si>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</si>
  <si>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</si>
  <si>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</si>
  <si>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</si>
  <si>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</si>
  <si>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</si>
  <si>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</si>
  <si>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</si>
  <si>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</si>
  <si>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</si>
  <si>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</si>
  <si>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</si>
  <si>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</si>
  <si>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</si>
  <si>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</si>
  <si>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</si>
  <si>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</si>
  <si>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</si>
  <si>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</si>
  <si>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</si>
  <si>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</si>
  <si>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</si>
  <si>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</si>
  <si>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</si>
  <si>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</si>
  <si>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</si>
  <si>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</si>
  <si>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</si>
  <si>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</si>
  <si>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</si>
  <si>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</si>
  <si>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</si>
  <si>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</si>
  <si>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</si>
  <si>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</si>
  <si>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</si>
  <si>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</si>
  <si>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</si>
  <si>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</si>
  <si>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</si>
  <si>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</si>
  <si>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</si>
  <si>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</si>
  <si>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</si>
  <si>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</si>
  <si>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</si>
  <si>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</si>
  <si>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</si>
  <si>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</si>
  <si>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</si>
  <si>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</si>
  <si>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</si>
  <si>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</si>
  <si>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</si>
  <si>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</si>
  <si>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</si>
  <si>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</si>
  <si>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</si>
  <si>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</si>
  <si>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</si>
  <si>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</si>
  <si>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</si>
  <si>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</si>
  <si>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</si>
  <si>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</si>
  <si>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</si>
  <si>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</si>
  <si>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</si>
  <si>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</si>
  <si>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</si>
  <si>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</si>
  <si>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</si>
  <si>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</si>
  <si>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</si>
  <si>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</si>
  <si>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</si>
  <si>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</si>
  <si>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</si>
  <si>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</si>
  <si>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</si>
  <si>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</si>
  <si>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</si>
  <si>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</si>
  <si>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</si>
  <si>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</si>
  <si>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</si>
  <si>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</si>
  <si>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</si>
  <si>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</si>
  <si>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</si>
  <si>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</si>
  <si>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</si>
  <si>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</si>
  <si>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</si>
  <si>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</si>
  <si>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</si>
  <si>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</si>
  <si>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</si>
  <si>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</si>
  <si>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</si>
  <si>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</si>
  <si>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</si>
  <si>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</si>
  <si>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</si>
  <si>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</si>
  <si>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</si>
  <si>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</si>
  <si>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</si>
  <si>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</si>
  <si>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</si>
  <si>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</si>
  <si>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</si>
  <si>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</si>
  <si>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</si>
  <si>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</si>
  <si>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</si>
  <si>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</si>
  <si>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</si>
  <si>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</si>
  <si>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</si>
  <si>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</si>
  <si>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</si>
  <si>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</si>
  <si>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</si>
  <si>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</si>
  <si>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</si>
  <si>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</si>
  <si>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</si>
  <si>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</si>
  <si>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</si>
  <si>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</si>
  <si>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</si>
  <si>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</si>
  <si>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</si>
  <si>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</si>
  <si>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</si>
  <si>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</si>
  <si>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</si>
  <si>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</si>
  <si>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</si>
  <si>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</si>
  <si>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</si>
  <si>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</si>
  <si>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</si>
  <si>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</si>
  <si>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</si>
  <si>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</si>
  <si>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</si>
  <si>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</si>
  <si>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</si>
  <si>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</si>
  <si>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</si>
  <si>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</si>
  <si>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</si>
  <si>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</si>
  <si>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</si>
  <si>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</si>
  <si>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</si>
  <si>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</si>
  <si>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</si>
  <si>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</si>
  <si>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</si>
  <si>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</si>
  <si>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</si>
  <si>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</si>
  <si>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</si>
  <si>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</si>
  <si>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</si>
  <si>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</si>
  <si>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</si>
  <si>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</si>
  <si>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</si>
  <si>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</si>
  <si>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</si>
  <si>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</si>
  <si>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</si>
  <si>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</si>
  <si>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</si>
  <si>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</si>
  <si>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</si>
  <si>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</si>
  <si>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</si>
  <si>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</si>
  <si>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</si>
  <si>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</si>
  <si>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</si>
  <si>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</si>
  <si>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</si>
  <si>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</si>
  <si>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</si>
  <si>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</si>
  <si>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</si>
  <si>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</si>
  <si>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</si>
  <si>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</si>
  <si>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</si>
  <si>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</si>
  <si>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</si>
  <si>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</si>
  <si>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</si>
  <si>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</si>
  <si>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</si>
  <si>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</si>
  <si>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</si>
  <si>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</si>
  <si>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</si>
  <si>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</si>
  <si>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</si>
  <si>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</si>
  <si>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</si>
  <si>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</si>
  <si>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</si>
  <si>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</si>
  <si>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</si>
  <si>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</si>
  <si>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</si>
  <si>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</si>
  <si>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</si>
  <si>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</si>
  <si>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</si>
  <si>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</si>
  <si>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</si>
  <si>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</si>
  <si>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</si>
  <si>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</si>
  <si>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</si>
  <si>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</si>
  <si>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</si>
  <si>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</si>
  <si>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</si>
  <si>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</si>
  <si>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</si>
  <si>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</si>
  <si>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</si>
  <si>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</si>
  <si>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</si>
  <si>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</si>
  <si>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</si>
  <si>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</si>
  <si>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</si>
  <si>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</si>
  <si>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</si>
  <si>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</si>
  <si>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</si>
  <si>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</si>
  <si>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</si>
  <si>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</si>
  <si>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</si>
  <si>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</si>
  <si>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</si>
  <si>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</si>
  <si>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</si>
  <si>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</si>
  <si>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</si>
  <si>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</si>
  <si>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</si>
  <si>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</si>
  <si>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</si>
  <si>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</si>
  <si>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</si>
  <si>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</si>
  <si>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</si>
  <si>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</si>
  <si>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</si>
  <si>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</si>
  <si>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</si>
  <si>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</si>
  <si>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</si>
  <si>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</si>
  <si>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</si>
  <si>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</si>
  <si>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</si>
  <si>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</si>
  <si>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</si>
  <si>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</si>
  <si>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</si>
  <si>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</si>
  <si>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</si>
  <si>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</si>
  <si>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</si>
  <si>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</si>
  <si>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</si>
  <si>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</si>
  <si>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</si>
  <si>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</si>
  <si>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</si>
  <si>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</si>
  <si>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</si>
  <si>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</si>
  <si>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</si>
  <si>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</si>
  <si>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</si>
  <si>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</si>
  <si>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</si>
  <si>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</si>
  <si>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</si>
  <si>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</si>
  <si>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</si>
  <si>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</si>
  <si>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</si>
  <si>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</si>
  <si>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</si>
  <si>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</si>
  <si>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</si>
  <si>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</si>
  <si>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</si>
  <si>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</si>
  <si>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</si>
  <si>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</si>
  <si>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</si>
  <si>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</si>
  <si>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</si>
  <si>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</si>
  <si>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</si>
  <si>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</si>
  <si>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</si>
  <si>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</si>
  <si>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</si>
  <si>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</si>
  <si>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</si>
  <si>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</si>
  <si>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</si>
  <si>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</si>
  <si>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</si>
  <si>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</si>
  <si>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</si>
  <si>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</si>
  <si>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</si>
  <si>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</si>
  <si>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</si>
  <si>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</si>
  <si>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</si>
  <si>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</si>
  <si>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</si>
  <si>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</si>
  <si>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</si>
  <si>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</si>
  <si>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</si>
  <si>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</si>
  <si>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</si>
  <si>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</si>
  <si>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</si>
  <si>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</si>
  <si>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</si>
  <si>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</si>
  <si>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</si>
  <si>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</si>
  <si>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</si>
  <si>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</si>
  <si>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</si>
  <si>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</si>
  <si>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</si>
  <si>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</si>
  <si>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</si>
  <si>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</si>
  <si>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</si>
  <si>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</si>
  <si>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</si>
  <si>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</si>
  <si>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</si>
  <si>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</si>
  <si>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</si>
  <si>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</si>
  <si>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</si>
  <si>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</si>
  <si>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</si>
  <si>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</si>
  <si>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</si>
  <si>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</si>
  <si>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</si>
  <si>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</si>
  <si>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</si>
  <si>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</si>
  <si>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</si>
  <si>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</si>
  <si>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</si>
  <si>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</si>
  <si>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</si>
  <si>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</si>
  <si>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</si>
  <si>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</si>
  <si>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</si>
  <si>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</si>
  <si>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</si>
  <si>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</si>
  <si>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</si>
  <si>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</si>
  <si>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</si>
  <si>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</si>
  <si>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</si>
  <si>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</si>
  <si>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</si>
  <si>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</si>
  <si>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</si>
  <si>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</si>
  <si>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</si>
  <si>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</si>
  <si>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</si>
  <si>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</si>
  <si>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</si>
  <si>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</si>
  <si>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</si>
  <si>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</si>
  <si>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</si>
  <si>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</si>
  <si>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</si>
  <si>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</si>
  <si>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</si>
  <si>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</si>
  <si>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</si>
  <si>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</si>
  <si>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</si>
  <si>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</si>
  <si>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</si>
  <si>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</si>
  <si>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</si>
  <si>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</si>
  <si>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</si>
  <si>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</si>
  <si>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</si>
  <si>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</si>
  <si>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</si>
  <si>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</si>
  <si>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</si>
  <si>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</si>
  <si>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</si>
  <si>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</si>
  <si>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</si>
  <si>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</si>
  <si>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</si>
  <si>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</si>
  <si>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</si>
  <si>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</si>
  <si>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</si>
  <si>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</si>
  <si>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</si>
  <si>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</si>
  <si>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</si>
  <si>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</si>
  <si>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</si>
  <si>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</si>
  <si>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</si>
  <si>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</si>
  <si>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</si>
  <si>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</si>
  <si>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</si>
  <si>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</si>
  <si>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</si>
  <si>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</si>
  <si>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</si>
  <si>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</si>
  <si>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</si>
  <si>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</si>
  <si>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</si>
  <si>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</si>
  <si>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</si>
  <si>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</si>
  <si>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</si>
  <si>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</si>
  <si>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</si>
  <si>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</si>
  <si>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</si>
  <si>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</si>
  <si>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</si>
  <si>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</si>
  <si>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</si>
  <si>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</si>
  <si>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</si>
  <si>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</si>
  <si>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</si>
  <si>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</si>
  <si>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</si>
  <si>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</si>
  <si>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</si>
  <si>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</si>
  <si>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</si>
  <si>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</si>
  <si>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</si>
  <si>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</si>
  <si>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</si>
  <si>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</si>
  <si>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</si>
  <si>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</si>
  <si>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</si>
  <si>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</si>
  <si>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</si>
  <si>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</si>
  <si>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</si>
  <si>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</si>
  <si>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</si>
  <si>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</si>
  <si>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</si>
  <si>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</si>
  <si>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</si>
  <si>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</si>
  <si>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</si>
  <si>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</si>
  <si>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</si>
  <si>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</si>
  <si>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</si>
  <si>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</si>
  <si>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</si>
  <si>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</si>
  <si>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</si>
  <si>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</si>
  <si>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</si>
  <si>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</si>
  <si>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</si>
  <si>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</si>
  <si>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</si>
  <si>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</si>
  <si>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</si>
  <si>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</si>
  <si>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</si>
  <si>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</si>
  <si>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</si>
  <si>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</si>
  <si>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</si>
  <si>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HECTOR GUILLEN</t>
  </si>
  <si>
    <t>5:26</t>
  </si>
  <si>
    <t>6:53</t>
  </si>
  <si>
    <t>4:12</t>
  </si>
  <si>
    <t>Very good job! Keep it up!</t>
  </si>
  <si>
    <t>ALESSANDRO ZUCCA</t>
  </si>
  <si>
    <t>RENATO BOCCOTTI</t>
  </si>
  <si>
    <t>EMANUELA DALLA COSTA</t>
  </si>
  <si>
    <t>SIMONE VLACHOS</t>
  </si>
  <si>
    <t>SIMONA PANFILI</t>
  </si>
  <si>
    <t>VALERIA GAMBUZZA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</si>
</sst>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21_207_MIL_IST_E2025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207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46031.854166666664</v>
      </c>
      <c r="C3" s="157"/>
      <c r="D3" s="39">
        <v>522</v>
      </c>
      <c r="E3" s="29"/>
      <c r="F3" s="26">
        <f>SUBTOTAL(3,I17:I106)</f>
        <v>3</v>
      </c>
      <c r="G3" s="27">
        <f>IF(OR(D3="",D3=0),"",F3/D3)</f>
        <v>5.7471264367816091E-3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EA7 Emporio Armani Milan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MIL</v>
      </c>
      <c r="I4" s="5"/>
      <c r="J4" s="119" t="s">
        <v>714</v>
      </c>
      <c r="K4" s="54" t="s">
        <v>742</v>
      </c>
      <c r="L4" s="5"/>
      <c r="M4" s="167" t="s">
        <v>755</v>
      </c>
      <c r="N4" s="168"/>
      <c r="O4" s="2"/>
      <c r="P4" s="2"/>
      <c r="Q4" s="84" t="s">
        <v>175</v>
      </c>
      <c r="R4" s="94">
        <f>(IF(G3="",0,G3))</f>
        <v>5.7471264367816091E-3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0.57471264367816088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756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757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2.5747126436781609</v>
      </c>
      <c r="N7" s="58"/>
      <c r="O7" s="2"/>
      <c r="P7" s="2"/>
      <c r="Q7" s="86">
        <f>SUM(R5,S5,AC16)</f>
        <v>2.5747126436781609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758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2.5747126436781609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759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760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761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207</v>
      </c>
      <c r="D17" s="32" t="s">
        <v>752</v>
      </c>
      <c r="E17" s="33">
        <v>1</v>
      </c>
      <c r="F17" s="36">
        <v>6</v>
      </c>
      <c r="G17" s="36">
        <v>13</v>
      </c>
      <c r="H17" s="38" t="str">
        <f>IF(I17="","",$I$14)</f>
        <v>SCOUTING</v>
      </c>
      <c r="I17" s="34">
        <v>62</v>
      </c>
      <c r="J17" s="13" t="s">
        <v>4</v>
      </c>
      <c r="K17" s="13" t="s">
        <v>62</v>
      </c>
      <c r="L17" s="13" t="s">
        <v>6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207</v>
      </c>
      <c r="D18" s="32" t="s">
        <v>753</v>
      </c>
      <c r="E18" s="33">
        <v>2</v>
      </c>
      <c r="F18" s="36">
        <v>23</v>
      </c>
      <c r="G18" s="36">
        <v>32</v>
      </c>
      <c r="H18" s="38" t="str">
        <f t="shared" ref="H18:H81" si="8">IF(I18="","",$I$14)</f>
        <v>SCOUTING</v>
      </c>
      <c r="I18" s="34">
        <v>151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207</v>
      </c>
      <c r="D19" s="32" t="s">
        <v>754</v>
      </c>
      <c r="E19" s="33">
        <v>2</v>
      </c>
      <c r="F19" s="36">
        <v>29</v>
      </c>
      <c r="G19" s="36">
        <v>38</v>
      </c>
      <c r="H19" s="38" t="str">
        <f t="shared" si="8"/>
        <v>SCOUTING</v>
      </c>
      <c r="I19" s="34">
        <v>188</v>
      </c>
      <c r="J19" s="13" t="s">
        <v>4</v>
      </c>
      <c r="K19" s="13" t="s">
        <v>62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REPORT_E2025207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"E2025207"</v>
      </c>
      <c r="F3" s="45" t="str">
        <f t="shared" ref="F3:F16" si="0">""""&amp;B3&amp;"""" &amp; " : " &amp;C3&amp;","</f>
        <v>"name" : "E2025207",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"E207"</v>
      </c>
      <c r="F4" s="45" t="str">
        <f t="shared" si="0"/>
        <v>"cod" : "E207",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207</v>
      </c>
      <c r="F6" s="45" t="str">
        <f t="shared" si="0"/>
        <v>"number" : 207,</v>
      </c>
    </row>
    <row r="7" spans="2:6" x14ac:dyDescent="0.25">
      <c r="B7" s="43" t="s">
        <v>116</v>
      </c>
      <c r="C7" s="43" t="str">
        <f ca="1">""""&amp;TEXT('SCOUT &amp; LOGISTICS'!B3,"dd/mm/aaaa")&amp;""""</f>
        <v>"09/01/Friday"</v>
      </c>
      <c r="F7" s="45" t="str">
        <f t="shared" ca="1" si="0"/>
        <v>"date" : "09/01/Friday",</v>
      </c>
    </row>
    <row r="8" spans="2:6" x14ac:dyDescent="0.25">
      <c r="B8" s="43" t="s">
        <v>125</v>
      </c>
      <c r="C8" s="43" t="str">
        <f>""""&amp;'SCOUT &amp; LOGISTICS'!D4 &amp;""""</f>
        <v>"EA7 Emporio Armani Milan"</v>
      </c>
      <c r="F8" s="45" t="str">
        <f t="shared" si="0"/>
        <v>"home_team" : "EA7 Emporio Armani Milan",</v>
      </c>
    </row>
    <row r="9" spans="2:6" x14ac:dyDescent="0.25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"ALESSANDRO ZUCCA"</v>
      </c>
      <c r="F10" s="45" t="str">
        <f t="shared" si="0"/>
        <v>"Data_entry" : "ALESSANDRO ZUCCA",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"RENATO BOCCOTTI"</v>
      </c>
      <c r="F11" s="45" t="str">
        <f t="shared" si="0"/>
        <v>"Caller_1" : "RENATO BOCCOTTI",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"EMANUELA DALLA COSTA"</v>
      </c>
      <c r="F12" s="45" t="str">
        <f t="shared" si="0"/>
        <v>"Caller_2" : "EMANUELA DALLA COSTA",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"SIMONE VLACHOS"</v>
      </c>
      <c r="F13" s="45" t="str">
        <f t="shared" si="0"/>
        <v>"Timerkeeper" : "SIMONE VLACHOS",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"SIMONA PANFILI"</v>
      </c>
      <c r="F14" s="45" t="str">
        <f t="shared" si="0"/>
        <v>"Shotclock" : "SIMONA PANFILI",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"VALERIA GAMBUZZA"</v>
      </c>
      <c r="F15" s="45" t="str">
        <f t="shared" si="0"/>
        <v>"IRS" : "VALERIA GAMBUZZA",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522</v>
      </c>
      <c r="F25" s="45" t="str">
        <f t="shared" ref="F25:F48" si="1">""""&amp;C25&amp;"""" &amp; " : " &amp;D25&amp;","</f>
        <v>"total_actions" : 522,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21_207_MIL_IST_E2025</v>
      </c>
      <c r="F52" s="45" t="str">
        <f>""""&amp;B52&amp;"""" &amp; " : " &amp;C52</f>
        <v>"result" : 21_207_MIL_IST_E2025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E207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Ea7 Emporio Armani Milan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ALESSANDRO ZUCCA</v>
      </c>
      <c r="C8" s="206"/>
      <c r="D8" s="206"/>
      <c r="E8" s="206"/>
      <c r="F8" s="206"/>
      <c r="G8" s="206" t="str">
        <f>IF('SCOUT &amp; LOGISTICS'!D7="","",'SCOUT &amp; LOGISTICS'!D7)</f>
        <v>RENATO BOCCOTTI</v>
      </c>
      <c r="H8" s="206"/>
      <c r="I8" s="206"/>
      <c r="J8" s="206"/>
      <c r="K8" s="206"/>
      <c r="L8" s="206" t="str">
        <f>IF('SCOUT &amp; LOGISTICS'!D8="","",'SCOUT &amp; LOGISTICS'!D8)</f>
        <v>EMANUELA DALLA COSTA</v>
      </c>
      <c r="M8" s="206"/>
      <c r="N8" s="206"/>
      <c r="O8" s="206"/>
      <c r="P8" s="206"/>
      <c r="Q8" s="206" t="str">
        <f>IF('SCOUT &amp; LOGISTICS'!D9="","",'SCOUT &amp; LOGISTICS'!D9)</f>
        <v>SIMONE VLACHOS</v>
      </c>
      <c r="R8" s="206"/>
      <c r="S8" s="206"/>
      <c r="T8" s="206"/>
      <c r="U8" s="206"/>
      <c r="V8" s="206" t="str">
        <f>IF('SCOUT &amp; LOGISTICS'!D10="","",'SCOUT &amp; LOGISTICS'!D10)</f>
        <v>SIMONA PANFILI</v>
      </c>
      <c r="W8" s="206"/>
      <c r="X8" s="206"/>
      <c r="Y8" s="206"/>
      <c r="Z8" s="206"/>
      <c r="AA8" s="206" t="str">
        <f>IF('SCOUT &amp; LOGISTICS'!D11="","",'SCOUT &amp; LOGISTICS'!D11)</f>
        <v>VALERIA GAMBUZZA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5.7471264367816091E-3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2.5747126436781609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B1DA77-36BF-4648-AE37-17CF50B138A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2026-01-09T21:44:31Z</cp:lastPrinted>
  <dcterms:created xsi:type="dcterms:W3CDTF">2023-09-19T19:50:35Z</dcterms:created>
  <dcterms:modified xsi:type="dcterms:W3CDTF">2026-01-09T21:44:34Z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