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PDF/"/>
    </mc:Choice>
  </mc:AlternateContent>
  <xr:revisionPtr revIDLastSave="13" documentId="8_{C3B4CB26-6892-462B-95AF-FEAB9430F357}" xr6:coauthVersionLast="47" xr6:coauthVersionMax="47" xr10:uidLastSave="{C7C2CF84-F4B6-4726-B511-CA31A280C6DB}"/>
  <bookViews>
    <workbookView xWindow="90" yWindow="-16200" windowWidth="28770" windowHeight="1558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<sst xmlns="http://schemas.openxmlformats.org/spreadsheetml/2006/main" count="3280" uniqueCount="764">
  <si>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</si>
  <si>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</si>
  <si>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</si>
  <si>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</si>
  <si>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</si>
  <si>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</si>
  <si>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</si>
  <si>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</si>
  <si>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</si>
  <si>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</si>
  <si>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</si>
  <si>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</si>
  <si>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</si>
  <si>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</si>
  <si>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</si>
  <si>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</si>
  <si>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</si>
  <si>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</si>
  <si>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</si>
  <si>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</si>
  <si>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</si>
  <si>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</si>
  <si>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</si>
  <si>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</si>
  <si>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</si>
  <si>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</si>
  <si>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</si>
  <si>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</si>
  <si>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</si>
  <si>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</si>
  <si>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</si>
  <si>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</si>
  <si>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</si>
  <si>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</si>
  <si>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</si>
  <si>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</si>
  <si>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</si>
  <si>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</si>
  <si>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</si>
  <si>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</si>
  <si>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</si>
  <si>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</si>
  <si>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</si>
  <si>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</si>
  <si>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</si>
  <si>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</si>
  <si>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</si>
  <si>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</si>
  <si>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</si>
  <si>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</si>
  <si>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</si>
  <si>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</si>
  <si>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</si>
  <si>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</si>
  <si>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</si>
  <si>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</si>
  <si>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</si>
  <si>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</si>
  <si>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</si>
  <si>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</si>
  <si>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</si>
  <si>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</si>
  <si>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</si>
  <si>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</si>
  <si>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</si>
  <si>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</si>
  <si>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</si>
  <si>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</si>
  <si>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</si>
  <si>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</si>
  <si>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</si>
  <si>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</si>
  <si>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</si>
  <si>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</si>
  <si>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</si>
  <si>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</si>
  <si>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</si>
  <si>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</si>
  <si>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</si>
  <si>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</si>
  <si>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</si>
  <si>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</si>
  <si>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</si>
  <si>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</si>
  <si>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</si>
  <si>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</si>
  <si>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</si>
  <si>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</si>
  <si>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</si>
  <si>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</si>
  <si>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</si>
  <si>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</si>
  <si>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</si>
  <si>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</si>
  <si>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</si>
  <si>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</si>
  <si>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</si>
  <si>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</si>
  <si>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</si>
  <si>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</si>
  <si>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</si>
  <si>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</si>
  <si>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</si>
  <si>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</si>
  <si>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</si>
  <si>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</si>
  <si>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</si>
  <si>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</si>
  <si>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</si>
  <si>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</si>
  <si>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</si>
  <si>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</si>
  <si>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</si>
  <si>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</si>
  <si>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</si>
  <si>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</si>
  <si>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</si>
  <si>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</si>
  <si>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</si>
  <si>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</si>
  <si>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</si>
  <si>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</si>
  <si>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</si>
  <si>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</si>
  <si>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</si>
  <si>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</si>
  <si>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</si>
  <si>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</si>
  <si>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</si>
  <si>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</si>
  <si>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</si>
  <si>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</si>
  <si>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</si>
  <si>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</si>
  <si>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</si>
  <si>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</si>
  <si>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</si>
  <si>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</si>
  <si>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</si>
  <si>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</si>
  <si>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</si>
  <si>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</si>
  <si>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</si>
  <si>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</si>
  <si>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</si>
  <si>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</si>
  <si>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</si>
  <si>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</si>
  <si>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</si>
  <si>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</si>
  <si>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</si>
  <si>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</si>
  <si>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</si>
  <si>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</si>
  <si>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</si>
  <si>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</si>
  <si>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</si>
  <si>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</si>
  <si>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</si>
  <si>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</si>
  <si>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</si>
  <si>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</si>
  <si>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</si>
  <si>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</si>
  <si>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</si>
  <si>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</si>
  <si>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</si>
  <si>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</si>
  <si>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</si>
  <si>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</si>
  <si>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</si>
  <si>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</si>
  <si>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</si>
  <si>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</si>
  <si>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</si>
  <si>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</si>
  <si>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</si>
  <si>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</si>
  <si>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</si>
  <si>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</si>
  <si>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</si>
  <si>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</si>
  <si>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</si>
  <si>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</si>
  <si>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</si>
  <si>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</si>
  <si>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</si>
  <si>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</si>
  <si>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</si>
  <si>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</si>
  <si>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</si>
  <si>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</si>
  <si>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</si>
  <si>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</si>
  <si>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</si>
  <si>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</si>
  <si>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</si>
  <si>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</si>
  <si>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</si>
  <si>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</si>
  <si>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</si>
  <si>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</si>
  <si>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</si>
  <si>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</si>
  <si>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</si>
  <si>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</si>
  <si>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</si>
  <si>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</si>
  <si>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</si>
  <si>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</si>
  <si>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</si>
  <si>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</si>
  <si>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</si>
  <si>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</si>
  <si>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</si>
  <si>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</si>
  <si>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</si>
  <si>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</si>
  <si>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</si>
  <si>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</si>
  <si>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</si>
  <si>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</si>
  <si>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</si>
  <si>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</si>
  <si>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</si>
  <si>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</si>
  <si>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</si>
  <si>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</si>
  <si>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</si>
  <si>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</si>
  <si>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</si>
  <si>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</si>
  <si>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</si>
  <si>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</si>
  <si>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</si>
  <si>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</si>
  <si>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</si>
  <si>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</si>
  <si>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</si>
  <si>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</si>
  <si>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</si>
  <si>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</si>
  <si>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</si>
  <si>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</si>
  <si>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</si>
  <si>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</si>
  <si>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</si>
  <si>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</si>
  <si>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</si>
  <si>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</si>
  <si>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</si>
  <si>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</si>
  <si>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</si>
  <si>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</si>
  <si>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</si>
  <si>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</si>
  <si>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</si>
  <si>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</si>
  <si>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</si>
  <si>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</si>
  <si>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</si>
  <si>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</si>
  <si>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</si>
  <si>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</si>
  <si>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</si>
  <si>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</si>
  <si>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</si>
  <si>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</si>
  <si>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</si>
  <si>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</si>
  <si>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</si>
  <si>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</si>
  <si>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</si>
  <si>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</si>
  <si>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</si>
  <si>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</si>
  <si>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</si>
  <si>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</si>
  <si>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</si>
  <si>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</si>
  <si>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</si>
  <si>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</si>
  <si>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</si>
  <si>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</si>
  <si>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</si>
  <si>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</si>
  <si>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</si>
  <si>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</si>
  <si>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</si>
  <si>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</si>
  <si>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</si>
  <si>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</si>
  <si>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</si>
  <si>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</si>
  <si>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</si>
  <si>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</si>
  <si>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</si>
  <si>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</si>
  <si>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</si>
  <si>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</si>
  <si>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</si>
  <si>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</si>
  <si>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</si>
  <si>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</si>
  <si>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</si>
  <si>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</si>
  <si>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</si>
  <si>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</si>
  <si>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</si>
  <si>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</si>
  <si>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</si>
  <si>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</si>
  <si>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</si>
  <si>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</si>
  <si>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</si>
  <si>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</si>
  <si>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</si>
  <si>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</si>
  <si>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</si>
  <si>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</si>
  <si>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</si>
  <si>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</si>
  <si>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</si>
  <si>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</si>
  <si>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</si>
  <si>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</si>
  <si>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</si>
  <si>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</si>
  <si>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</si>
  <si>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</si>
  <si>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</si>
  <si>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</si>
  <si>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</si>
  <si>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</si>
  <si>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</si>
  <si>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</si>
  <si>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</si>
  <si>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</si>
  <si>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</si>
  <si>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</si>
  <si>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</si>
  <si>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</si>
  <si>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</si>
  <si>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</si>
  <si>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</si>
  <si>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</si>
  <si>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</si>
  <si>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</si>
  <si>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</si>
  <si>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</si>
  <si>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</si>
  <si>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</si>
  <si>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</si>
  <si>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</si>
  <si>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</si>
  <si>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</si>
  <si>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</si>
  <si>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</si>
  <si>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</si>
  <si>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</si>
  <si>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</si>
  <si>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</si>
  <si>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</si>
  <si>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</si>
  <si>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</si>
  <si>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</si>
  <si>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</si>
  <si>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</si>
  <si>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</si>
  <si>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</si>
  <si>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</si>
  <si>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</si>
  <si>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</si>
  <si>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</si>
  <si>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</si>
  <si>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</si>
  <si>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</si>
  <si>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</si>
  <si>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</si>
  <si>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</si>
  <si>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</si>
  <si>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</si>
  <si>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</si>
  <si>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</si>
  <si>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</si>
  <si>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</si>
  <si>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</si>
  <si>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</si>
  <si>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</si>
  <si>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</si>
  <si>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</si>
  <si>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</si>
  <si>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</si>
  <si>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</si>
  <si>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</si>
  <si>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</si>
  <si>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</si>
  <si>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</si>
  <si>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</si>
  <si>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</si>
  <si>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</si>
  <si>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</si>
  <si>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</si>
  <si>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</si>
  <si>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</si>
  <si>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</si>
  <si>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</si>
  <si>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</si>
  <si>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</si>
  <si>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</si>
  <si>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</si>
  <si>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</si>
  <si>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</si>
  <si>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</si>
  <si>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</si>
  <si>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</si>
  <si>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</si>
  <si>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</si>
  <si>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</si>
  <si>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</si>
  <si>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</si>
  <si>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</si>
  <si>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</si>
  <si>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</si>
  <si>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</si>
  <si>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</si>
  <si>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</si>
  <si>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</si>
  <si>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</si>
  <si>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</si>
  <si>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</si>
  <si>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</si>
  <si>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</si>
  <si>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</si>
  <si>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</si>
  <si>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</si>
  <si>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</si>
  <si>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</si>
  <si>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</si>
  <si>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</si>
  <si>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</si>
  <si>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</si>
  <si>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</si>
  <si>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</si>
  <si>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</si>
  <si>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</si>
  <si>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</si>
  <si>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</si>
  <si>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</si>
  <si>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</si>
  <si>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</si>
  <si>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</si>
  <si>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</si>
  <si>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</si>
  <si>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</si>
  <si>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</si>
  <si>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</si>
  <si>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</si>
  <si>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</si>
  <si>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</si>
  <si>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</si>
  <si>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</si>
  <si>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</si>
  <si>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</si>
  <si>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</si>
  <si>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</si>
  <si>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</si>
  <si>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</si>
  <si>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</si>
  <si>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</si>
  <si>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</si>
  <si>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</si>
  <si>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</si>
  <si>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</si>
  <si>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</si>
  <si>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</si>
  <si>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</si>
  <si>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</si>
  <si>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</si>
  <si>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</si>
  <si>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</si>
  <si>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</si>
  <si>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</si>
  <si>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</si>
  <si>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</si>
  <si>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</si>
  <si>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</si>
  <si>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</si>
  <si>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</si>
  <si>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</si>
  <si>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</si>
  <si>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</si>
  <si>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</si>
  <si>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</si>
  <si>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</si>
  <si>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</si>
  <si>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</si>
  <si>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</si>
  <si>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</si>
  <si>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</si>
  <si>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</si>
  <si>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</si>
  <si>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</si>
  <si>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</si>
  <si>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</si>
  <si>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</si>
  <si>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</si>
  <si>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</si>
  <si>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</si>
  <si>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</si>
  <si>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</si>
  <si>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</si>
  <si>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</si>
  <si>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</si>
  <si>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</si>
  <si>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</si>
  <si>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</si>
  <si>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</si>
  <si>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</si>
  <si>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</si>
  <si>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</si>
  <si>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</si>
  <si>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</si>
  <si>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</si>
  <si>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</si>
  <si>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</si>
  <si>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</si>
  <si>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</si>
  <si>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</si>
  <si>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</si>
  <si>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</si>
  <si>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</si>
  <si>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</si>
  <si>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</si>
  <si>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</si>
  <si>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</si>
  <si>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</si>
  <si>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</si>
  <si>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</si>
  <si>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</si>
  <si>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</si>
  <si>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</si>
  <si>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</si>
  <si>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</si>
  <si>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</si>
  <si>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</si>
  <si>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</si>
  <si>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</si>
  <si>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</si>
  <si>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</si>
  <si>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</si>
  <si>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</si>
  <si>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</si>
  <si>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</si>
  <si>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</si>
  <si>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</si>
  <si>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</si>
  <si>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</si>
  <si>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</si>
  <si>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</si>
  <si>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</si>
  <si>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</si>
  <si>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</si>
  <si>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</si>
  <si>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</si>
  <si>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</si>
  <si>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</si>
  <si>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</si>
  <si>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</si>
  <si>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</si>
  <si>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</si>
  <si>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</si>
  <si>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</si>
  <si>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</si>
  <si>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</si>
  <si>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</si>
  <si>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</si>
  <si>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</si>
  <si>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</si>
  <si>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</si>
  <si>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</si>
  <si>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</si>
  <si>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</si>
  <si>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</si>
  <si>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</si>
  <si>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</si>
  <si>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</si>
  <si>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</si>
  <si>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</si>
  <si>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</si>
  <si>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</si>
  <si>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</si>
  <si>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</si>
  <si>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</si>
  <si>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</si>
  <si>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</si>
  <si>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</si>
  <si>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</si>
  <si>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</si>
  <si>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</si>
  <si>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</si>
  <si>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</si>
  <si>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</si>
  <si>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</si>
  <si>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</si>
  <si>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</si>
  <si>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</si>
  <si>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</si>
  <si>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</si>
  <si>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</si>
  <si>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</si>
  <si>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</si>
  <si>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</si>
  <si>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</si>
  <si>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</si>
  <si>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</si>
  <si>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</si>
  <si>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</si>
  <si>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</si>
  <si>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</si>
  <si>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</si>
  <si>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</si>
  <si>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</si>
  <si>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</si>
  <si>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</si>
  <si>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</si>
  <si>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</si>
  <si>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</si>
  <si>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</si>
  <si>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</si>
  <si>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</si>
  <si>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</si>
  <si>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</si>
  <si>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</si>
  <si>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</si>
  <si>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</si>
  <si>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</si>
  <si>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</si>
  <si>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</si>
  <si>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</si>
  <si>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</si>
  <si>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</si>
  <si>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</si>
  <si>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</si>
  <si>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</si>
  <si>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</si>
  <si>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</si>
  <si>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</si>
  <si>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</si>
  <si>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</si>
  <si>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</si>
  <si>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</si>
  <si>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</si>
  <si>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</si>
  <si>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</si>
  <si>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</si>
  <si>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</si>
  <si>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</si>
  <si>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</si>
  <si>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</si>
  <si>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</si>
  <si>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</si>
  <si>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</si>
  <si>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</si>
  <si>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</si>
  <si>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</si>
  <si>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</si>
  <si>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</si>
  <si>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</si>
  <si>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</si>
  <si>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</si>
  <si>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</si>
  <si>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</si>
  <si>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</si>
  <si>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</si>
  <si>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</si>
  <si>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</si>
  <si>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</si>
  <si>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</si>
  <si>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</si>
  <si>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</si>
  <si>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</si>
  <si>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</si>
  <si>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</si>
  <si>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</si>
  <si>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</si>
  <si>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</si>
  <si>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</si>
  <si>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</si>
  <si>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</si>
  <si>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</si>
  <si>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</si>
  <si>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</si>
  <si>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</si>
  <si>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</si>
  <si>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</si>
  <si>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</si>
  <si>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</si>
  <si>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</si>
  <si>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</si>
  <si>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</si>
  <si>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</si>
  <si>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</si>
  <si>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</si>
  <si>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</si>
  <si>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</si>
  <si>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</si>
  <si>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</si>
  <si>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</si>
  <si>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</si>
  <si>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</si>
  <si>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</si>
  <si>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</si>
  <si>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</si>
  <si>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</si>
  <si>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</si>
  <si>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</si>
  <si>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</si>
  <si>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</si>
  <si>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</si>
  <si>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</si>
  <si>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</si>
  <si>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</si>
  <si>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</si>
  <si>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</si>
  <si>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</si>
  <si>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</si>
  <si>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</si>
  <si>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</si>
  <si>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</si>
  <si>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</si>
  <si>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</si>
  <si>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</si>
  <si>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</si>
  <si>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</si>
  <si>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</si>
  <si>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</si>
  <si>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</si>
  <si>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</si>
  <si>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</si>
  <si>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</si>
  <si>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</si>
  <si>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</si>
  <si>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</si>
  <si>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</si>
  <si>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</si>
  <si>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</si>
  <si>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</si>
  <si>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</si>
  <si>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C:\Users\nerea.fraile\EUROLEAGUE\EB STATS - Documents\General\SEASON 2025-26\Reports\Euroleague\PDF</t>
  </si>
  <si>
    <t>NEREA FRAILE</t>
  </si>
  <si>
    <t>GERARD CAROD</t>
  </si>
  <si>
    <t>LLUIS ESPINOSA</t>
  </si>
  <si>
    <t>ROBERTO BAÑOS</t>
  </si>
  <si>
    <t xml:space="preserve">MARIA JOSE SERRANO </t>
  </si>
  <si>
    <t>ALBERTO MORALES</t>
  </si>
  <si>
    <t>JESUS LOPEZ</t>
  </si>
  <si>
    <t>07:07</t>
  </si>
  <si>
    <t>01:30</t>
  </si>
  <si>
    <t>09:45</t>
  </si>
  <si>
    <t>06:30</t>
  </si>
  <si>
    <t>01:34</t>
  </si>
  <si>
    <t>01:07</t>
  </si>
  <si>
    <t xml:space="preserve">Very good job! The second part was perfect. You made corrections very quickly at the game.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</si>
</sst>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21_208_BAR_PAR_E2025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208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46031.854166666664</v>
      </c>
      <c r="C3" s="157"/>
      <c r="D3" s="39">
        <v>549</v>
      </c>
      <c r="E3" s="29"/>
      <c r="F3" s="26">
        <f>SUBTOTAL(3,I17:I106)</f>
        <v>7</v>
      </c>
      <c r="G3" s="27">
        <f>IF(OR(D3="",D3=0),"",F3/D3)</f>
        <v>1.2750455373406194E-2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742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1.2750455373406194E-2</v>
      </c>
      <c r="S4" s="61">
        <f>SUM(I13:M13)</f>
        <v>0</v>
      </c>
      <c r="T4" s="78"/>
      <c r="U4" s="61">
        <f>AC18</f>
        <v>2</v>
      </c>
      <c r="V4" s="61">
        <f>+AC22</f>
        <v>3</v>
      </c>
      <c r="W4" s="61">
        <f>AC24</f>
        <v>0</v>
      </c>
      <c r="X4" s="61">
        <f>AC29</f>
        <v>1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Partizan Mozzart Bet Belgrade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1.2750455373406193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3</v>
      </c>
      <c r="W5" s="70">
        <f t="shared" si="1"/>
        <v>0</v>
      </c>
      <c r="X5" s="70">
        <f t="shared" si="1"/>
        <v>1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8.2750455373406187</v>
      </c>
      <c r="N7" s="58"/>
      <c r="O7" s="2"/>
      <c r="P7" s="2"/>
      <c r="Q7" s="86">
        <f>SUM(R5,S5,AC16)</f>
        <v>8.2750455373406187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8.2750455373406204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208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208</v>
      </c>
      <c r="D17" s="32" t="s">
        <v>757</v>
      </c>
      <c r="E17" s="33">
        <v>1</v>
      </c>
      <c r="F17" s="36">
        <v>4</v>
      </c>
      <c r="G17" s="36">
        <v>6</v>
      </c>
      <c r="H17" s="38" t="str">
        <f>IF(I17="","",$I$14)</f>
        <v>SCOUTING</v>
      </c>
      <c r="I17" s="34">
        <v>29</v>
      </c>
      <c r="J17" s="13" t="s">
        <v>4</v>
      </c>
      <c r="K17" s="13" t="s">
        <v>62</v>
      </c>
      <c r="L17" s="13" t="s">
        <v>6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208</v>
      </c>
      <c r="D18" s="32" t="s">
        <v>758</v>
      </c>
      <c r="E18" s="33">
        <v>1</v>
      </c>
      <c r="F18" s="36">
        <v>11</v>
      </c>
      <c r="G18" s="36">
        <v>16</v>
      </c>
      <c r="H18" s="38" t="str">
        <f t="shared" ref="H18:H81" si="8">IF(I18="","",$I$14)</f>
        <v>SCOUTING</v>
      </c>
      <c r="I18" s="34">
        <v>105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208</v>
      </c>
      <c r="D19" s="32" t="s">
        <v>759</v>
      </c>
      <c r="E19" s="33">
        <v>2</v>
      </c>
      <c r="F19" s="36">
        <v>15</v>
      </c>
      <c r="G19" s="36">
        <v>20</v>
      </c>
      <c r="H19" s="38" t="str">
        <f t="shared" si="8"/>
        <v>SCOUTING</v>
      </c>
      <c r="I19" s="34">
        <v>122</v>
      </c>
      <c r="J19" s="13" t="s">
        <v>4</v>
      </c>
      <c r="K19" s="13" t="s">
        <v>62</v>
      </c>
      <c r="L19" s="13" t="s">
        <v>6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208</v>
      </c>
      <c r="D20" s="32" t="s">
        <v>760</v>
      </c>
      <c r="E20" s="33">
        <v>2</v>
      </c>
      <c r="F20" s="36">
        <v>24</v>
      </c>
      <c r="G20" s="36">
        <v>25</v>
      </c>
      <c r="H20" s="38" t="str">
        <f t="shared" si="8"/>
        <v>SCOUTING</v>
      </c>
      <c r="I20" s="34">
        <v>180</v>
      </c>
      <c r="J20" s="13" t="s">
        <v>4</v>
      </c>
      <c r="K20" s="13" t="s">
        <v>63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208</v>
      </c>
      <c r="D21" s="32" t="s">
        <v>761</v>
      </c>
      <c r="E21" s="33">
        <v>2</v>
      </c>
      <c r="F21" s="36">
        <v>37</v>
      </c>
      <c r="G21" s="36">
        <v>35</v>
      </c>
      <c r="H21" s="38" t="str">
        <f t="shared" si="8"/>
        <v>SCOUTING</v>
      </c>
      <c r="I21" s="34">
        <v>244</v>
      </c>
      <c r="J21" s="13" t="s">
        <v>4</v>
      </c>
      <c r="K21" s="13" t="s">
        <v>63</v>
      </c>
      <c r="L21" s="13" t="s">
        <v>48</v>
      </c>
      <c r="M21" s="13" t="s">
        <v>27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208</v>
      </c>
      <c r="D22" s="32" t="s">
        <v>761</v>
      </c>
      <c r="E22" s="33">
        <v>2</v>
      </c>
      <c r="F22" s="36">
        <v>37</v>
      </c>
      <c r="G22" s="36">
        <v>35</v>
      </c>
      <c r="H22" s="38" t="str">
        <f t="shared" si="8"/>
        <v>SCOUTING</v>
      </c>
      <c r="I22" s="34">
        <v>244</v>
      </c>
      <c r="J22" s="13" t="s">
        <v>4</v>
      </c>
      <c r="K22" s="13" t="s">
        <v>61</v>
      </c>
      <c r="L22" s="13" t="s">
        <v>75</v>
      </c>
      <c r="M22" s="13" t="s">
        <v>26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208</v>
      </c>
      <c r="D23" s="32" t="s">
        <v>762</v>
      </c>
      <c r="E23" s="33">
        <v>2</v>
      </c>
      <c r="F23" s="36">
        <v>39</v>
      </c>
      <c r="G23" s="36">
        <v>35</v>
      </c>
      <c r="H23" s="38" t="str">
        <f t="shared" si="8"/>
        <v>SCOUTING</v>
      </c>
      <c r="I23" s="34">
        <v>247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REPORT_E2025208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"E2025208"</v>
      </c>
      <c r="F3" s="45" t="str">
        <f t="shared" ref="F3:F16" si="0">""""&amp;B3&amp;"""" &amp; " : " &amp;C3&amp;","</f>
        <v>"name" : "E2025208",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"E208"</v>
      </c>
      <c r="F4" s="45" t="str">
        <f t="shared" si="0"/>
        <v>"cod" : "E208",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208</v>
      </c>
      <c r="F6" s="45" t="str">
        <f t="shared" si="0"/>
        <v>"number" : 208,</v>
      </c>
    </row>
    <row r="7" spans="2:6" x14ac:dyDescent="0.25">
      <c r="B7" s="43" t="s">
        <v>116</v>
      </c>
      <c r="C7" s="43" t="str">
        <f ca="1">""""&amp;TEXT('SCOUT &amp; LOGISTICS'!B3,"dd/mm/aaaa")&amp;""""</f>
        <v>"09/01/Friday"</v>
      </c>
      <c r="F7" s="45" t="str">
        <f t="shared" ca="1" si="0"/>
        <v>"date" : "09/01/Friday",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"GERARD CAROD"</v>
      </c>
      <c r="F10" s="45" t="str">
        <f t="shared" si="0"/>
        <v>"Data_entry" : "GERARD CAROD",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"LLUIS ESPINOSA"</v>
      </c>
      <c r="F11" s="45" t="str">
        <f t="shared" si="0"/>
        <v>"Caller_1" : "LLUIS ESPINOSA",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"ROBERTO BAÑOS"</v>
      </c>
      <c r="F12" s="45" t="str">
        <f t="shared" si="0"/>
        <v>"Caller_2" : "ROBERTO BAÑOS",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JOSE SERRANO "</v>
      </c>
      <c r="F13" s="45" t="str">
        <f t="shared" si="0"/>
        <v>"Timerkeeper" : "MARIA JOSE SERRANO 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"ALBERTO MORALES"</v>
      </c>
      <c r="F14" s="45" t="str">
        <f t="shared" si="0"/>
        <v>"Shotclock" : "ALBERTO MORALES",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"JESUS LOPEZ"</v>
      </c>
      <c r="F15" s="45" t="str">
        <f t="shared" si="0"/>
        <v>"IRS" : "JESUS LOPEZ",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549</v>
      </c>
      <c r="F25" s="45" t="str">
        <f t="shared" ref="F25:F48" si="1">""""&amp;C25&amp;"""" &amp; " : " &amp;D25&amp;","</f>
        <v>"total_actions" : 549,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The second part was perfect. You made corrections very quickly at the game. "</v>
      </c>
      <c r="F51" s="45" t="str">
        <f>""""&amp;B51&amp;"""" &amp; " : " &amp;C51&amp;","</f>
        <v>"comments" : "Very good job! The second part was perfect. You made corrections very quickly at the game. ",</v>
      </c>
    </row>
    <row r="52" spans="2:6" x14ac:dyDescent="0.25">
      <c r="B52" s="43" t="s">
        <v>153</v>
      </c>
      <c r="C52" s="43" t="str">
        <f>TEXT('SCOUT &amp; LOGISTICS'!F1,"0,0")</f>
        <v>21_208_BAR_PAR_E2025</v>
      </c>
      <c r="F52" s="45" t="str">
        <f>""""&amp;B52&amp;"""" &amp; " : " &amp;C52</f>
        <v>"result" : 21_208_BAR_PAR_E2025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E208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Partizan Mozzart Bet Belgrade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GERARD CAROD</v>
      </c>
      <c r="C8" s="206"/>
      <c r="D8" s="206"/>
      <c r="E8" s="206"/>
      <c r="F8" s="206"/>
      <c r="G8" s="206" t="str">
        <f>IF('SCOUT &amp; LOGISTICS'!D7="","",'SCOUT &amp; LOGISTICS'!D7)</f>
        <v>LLUIS ESPINOSA</v>
      </c>
      <c r="H8" s="206"/>
      <c r="I8" s="206"/>
      <c r="J8" s="206"/>
      <c r="K8" s="206"/>
      <c r="L8" s="206" t="str">
        <f>IF('SCOUT &amp; LOGISTICS'!D8="","",'SCOUT &amp; LOGISTICS'!D8)</f>
        <v>ROBERTO BAÑOS</v>
      </c>
      <c r="M8" s="206"/>
      <c r="N8" s="206"/>
      <c r="O8" s="206"/>
      <c r="P8" s="206"/>
      <c r="Q8" s="206" t="str">
        <f>IF('SCOUT &amp; LOGISTICS'!D9="","",'SCOUT &amp; LOGISTICS'!D9)</f>
        <v xml:space="preserve">MARIA JOSE SERRANO </v>
      </c>
      <c r="R8" s="206"/>
      <c r="S8" s="206"/>
      <c r="T8" s="206"/>
      <c r="U8" s="206"/>
      <c r="V8" s="206" t="str">
        <f>IF('SCOUT &amp; LOGISTICS'!D10="","",'SCOUT &amp; LOGISTICS'!D10)</f>
        <v>ALBERTO MORALES</v>
      </c>
      <c r="W8" s="206"/>
      <c r="X8" s="206"/>
      <c r="Y8" s="206"/>
      <c r="Z8" s="206"/>
      <c r="AA8" s="206" t="str">
        <f>IF('SCOUT &amp; LOGISTICS'!D11="","",'SCOUT &amp; LOGISTICS'!D11)</f>
        <v>JESUS LOPEZ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7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1.2750455373406194E-2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5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7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Very good job! The second part was perfect. You made corrections very quickly at the game.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8.2750455373406187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29FA5F1-AB29-4652-A46E-7B1C929C40A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2026-01-09T21:45:25Z</cp:lastPrinted>
  <dcterms:created xsi:type="dcterms:W3CDTF">2023-09-19T19:50:35Z</dcterms:created>
  <dcterms:modified xsi:type="dcterms:W3CDTF">2026-01-09T21:45:29Z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