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BF753801-866C-4445-9631-378F0E4A6E00}" xr6:coauthVersionLast="47" xr6:coauthVersionMax="47" xr10:uidLastSave="{2B9DCE95-3759-4844-878C-DABE1FB5F85E}"/>
  <bookViews>
    <workbookView xWindow="-15" yWindow="-16365" windowWidth="29130" windowHeight="1581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<sst xmlns="http://schemas.openxmlformats.org/spreadsheetml/2006/main" count="3272" uniqueCount="770">
  <si>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</si>
  <si>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</si>
  <si>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</si>
  <si>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</si>
  <si>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</si>
  <si>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</si>
  <si>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</si>
  <si>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</si>
  <si>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</si>
  <si>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</si>
  <si>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</si>
  <si>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</si>
  <si>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</si>
  <si>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</si>
  <si>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</si>
  <si>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</si>
  <si>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</si>
  <si>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</si>
  <si>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</si>
  <si>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</si>
  <si>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</si>
  <si>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</si>
  <si>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</si>
  <si>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</si>
  <si>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</si>
  <si>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</si>
  <si>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</si>
  <si>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</si>
  <si>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</si>
  <si>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</si>
  <si>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</si>
  <si>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</si>
  <si>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</si>
  <si>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</si>
  <si>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</si>
  <si>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</si>
  <si>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</si>
  <si>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</si>
  <si>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</si>
  <si>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</si>
  <si>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</si>
  <si>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</si>
  <si>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</si>
  <si>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</si>
  <si>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</si>
  <si>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</si>
  <si>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</si>
  <si>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</si>
  <si>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</si>
  <si>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</si>
  <si>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</si>
  <si>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</si>
  <si>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</si>
  <si>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</si>
  <si>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</si>
  <si>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</si>
  <si>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</si>
  <si>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</si>
  <si>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</si>
  <si>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</si>
  <si>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</si>
  <si>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</si>
  <si>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</si>
  <si>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</si>
  <si>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</si>
  <si>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</si>
  <si>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</si>
  <si>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</si>
  <si>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</si>
  <si>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</si>
  <si>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</si>
  <si>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</si>
  <si>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</si>
  <si>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</si>
  <si>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</si>
  <si>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</si>
  <si>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</si>
  <si>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</si>
  <si>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</si>
  <si>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</si>
  <si>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</si>
  <si>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</si>
  <si>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</si>
  <si>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</si>
  <si>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</si>
  <si>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</si>
  <si>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</si>
  <si>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</si>
  <si>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</si>
  <si>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</si>
  <si>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</si>
  <si>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</si>
  <si>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</si>
  <si>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</si>
  <si>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</si>
  <si>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</si>
  <si>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</si>
  <si>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</si>
  <si>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</si>
  <si>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</si>
  <si>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</si>
  <si>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</si>
  <si>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</si>
  <si>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</si>
  <si>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</si>
  <si>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</si>
  <si>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</si>
  <si>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</si>
  <si>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</si>
  <si>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</si>
  <si>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</si>
  <si>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</si>
  <si>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</si>
  <si>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</si>
  <si>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</si>
  <si>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</si>
  <si>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</si>
  <si>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</si>
  <si>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</si>
  <si>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</si>
  <si>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</si>
  <si>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</si>
  <si>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</si>
  <si>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</si>
  <si>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</si>
  <si>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</si>
  <si>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</si>
  <si>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</si>
  <si>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</si>
  <si>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</si>
  <si>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</si>
  <si>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</si>
  <si>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</si>
  <si>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</si>
  <si>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</si>
  <si>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</si>
  <si>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</si>
  <si>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</si>
  <si>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</si>
  <si>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</si>
  <si>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</si>
  <si>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</si>
  <si>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</si>
  <si>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</si>
  <si>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</si>
  <si>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</si>
  <si>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</si>
  <si>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</si>
  <si>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</si>
  <si>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</si>
  <si>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</si>
  <si>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</si>
  <si>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</si>
  <si>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</si>
  <si>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</si>
  <si>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</si>
  <si>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</si>
  <si>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</si>
  <si>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</si>
  <si>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</si>
  <si>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</si>
  <si>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</si>
  <si>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</si>
  <si>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</si>
  <si>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</si>
  <si>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</si>
  <si>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</si>
  <si>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</si>
  <si>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</si>
  <si>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</si>
  <si>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</si>
  <si>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</si>
  <si>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</si>
  <si>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</si>
  <si>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</si>
  <si>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</si>
  <si>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</si>
  <si>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</si>
  <si>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</si>
  <si>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</si>
  <si>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</si>
  <si>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</si>
  <si>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</si>
  <si>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</si>
  <si>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</si>
  <si>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</si>
  <si>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</si>
  <si>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</si>
  <si>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</si>
  <si>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</si>
  <si>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</si>
  <si>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</si>
  <si>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</si>
  <si>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</si>
  <si>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</si>
  <si>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</si>
  <si>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</si>
  <si>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</si>
  <si>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</si>
  <si>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</si>
  <si>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</si>
  <si>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</si>
  <si>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</si>
  <si>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</si>
  <si>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</si>
  <si>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</si>
  <si>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</si>
  <si>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</si>
  <si>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</si>
  <si>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</si>
  <si>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</si>
  <si>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</si>
  <si>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</si>
  <si>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</si>
  <si>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</si>
  <si>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</si>
  <si>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</si>
  <si>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</si>
  <si>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</si>
  <si>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</si>
  <si>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</si>
  <si>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</si>
  <si>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</si>
  <si>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</si>
  <si>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</si>
  <si>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</si>
  <si>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</si>
  <si>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</si>
  <si>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</si>
  <si>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</si>
  <si>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</si>
  <si>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</si>
  <si>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</si>
  <si>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</si>
  <si>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</si>
  <si>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</si>
  <si>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</si>
  <si>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</si>
  <si>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</si>
  <si>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</si>
  <si>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</si>
  <si>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</si>
  <si>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</si>
  <si>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</si>
  <si>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</si>
  <si>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</si>
  <si>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</si>
  <si>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</si>
  <si>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</si>
  <si>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</si>
  <si>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</si>
  <si>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</si>
  <si>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</si>
  <si>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</si>
  <si>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</si>
  <si>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</si>
  <si>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</si>
  <si>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</si>
  <si>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</si>
  <si>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</si>
  <si>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</si>
  <si>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</si>
  <si>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</si>
  <si>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</si>
  <si>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</si>
  <si>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</si>
  <si>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</si>
  <si>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</si>
  <si>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</si>
  <si>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</si>
  <si>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</si>
  <si>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</si>
  <si>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</si>
  <si>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</si>
  <si>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</si>
  <si>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</si>
  <si>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</si>
  <si>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</si>
  <si>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</si>
  <si>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</si>
  <si>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</si>
  <si>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</si>
  <si>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</si>
  <si>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</si>
  <si>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</si>
  <si>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</si>
  <si>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</si>
  <si>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</si>
  <si>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</si>
  <si>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</si>
  <si>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</si>
  <si>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</si>
  <si>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</si>
  <si>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</si>
  <si>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</si>
  <si>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</si>
  <si>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</si>
  <si>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</si>
  <si>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</si>
  <si>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</si>
  <si>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</si>
  <si>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</si>
  <si>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</si>
  <si>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</si>
  <si>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</si>
  <si>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</si>
  <si>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</si>
  <si>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</si>
  <si>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</si>
  <si>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</si>
  <si>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</si>
  <si>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</si>
  <si>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</si>
  <si>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</si>
  <si>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</si>
  <si>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</si>
  <si>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</si>
  <si>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</si>
  <si>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</si>
  <si>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</si>
  <si>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</si>
  <si>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</si>
  <si>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</si>
  <si>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</si>
  <si>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</si>
  <si>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</si>
  <si>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</si>
  <si>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</si>
  <si>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</si>
  <si>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</si>
  <si>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</si>
  <si>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</si>
  <si>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</si>
  <si>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</si>
  <si>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</si>
  <si>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</si>
  <si>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</si>
  <si>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</si>
  <si>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</si>
  <si>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</si>
  <si>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</si>
  <si>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</si>
  <si>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</si>
  <si>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</si>
  <si>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</si>
  <si>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</si>
  <si>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</si>
  <si>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</si>
  <si>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</si>
  <si>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</si>
  <si>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</si>
  <si>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</si>
  <si>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</si>
  <si>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</si>
  <si>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</si>
  <si>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</si>
  <si>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</si>
  <si>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</si>
  <si>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</si>
  <si>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</si>
  <si>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</si>
  <si>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</si>
  <si>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</si>
  <si>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</si>
  <si>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</si>
  <si>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</si>
  <si>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</si>
  <si>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</si>
  <si>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</si>
  <si>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</si>
  <si>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</si>
  <si>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</si>
  <si>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</si>
  <si>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</si>
  <si>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</si>
  <si>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</si>
  <si>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</si>
  <si>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</si>
  <si>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</si>
  <si>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</si>
  <si>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</si>
  <si>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</si>
  <si>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</si>
  <si>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</si>
  <si>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</si>
  <si>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</si>
  <si>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</si>
  <si>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</si>
  <si>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</si>
  <si>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</si>
  <si>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</si>
  <si>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</si>
  <si>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</si>
  <si>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</si>
  <si>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</si>
  <si>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</si>
  <si>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</si>
  <si>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</si>
  <si>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</si>
  <si>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</si>
  <si>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</si>
  <si>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</si>
  <si>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</si>
  <si>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</si>
  <si>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</si>
  <si>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</si>
  <si>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</si>
  <si>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</si>
  <si>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</si>
  <si>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</si>
  <si>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</si>
  <si>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</si>
  <si>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</si>
  <si>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</si>
  <si>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</si>
  <si>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</si>
  <si>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</si>
  <si>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</si>
  <si>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</si>
  <si>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</si>
  <si>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</si>
  <si>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</si>
  <si>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</si>
  <si>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</si>
  <si>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</si>
  <si>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</si>
  <si>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</si>
  <si>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</si>
  <si>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</si>
  <si>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</si>
  <si>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</si>
  <si>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</si>
  <si>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</si>
  <si>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</si>
  <si>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</si>
  <si>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</si>
  <si>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</si>
  <si>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</si>
  <si>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</si>
  <si>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</si>
  <si>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</si>
  <si>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</si>
  <si>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</si>
  <si>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</si>
  <si>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</si>
  <si>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</si>
  <si>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</si>
  <si>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</si>
  <si>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</si>
  <si>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</si>
  <si>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</si>
  <si>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</si>
  <si>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</si>
  <si>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</si>
  <si>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</si>
  <si>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</si>
  <si>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</si>
  <si>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</si>
  <si>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</si>
  <si>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</si>
  <si>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</si>
  <si>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</si>
  <si>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</si>
  <si>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</si>
  <si>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</si>
  <si>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</si>
  <si>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</si>
  <si>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</si>
  <si>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</si>
  <si>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</si>
  <si>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</si>
  <si>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</si>
  <si>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</si>
  <si>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</si>
  <si>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</si>
  <si>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</si>
  <si>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</si>
  <si>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</si>
  <si>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</si>
  <si>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</si>
  <si>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</si>
  <si>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</si>
  <si>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</si>
  <si>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</si>
  <si>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</si>
  <si>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</si>
  <si>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</si>
  <si>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</si>
  <si>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</si>
  <si>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</si>
  <si>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</si>
  <si>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</si>
  <si>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</si>
  <si>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</si>
  <si>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</si>
  <si>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</si>
  <si>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</si>
  <si>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</si>
  <si>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</si>
  <si>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</si>
  <si>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</si>
  <si>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</si>
  <si>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</si>
  <si>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</si>
  <si>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</si>
  <si>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</si>
  <si>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</si>
  <si>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</si>
  <si>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</si>
  <si>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</si>
  <si>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</si>
  <si>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</si>
  <si>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</si>
  <si>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</si>
  <si>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</si>
  <si>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</si>
  <si>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</si>
  <si>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</si>
  <si>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</si>
  <si>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</si>
  <si>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</si>
  <si>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</si>
  <si>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</si>
  <si>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</si>
  <si>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</si>
  <si>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</si>
  <si>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</si>
  <si>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</si>
  <si>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</si>
  <si>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</si>
  <si>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</si>
  <si>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</si>
  <si>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</si>
  <si>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</si>
  <si>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</si>
  <si>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</si>
  <si>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</si>
  <si>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</si>
  <si>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</si>
  <si>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</si>
  <si>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</si>
  <si>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</si>
  <si>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</si>
  <si>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</si>
  <si>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</si>
  <si>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</si>
  <si>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</si>
  <si>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</si>
  <si>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</si>
  <si>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</si>
  <si>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</si>
  <si>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</si>
  <si>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</si>
  <si>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</si>
  <si>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</si>
  <si>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</si>
  <si>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</si>
  <si>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</si>
  <si>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</si>
  <si>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</si>
  <si>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</si>
  <si>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</si>
  <si>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</si>
  <si>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</si>
  <si>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</si>
  <si>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</si>
  <si>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</si>
  <si>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</si>
  <si>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</si>
  <si>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</si>
  <si>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</si>
  <si>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</si>
  <si>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</si>
  <si>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</si>
  <si>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</si>
  <si>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</si>
  <si>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</si>
  <si>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</si>
  <si>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</si>
  <si>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</si>
  <si>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</si>
  <si>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</si>
  <si>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</si>
  <si>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</si>
  <si>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</si>
  <si>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</si>
  <si>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</si>
  <si>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</si>
  <si>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</si>
  <si>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</si>
  <si>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</si>
  <si>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</si>
  <si>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</si>
  <si>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</si>
  <si>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</si>
  <si>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</si>
  <si>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</si>
  <si>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</si>
  <si>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</si>
  <si>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</si>
  <si>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</si>
  <si>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</si>
  <si>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</si>
  <si>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</si>
  <si>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</si>
  <si>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</si>
  <si>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</si>
  <si>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</si>
  <si>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</si>
  <si>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</si>
  <si>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</si>
  <si>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</si>
  <si>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</si>
  <si>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</si>
  <si>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</si>
  <si>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</si>
  <si>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</si>
  <si>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</si>
  <si>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</si>
  <si>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</si>
  <si>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</si>
  <si>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</si>
  <si>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</si>
  <si>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</si>
  <si>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</si>
  <si>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</si>
  <si>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</si>
  <si>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</si>
  <si>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</si>
  <si>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</si>
  <si>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</si>
  <si>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</si>
  <si>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</si>
  <si>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</si>
  <si>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</si>
  <si>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</si>
  <si>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</si>
  <si>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</si>
  <si>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</si>
  <si>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</si>
  <si>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</si>
  <si>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</si>
  <si>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</si>
  <si>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</si>
  <si>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</si>
  <si>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</si>
  <si>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</si>
  <si>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</si>
  <si>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</si>
  <si>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</si>
  <si>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</si>
  <si>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</si>
  <si>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</si>
  <si>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</si>
  <si>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</si>
  <si>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</si>
  <si>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</si>
  <si>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</si>
  <si>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</si>
  <si>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</si>
  <si>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</si>
  <si>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</si>
  <si>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</si>
  <si>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</si>
  <si>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</si>
  <si>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</si>
  <si>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</si>
  <si>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</si>
  <si>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</si>
  <si>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</si>
  <si>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</si>
  <si>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</si>
  <si>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</si>
  <si>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</si>
  <si>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</si>
  <si>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</si>
  <si>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</si>
  <si>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</si>
  <si>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</si>
  <si>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</si>
  <si>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</si>
  <si>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</si>
  <si>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</si>
  <si>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</si>
  <si>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</si>
  <si>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</si>
  <si>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</si>
  <si>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</si>
  <si>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</si>
  <si>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</si>
  <si>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</si>
  <si>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</si>
  <si>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</si>
  <si>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</si>
  <si>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</si>
  <si>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</si>
  <si>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</si>
  <si>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</si>
  <si>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</si>
  <si>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</si>
  <si>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</si>
  <si>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</si>
  <si>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</si>
  <si>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</si>
  <si>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</si>
  <si>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</si>
  <si>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</si>
  <si>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</si>
  <si>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</si>
  <si>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</si>
  <si>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</si>
  <si>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</si>
  <si>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</si>
  <si>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</si>
  <si>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</si>
  <si>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</si>
  <si>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</si>
  <si>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</si>
  <si>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</si>
  <si>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</si>
  <si>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</si>
  <si>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</si>
  <si>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</si>
  <si>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</si>
  <si>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</si>
  <si>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</si>
  <si>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</si>
  <si>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</si>
  <si>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</si>
  <si>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</si>
  <si>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</si>
  <si>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</si>
  <si>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</si>
  <si>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</si>
  <si>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</si>
  <si>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</si>
  <si>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</si>
  <si>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</si>
  <si>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</si>
  <si>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</si>
  <si>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</si>
  <si>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</si>
  <si>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</si>
  <si>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</si>
  <si>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</si>
  <si>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</si>
  <si>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</si>
  <si>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</si>
  <si>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</si>
  <si>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</si>
  <si>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GIEDRE GARCINSKAITE</t>
  </si>
  <si>
    <t>RASA KIZIKAITE</t>
  </si>
  <si>
    <t>AUKSE ZAKRIENE</t>
  </si>
  <si>
    <t>VYTAUTAS RUDZEVICIUS</t>
  </si>
  <si>
    <t>GINTARE BUKARTAITE</t>
  </si>
  <si>
    <t>NERIJUS MAINONIS</t>
  </si>
  <si>
    <t>ELOI VERGE</t>
  </si>
  <si>
    <t>02:30</t>
  </si>
  <si>
    <t>1</t>
  </si>
  <si>
    <t>15</t>
  </si>
  <si>
    <t>8</t>
  </si>
  <si>
    <t>03:47</t>
  </si>
  <si>
    <t>2</t>
  </si>
  <si>
    <t>35</t>
  </si>
  <si>
    <t>21</t>
  </si>
  <si>
    <t>02:46</t>
  </si>
  <si>
    <t>112</t>
  </si>
  <si>
    <t>248</t>
  </si>
  <si>
    <t>102</t>
  </si>
  <si>
    <t>Really good job! No worries with the blocks, none of them was very clear live.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</si>
</sst>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8" sqref="M2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21_210_ZAL_RED_E2025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 cm="1">
        <f t="array" aca="1" ref="B3" ca="1">IF(ISERROR(N1VLOOKUP($B$2&amp;TEXT($C$2,"000"),GAMES!$A$3:$I$562,8,FALSE)),NOW(),VLOOKUP($B$2&amp;TEXT($C$2,"000"),GAMES!$A$3:$I$562,8,FALSE))</f>
        <v>46031.896276736108</v>
      </c>
      <c r="C3" s="157"/>
      <c r="D3" s="39">
        <v>577</v>
      </c>
      <c r="E3" s="29"/>
      <c r="F3" s="26">
        <f>SUBTOTAL(3,I17:I106)</f>
        <v>3</v>
      </c>
      <c r="G3" s="27">
        <f>IF(OR(D3="",D3=0),"",F3/D3)</f>
        <v>5.1993067590987872E-3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5.1993067590987872E-3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0.51993067590987874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5.5199306759098787</v>
      </c>
      <c r="N7" s="58"/>
      <c r="O7" s="2"/>
      <c r="P7" s="2"/>
      <c r="Q7" s="86">
        <f>SUM(R5,S5,AC16)</f>
        <v>5.5199306759098787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5.5199306759098787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210</v>
      </c>
      <c r="D17" s="32" t="s">
        <v>757</v>
      </c>
      <c r="E17" s="33" t="s">
        <v>758</v>
      </c>
      <c r="F17" s="36" t="s">
        <v>759</v>
      </c>
      <c r="G17" s="36" t="s">
        <v>760</v>
      </c>
      <c r="H17" s="38" t="str">
        <f>IF(I17="","",$I$14)</f>
        <v>SCOUTING</v>
      </c>
      <c r="I17" s="34" t="s">
        <v>766</v>
      </c>
      <c r="J17" s="13" t="s">
        <v>4</v>
      </c>
      <c r="K17" s="13" t="s">
        <v>62</v>
      </c>
      <c r="L17" s="13" t="s">
        <v>5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210</v>
      </c>
      <c r="D18" s="32" t="s">
        <v>761</v>
      </c>
      <c r="E18" s="33" t="s">
        <v>762</v>
      </c>
      <c r="F18" s="36" t="s">
        <v>763</v>
      </c>
      <c r="G18" s="36" t="s">
        <v>764</v>
      </c>
      <c r="H18" s="38" t="str">
        <f t="shared" ref="H18:H81" si="8">IF(I18="","",$I$14)</f>
        <v>SCOUTING</v>
      </c>
      <c r="I18" s="34" t="s">
        <v>767</v>
      </c>
      <c r="J18" s="13" t="s">
        <v>4</v>
      </c>
      <c r="K18" s="13" t="s">
        <v>63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3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210</v>
      </c>
      <c r="D19" s="32" t="s">
        <v>765</v>
      </c>
      <c r="E19" s="33" t="s">
        <v>758</v>
      </c>
      <c r="F19" s="36" t="s">
        <v>759</v>
      </c>
      <c r="G19" s="36" t="s">
        <v>760</v>
      </c>
      <c r="H19" s="38" t="str">
        <f t="shared" si="8"/>
        <v>SCOUTING</v>
      </c>
      <c r="I19" s="34" t="s">
        <v>768</v>
      </c>
      <c r="J19" s="13" t="s">
        <v>4</v>
      </c>
      <c r="K19" s="13" t="s">
        <v>63</v>
      </c>
      <c r="L19" s="13" t="s">
        <v>48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"E2025210"</v>
      </c>
      <c r="F3" s="45" t="str">
        <f t="shared" ref="F3:F16" si="0">""""&amp;B3&amp;"""" &amp; " : " &amp;C3&amp;","</f>
        <v>"name" : "E2025210",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"E210"</v>
      </c>
      <c r="F4" s="45" t="str">
        <f t="shared" si="0"/>
        <v>"cod" : "E210",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210</v>
      </c>
      <c r="F6" s="45" t="str">
        <f t="shared" si="0"/>
        <v>"number" : 210,</v>
      </c>
    </row>
    <row r="7" spans="2:6" x14ac:dyDescent="0.25">
      <c r="B7" s="43" t="s">
        <v>116</v>
      </c>
      <c r="C7" s="43" t="str">
        <f ca="1">""""&amp;TEXT('SCOUT &amp; LOGISTICS'!B3,"dd/mm/aaaa")&amp;""""</f>
        <v>"09/01/2026"</v>
      </c>
      <c r="F7" s="45" t="str">
        <f t="shared" ca="1" si="0"/>
        <v>"date" : "09/01/2026",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"GINTARE BUKARTAITE"</v>
      </c>
      <c r="F14" s="45" t="str">
        <f t="shared" si="0"/>
        <v>"Shotclock" : "GINTARE BUKARTAITE",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577</v>
      </c>
      <c r="F25" s="45" t="str">
        <f t="shared" ref="F25:F48" si="1">""""&amp;C25&amp;"""" &amp; " : " &amp;D25&amp;","</f>
        <v>"total_actions" : 577,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 No worries with the blocks, none of them was very clear live."</v>
      </c>
      <c r="F51" s="45" t="str">
        <f>""""&amp;B51&amp;"""" &amp; " : " &amp;C51&amp;","</f>
        <v>"comments" : "Really good job! No worries with the blocks, none of them was very clear live.",</v>
      </c>
    </row>
    <row r="52" spans="2:6" x14ac:dyDescent="0.25">
      <c r="B52" s="43" t="s">
        <v>153</v>
      </c>
      <c r="C52" s="43" t="str">
        <f>TEXT('SCOUT &amp; LOGISTICS'!F1,"0,0")</f>
        <v>21_210_ZAL_RED_E2025</v>
      </c>
      <c r="F52" s="45" t="str">
        <f>""""&amp;B52&amp;"""" &amp; " : " &amp;C52</f>
        <v>"result" : 21_210_ZAL_RED_E2025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E210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GINTARE BUKARTAITE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5.1993067590987872E-3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job! No worries with the blocks, none of them was very clear live.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5.5199306759098787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38BA31-82D9-4F8A-9310-B1A70A60D5E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2026-01-09T20:30:43Z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