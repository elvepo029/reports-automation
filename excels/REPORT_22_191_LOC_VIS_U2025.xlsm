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1" documentId="8_{3C81A9AE-0B78-4A8F-A728-2FD42330D0BE}" xr6:coauthVersionLast="47" xr6:coauthVersionMax="47" xr10:uidLastSave="{374D0A48-1374-42F1-9117-360F4B3CDF5A}"/>
  <bookViews>
    <workbookView xWindow="-28920" yWindow="-207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<sst xmlns="http://schemas.openxmlformats.org/spreadsheetml/2006/main" count="3365" uniqueCount="840">
  <si>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</si>
  <si>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</si>
  <si>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</si>
  <si>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</si>
  <si>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</si>
  <si>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</si>
  <si>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</si>
  <si>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</si>
  <si>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</si>
  <si>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</si>
  <si>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</si>
  <si>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</si>
  <si>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</si>
  <si>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</si>
  <si>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</si>
  <si>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</si>
  <si>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</si>
  <si>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</si>
  <si>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</si>
  <si>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</si>
  <si>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</si>
  <si>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</si>
  <si>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</si>
  <si>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</si>
  <si>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</si>
  <si>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</si>
  <si>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</si>
  <si>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</si>
  <si>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</si>
  <si>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</si>
  <si>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</si>
  <si>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</si>
  <si>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</si>
  <si>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</si>
  <si>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</si>
  <si>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</si>
  <si>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</si>
  <si>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</si>
  <si>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</si>
  <si>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</si>
  <si>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</si>
  <si>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</si>
  <si>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</si>
  <si>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</si>
  <si>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</si>
  <si>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</si>
  <si>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</si>
  <si>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</si>
  <si>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</si>
  <si>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</si>
  <si>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</si>
  <si>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</si>
  <si>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</si>
  <si>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</si>
  <si>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</si>
  <si>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</si>
  <si>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</si>
  <si>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</si>
  <si>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</si>
  <si>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</si>
  <si>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</si>
  <si>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</si>
  <si>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</si>
  <si>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</si>
  <si>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</si>
  <si>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</si>
  <si>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</si>
  <si>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</si>
  <si>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</si>
  <si>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</si>
  <si>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</si>
  <si>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</si>
  <si>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</si>
  <si>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</si>
  <si>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</si>
  <si>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</si>
  <si>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</si>
  <si>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</si>
  <si>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</si>
  <si>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</si>
  <si>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</si>
  <si>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</si>
  <si>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</si>
  <si>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</si>
  <si>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</si>
  <si>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</si>
  <si>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</si>
  <si>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</si>
  <si>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</si>
  <si>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</si>
  <si>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</si>
  <si>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</si>
  <si>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</si>
  <si>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</si>
  <si>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</si>
  <si>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</si>
  <si>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</si>
  <si>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</si>
  <si>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</si>
  <si>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</si>
  <si>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</si>
  <si>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</si>
  <si>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</si>
  <si>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</si>
  <si>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</si>
  <si>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</si>
  <si>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</si>
  <si>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</si>
  <si>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</si>
  <si>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</si>
  <si>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</si>
  <si>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</si>
  <si>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</si>
  <si>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</si>
  <si>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</si>
  <si>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</si>
  <si>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</si>
  <si>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</si>
  <si>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</si>
  <si>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</si>
  <si>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</si>
  <si>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</si>
  <si>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</si>
  <si>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</si>
  <si>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</si>
  <si>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</si>
  <si>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</si>
  <si>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</si>
  <si>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</si>
  <si>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</si>
  <si>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</si>
  <si>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</si>
  <si>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</si>
  <si>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</si>
  <si>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</si>
  <si>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</si>
  <si>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</si>
  <si>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</si>
  <si>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</si>
  <si>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</si>
  <si>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</si>
  <si>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</si>
  <si>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</si>
  <si>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</si>
  <si>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</si>
  <si>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</si>
  <si>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</si>
  <si>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</si>
  <si>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</si>
  <si>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</si>
  <si>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</si>
  <si>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</si>
  <si>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</si>
  <si>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</si>
  <si>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</si>
  <si>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</si>
  <si>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</si>
  <si>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</si>
  <si>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</si>
  <si>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</si>
  <si>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</si>
  <si>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</si>
  <si>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</si>
  <si>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</si>
  <si>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</si>
  <si>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</si>
  <si>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</si>
  <si>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</si>
  <si>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</si>
  <si>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</si>
  <si>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</si>
  <si>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</si>
  <si>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</si>
  <si>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</si>
  <si>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</si>
  <si>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</si>
  <si>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</si>
  <si>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</si>
  <si>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</si>
  <si>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</si>
  <si>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</si>
  <si>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</si>
  <si>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</si>
  <si>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</si>
  <si>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</si>
  <si>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</si>
  <si>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</si>
  <si>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</si>
  <si>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</si>
  <si>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</si>
  <si>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</si>
  <si>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</si>
  <si>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</si>
  <si>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</si>
  <si>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</si>
  <si>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</si>
  <si>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</si>
  <si>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</si>
  <si>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</si>
  <si>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</si>
  <si>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</si>
  <si>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</si>
  <si>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</si>
  <si>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</si>
  <si>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</si>
  <si>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</si>
  <si>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</si>
  <si>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</si>
  <si>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</si>
  <si>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</si>
  <si>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</si>
  <si>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</si>
  <si>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</si>
  <si>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</si>
  <si>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</si>
  <si>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</si>
  <si>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</si>
  <si>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</si>
  <si>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</si>
  <si>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</si>
  <si>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</si>
  <si>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</si>
  <si>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</si>
  <si>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</si>
  <si>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</si>
  <si>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</si>
  <si>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</si>
  <si>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</si>
  <si>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</si>
  <si>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</si>
  <si>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</si>
  <si>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</si>
  <si>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</si>
  <si>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</si>
  <si>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</si>
  <si>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</si>
  <si>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</si>
  <si>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</si>
  <si>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</si>
  <si>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</si>
  <si>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</si>
  <si>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</si>
  <si>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</si>
  <si>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</si>
  <si>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</si>
  <si>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</si>
  <si>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</si>
  <si>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</si>
  <si>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</si>
  <si>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</si>
  <si>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</si>
  <si>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</si>
  <si>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</si>
  <si>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</si>
  <si>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</si>
  <si>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</si>
  <si>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</si>
  <si>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</si>
  <si>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</si>
  <si>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</si>
  <si>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</si>
  <si>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</si>
  <si>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</si>
  <si>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</si>
  <si>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</si>
  <si>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</si>
  <si>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</si>
  <si>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</si>
  <si>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</si>
  <si>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</si>
  <si>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</si>
  <si>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</si>
  <si>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</si>
  <si>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</si>
  <si>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</si>
  <si>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</si>
  <si>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</si>
  <si>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</si>
  <si>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</si>
  <si>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</si>
  <si>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</si>
  <si>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</si>
  <si>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</si>
  <si>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</si>
  <si>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</si>
  <si>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</si>
  <si>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</si>
  <si>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</si>
  <si>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</si>
  <si>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</si>
  <si>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</si>
  <si>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</si>
  <si>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</si>
  <si>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</si>
  <si>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</si>
  <si>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</si>
  <si>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</si>
  <si>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</si>
  <si>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</si>
  <si>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</si>
  <si>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</si>
  <si>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</si>
  <si>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</si>
  <si>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</si>
  <si>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</si>
  <si>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</si>
  <si>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</si>
  <si>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</si>
  <si>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</si>
  <si>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</si>
  <si>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</si>
  <si>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</si>
  <si>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</si>
  <si>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</si>
  <si>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</si>
  <si>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</si>
  <si>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</si>
  <si>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</si>
  <si>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</si>
  <si>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</si>
  <si>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</si>
  <si>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</si>
  <si>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</si>
  <si>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</si>
  <si>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</si>
  <si>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</si>
  <si>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</si>
  <si>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</si>
  <si>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</si>
  <si>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</si>
  <si>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</si>
  <si>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</si>
  <si>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</si>
  <si>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</si>
  <si>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</si>
  <si>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</si>
  <si>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</si>
  <si>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</si>
  <si>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</si>
  <si>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</si>
  <si>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</si>
  <si>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</si>
  <si>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</si>
  <si>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</si>
  <si>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</si>
  <si>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</si>
  <si>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</si>
  <si>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</si>
  <si>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</si>
  <si>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</si>
  <si>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</si>
  <si>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</si>
  <si>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</si>
  <si>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</si>
  <si>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</si>
  <si>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</si>
  <si>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</si>
  <si>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</si>
  <si>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</si>
  <si>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</si>
  <si>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</si>
  <si>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</si>
  <si>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</si>
  <si>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</si>
  <si>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</si>
  <si>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</si>
  <si>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</si>
  <si>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</si>
  <si>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</si>
  <si>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</si>
  <si>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</si>
  <si>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</si>
  <si>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</si>
  <si>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</si>
  <si>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</si>
  <si>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</si>
  <si>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</si>
  <si>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</si>
  <si>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</si>
  <si>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</si>
  <si>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</si>
  <si>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</si>
  <si>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</si>
  <si>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</si>
  <si>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</si>
  <si>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</si>
  <si>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</si>
  <si>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</si>
  <si>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</si>
  <si>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</si>
  <si>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</si>
  <si>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</si>
  <si>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</si>
  <si>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</si>
  <si>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</si>
  <si>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</si>
  <si>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</si>
  <si>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</si>
  <si>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</si>
  <si>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</si>
  <si>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</si>
  <si>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</si>
  <si>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</si>
  <si>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</si>
  <si>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</si>
  <si>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</si>
  <si>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</si>
  <si>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</si>
  <si>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</si>
  <si>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</si>
  <si>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</si>
  <si>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</si>
  <si>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</si>
  <si>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</si>
  <si>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</si>
  <si>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</si>
  <si>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</si>
  <si>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</si>
  <si>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</si>
  <si>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</si>
  <si>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</si>
  <si>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</si>
  <si>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</si>
  <si>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</si>
  <si>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</si>
  <si>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</si>
  <si>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</si>
  <si>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</si>
  <si>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</si>
  <si>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</si>
  <si>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</si>
  <si>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</si>
  <si>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</si>
  <si>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</si>
  <si>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</si>
  <si>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</si>
  <si>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</si>
  <si>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</si>
  <si>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</si>
  <si>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</si>
  <si>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</si>
  <si>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</si>
  <si>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</si>
  <si>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</si>
  <si>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</si>
  <si>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</si>
  <si>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</si>
  <si>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</si>
  <si>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</si>
  <si>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</si>
  <si>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</si>
  <si>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</si>
  <si>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</si>
  <si>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</si>
  <si>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</si>
  <si>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</si>
  <si>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</si>
  <si>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</si>
  <si>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</si>
  <si>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</si>
  <si>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</si>
  <si>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</si>
  <si>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</si>
  <si>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</si>
  <si>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</si>
  <si>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</si>
  <si>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</si>
  <si>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</si>
  <si>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</si>
  <si>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</si>
  <si>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</si>
  <si>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</si>
  <si>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</si>
  <si>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</si>
  <si>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</si>
  <si>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</si>
  <si>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</si>
  <si>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</si>
  <si>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</si>
  <si>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</si>
  <si>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</si>
  <si>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</si>
  <si>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</si>
  <si>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</si>
  <si>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</si>
  <si>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</si>
  <si>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</si>
  <si>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</si>
  <si>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</si>
  <si>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</si>
  <si>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</si>
  <si>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</si>
  <si>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</si>
  <si>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</si>
  <si>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</si>
  <si>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</si>
  <si>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</si>
  <si>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</si>
  <si>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</si>
  <si>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</si>
  <si>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</si>
  <si>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</si>
  <si>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</si>
  <si>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</si>
  <si>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</si>
  <si>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</si>
  <si>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</si>
  <si>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</si>
  <si>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</si>
  <si>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</si>
  <si>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</si>
  <si>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</si>
  <si>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</si>
  <si>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</si>
  <si>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</si>
  <si>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</si>
  <si>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</si>
  <si>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</si>
  <si>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</si>
  <si>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</si>
  <si>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</si>
  <si>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</si>
  <si>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</si>
  <si>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</si>
  <si>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</si>
  <si>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</si>
  <si>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</si>
  <si>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</si>
  <si>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</si>
  <si>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</si>
  <si>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</si>
  <si>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</si>
  <si>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</si>
  <si>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</si>
  <si>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</si>
  <si>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</si>
  <si>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</si>
  <si>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</si>
  <si>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</si>
  <si>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</si>
  <si>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</si>
  <si>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</si>
  <si>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</si>
  <si>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</si>
  <si>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</si>
  <si>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</si>
  <si>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</si>
  <si>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</si>
  <si>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</si>
  <si>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</si>
  <si>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</si>
  <si>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</si>
  <si>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</si>
  <si>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</si>
  <si>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</si>
  <si>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</si>
  <si>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</si>
  <si>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</si>
  <si>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</si>
  <si>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</si>
  <si>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</si>
  <si>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</si>
  <si>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</si>
  <si>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</si>
  <si>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</si>
  <si>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</si>
  <si>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</si>
  <si>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</si>
  <si>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</si>
  <si>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</si>
  <si>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</si>
  <si>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</si>
  <si>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</si>
  <si>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</si>
  <si>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</si>
  <si>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</si>
  <si>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</si>
  <si>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</si>
  <si>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</si>
  <si>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</si>
  <si>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</si>
  <si>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</si>
  <si>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</si>
  <si>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</si>
  <si>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</si>
  <si>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</si>
  <si>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</si>
  <si>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</si>
  <si>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</si>
  <si>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</si>
  <si>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</si>
  <si>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</si>
  <si>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</si>
  <si>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</si>
  <si>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</si>
  <si>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</si>
  <si>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</si>
  <si>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</si>
  <si>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</si>
  <si>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</si>
  <si>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</si>
  <si>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</si>
  <si>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</si>
  <si>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</si>
  <si>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</si>
  <si>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</si>
  <si>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</si>
  <si>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</si>
  <si>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</si>
  <si>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</si>
  <si>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</si>
  <si>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</si>
  <si>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</si>
  <si>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</si>
  <si>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</si>
  <si>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</si>
  <si>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</si>
  <si>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</si>
  <si>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</si>
  <si>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</si>
  <si>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</si>
  <si>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</si>
  <si>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</si>
  <si>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</si>
  <si>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</si>
  <si>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</si>
  <si>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</si>
  <si>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</si>
  <si>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</si>
  <si>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</si>
  <si>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</si>
  <si>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</si>
  <si>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</si>
  <si>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</si>
  <si>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</si>
  <si>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</si>
  <si>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</si>
  <si>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</si>
  <si>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</si>
  <si>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</si>
  <si>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</si>
  <si>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</si>
  <si>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</si>
  <si>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</si>
  <si>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</si>
  <si>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</si>
  <si>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</si>
  <si>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</si>
  <si>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</si>
  <si>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</si>
  <si>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</si>
  <si>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</si>
  <si>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</si>
  <si>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</si>
  <si>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</si>
  <si>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</si>
  <si>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</si>
  <si>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</si>
  <si>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</si>
  <si>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</si>
  <si>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</si>
  <si>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</si>
  <si>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</si>
  <si>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</si>
  <si>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</si>
  <si>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</si>
  <si>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</si>
  <si>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</si>
  <si>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</si>
  <si>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</si>
  <si>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</si>
  <si>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</si>
  <si>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</si>
  <si>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</si>
  <si>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</si>
  <si>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</si>
  <si>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</si>
  <si>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</si>
  <si>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</si>
  <si>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</si>
  <si>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</si>
  <si>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</si>
  <si>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</si>
  <si>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</si>
  <si>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</si>
  <si>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</si>
  <si>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</si>
  <si>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</si>
  <si>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</si>
  <si>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</si>
  <si>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</si>
  <si>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</si>
  <si>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</si>
  <si>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</si>
  <si>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</si>
  <si>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</si>
  <si>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</si>
  <si>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</si>
  <si>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</si>
  <si>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</si>
  <si>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</si>
  <si>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</si>
  <si>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</si>
  <si>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</si>
  <si>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</si>
  <si>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</si>
  <si>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</si>
  <si>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</si>
  <si>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</si>
  <si>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</si>
  <si>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</si>
  <si>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</si>
  <si>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</si>
  <si>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</si>
  <si>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</si>
  <si>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</si>
  <si>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</si>
  <si>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</si>
  <si>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</si>
  <si>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</si>
  <si>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</si>
  <si>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</si>
  <si>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</si>
  <si>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</si>
  <si>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</si>
  <si>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</si>
  <si>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</si>
  <si>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</si>
  <si>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</si>
  <si>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</si>
  <si>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</si>
  <si>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</si>
  <si>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</si>
  <si>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</si>
  <si>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</si>
  <si>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</si>
  <si>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</si>
  <si>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</si>
  <si>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</si>
  <si>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</si>
  <si>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</si>
  <si>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</si>
  <si>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</si>
  <si>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</si>
  <si>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</si>
  <si>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</si>
  <si>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</si>
  <si>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</si>
  <si>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</si>
  <si>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</si>
  <si>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</si>
  <si>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</si>
  <si>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</si>
  <si>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</si>
  <si>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</si>
  <si>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</si>
  <si>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</si>
  <si>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</si>
  <si>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</si>
  <si>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</si>
  <si>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</si>
  <si>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</si>
  <si>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</si>
  <si>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</si>
  <si>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</si>
  <si>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</si>
  <si>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</si>
  <si>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</si>
  <si>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</si>
  <si>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</si>
  <si>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</si>
  <si>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</si>
  <si>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</si>
  <si>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</si>
  <si>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</si>
  <si>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</si>
  <si>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</si>
  <si>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</si>
  <si>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</si>
  <si>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</si>
  <si>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</si>
  <si>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</si>
  <si>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</si>
  <si>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</si>
  <si>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</si>
  <si>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</si>
  <si>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</si>
  <si>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</si>
  <si>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</si>
  <si>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</si>
  <si>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</si>
  <si>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</si>
  <si>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</si>
  <si>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</si>
  <si>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</si>
  <si>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</si>
  <si>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</si>
  <si>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</si>
  <si>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</si>
  <si>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</si>
  <si>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</si>
  <si>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</si>
  <si>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</si>
  <si>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</si>
  <si>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</si>
  <si>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</si>
  <si>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</si>
  <si>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</si>
  <si>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</si>
  <si>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</si>
  <si>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</si>
  <si>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</si>
  <si>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</si>
  <si>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</si>
  <si>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</si>
  <si>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</si>
  <si>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</si>
  <si>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</si>
  <si>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</si>
  <si>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</si>
  <si>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</si>
  <si>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</si>
  <si>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</si>
  <si>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</si>
  <si>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</si>
  <si>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</si>
  <si>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</si>
  <si>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MERIC AKAR</t>
  </si>
  <si>
    <t>FATIH ASLAN</t>
  </si>
  <si>
    <t>ALI MURAT SUNGUR</t>
  </si>
  <si>
    <t>NIHAN UNSAL</t>
  </si>
  <si>
    <t>ORIOL GARCIA</t>
  </si>
  <si>
    <t>08:09</t>
  </si>
  <si>
    <t>05:37</t>
  </si>
  <si>
    <t>04:26</t>
  </si>
  <si>
    <t>08:28</t>
  </si>
  <si>
    <t>03:40</t>
  </si>
  <si>
    <t>01:55</t>
  </si>
  <si>
    <t>Some problems with foul drawns during 1st half. Second half with perfect in scouting</t>
  </si>
  <si>
    <t>C:\Users\oriol.garcia\OneDrive - EUROLEAGUE\Documents\Season 25-26\Reports\Eurocup\Turk Telekom Ankara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</si>
</sst>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2" sqref="N3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22_191_LOC_VIS_U2025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839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 t="s">
        <v>825</v>
      </c>
      <c r="C3" s="157"/>
      <c r="D3" s="39">
        <v>613</v>
      </c>
      <c r="E3" s="29"/>
      <c r="F3" s="26">
        <f>SUBTOTAL(3,I17:I106)</f>
        <v>6</v>
      </c>
      <c r="G3" s="27">
        <f>IF(OR(D3="",D3=0),"",F3/D3)</f>
        <v>9.7879282218597055E-3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">
        <v>257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 t="s">
        <v>838</v>
      </c>
      <c r="N4" s="168"/>
      <c r="O4" s="2"/>
      <c r="P4" s="2"/>
      <c r="Q4" s="84" t="s">
        <v>175</v>
      </c>
      <c r="R4" s="94">
        <f>(IF(G3="",0,G3))</f>
        <v>9.7879282218597055E-3</v>
      </c>
      <c r="S4" s="61">
        <f>SUM(I13:M13)</f>
        <v>1</v>
      </c>
      <c r="T4" s="78"/>
      <c r="U4" s="61">
        <f>AC18</f>
        <v>1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">
        <v>247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0.97879282218597052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771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10.478792822185971</v>
      </c>
      <c r="N7" s="58"/>
      <c r="O7" s="2"/>
      <c r="P7" s="2"/>
      <c r="Q7" s="86">
        <f>SUM(R5,S5,AC16)</f>
        <v>10.478792822185971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10.478792822185969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191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/>
      <c r="C17" s="31"/>
      <c r="D17" s="32" t="s">
        <v>832</v>
      </c>
      <c r="E17" s="33">
        <v>1</v>
      </c>
      <c r="F17" s="36">
        <v>3</v>
      </c>
      <c r="G17" s="36">
        <v>6</v>
      </c>
      <c r="H17" s="38"/>
      <c r="I17" s="34">
        <v>20</v>
      </c>
      <c r="J17" s="13" t="s">
        <v>4</v>
      </c>
      <c r="K17" s="13" t="s">
        <v>61</v>
      </c>
      <c r="L17" s="13" t="s">
        <v>7</v>
      </c>
      <c r="M17" s="13" t="s">
        <v>22</v>
      </c>
      <c r="N17" s="35"/>
      <c r="O17" s="5" t="s">
        <v>19</v>
      </c>
      <c r="P17" s="5">
        <v>10</v>
      </c>
      <c r="Q17" s="84">
        <f t="shared" ref="Q17:Q48" si="2">IF(AND(OR(L17="MISSING",L17="PART OF A SEQUENCE",L17="NOT HAPPENED"),OR(M17=$AE$37,M17=$AE$38,M17=$AE$43,M17=$AE$40,M17=$AE$25)),1,0)</f>
        <v>1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3">COUNTIF($L$17:$L$106,AB17)</f>
        <v>0</v>
      </c>
      <c r="AD17" s="61">
        <f t="shared" ref="AD17:AD25" si="4">P17</f>
        <v>10</v>
      </c>
      <c r="AE17" s="66" t="s">
        <v>11</v>
      </c>
      <c r="AF17" s="65">
        <f t="shared" ref="AF17:AF48" si="5">COUNTIF($M$17:$M$106,AE17)</f>
        <v>0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/>
      <c r="C18" s="31"/>
      <c r="D18" s="32" t="s">
        <v>833</v>
      </c>
      <c r="E18" s="33">
        <v>1</v>
      </c>
      <c r="F18" s="36">
        <v>12</v>
      </c>
      <c r="G18" s="36">
        <v>11</v>
      </c>
      <c r="H18" s="38"/>
      <c r="I18" s="34">
        <v>55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2"/>
        <v>0</v>
      </c>
      <c r="R18" s="5" t="s">
        <v>171</v>
      </c>
      <c r="U18" s="66" t="s">
        <v>21</v>
      </c>
      <c r="V18" s="65">
        <f t="shared" ref="V18:V24" si="6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3"/>
        <v>1</v>
      </c>
      <c r="AD18" s="61">
        <f t="shared" si="4"/>
        <v>0.5</v>
      </c>
      <c r="AE18" s="66" t="s">
        <v>12</v>
      </c>
      <c r="AF18" s="65">
        <f t="shared" si="5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/>
      <c r="C19" s="31"/>
      <c r="D19" s="32" t="s">
        <v>834</v>
      </c>
      <c r="E19" s="33">
        <v>1</v>
      </c>
      <c r="F19" s="36">
        <v>13</v>
      </c>
      <c r="G19" s="36">
        <v>16</v>
      </c>
      <c r="H19" s="38"/>
      <c r="I19" s="34">
        <v>75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2"/>
        <v>0</v>
      </c>
      <c r="R19" s="5" t="s">
        <v>172</v>
      </c>
      <c r="U19" s="66" t="s">
        <v>8</v>
      </c>
      <c r="V19" s="65">
        <f t="shared" si="6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3"/>
        <v>0</v>
      </c>
      <c r="AD19" s="61">
        <f t="shared" si="4"/>
        <v>15</v>
      </c>
      <c r="AE19" s="66" t="s">
        <v>19</v>
      </c>
      <c r="AF19" s="65">
        <f t="shared" si="5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ref="B20:B48" si="7">IF(C20="","",$B$2)</f>
        <v>U2025</v>
      </c>
      <c r="C20" s="31">
        <f t="shared" ref="C20:C48" si="8">IF(I20="","",$C$2)</f>
        <v>191</v>
      </c>
      <c r="D20" s="32" t="s">
        <v>835</v>
      </c>
      <c r="E20" s="33">
        <v>2</v>
      </c>
      <c r="F20" s="36">
        <v>23</v>
      </c>
      <c r="G20" s="36">
        <v>26</v>
      </c>
      <c r="H20" s="38" t="str">
        <f t="shared" ref="H20:H81" si="9">IF(I20="","",$I$14)</f>
        <v>SCOUTING</v>
      </c>
      <c r="I20" s="34">
        <v>165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2"/>
        <v>0</v>
      </c>
      <c r="R20" s="5" t="s">
        <v>171</v>
      </c>
      <c r="U20" s="66" t="s">
        <v>29</v>
      </c>
      <c r="V20" s="65">
        <f t="shared" si="6"/>
        <v>0</v>
      </c>
      <c r="X20" s="82"/>
      <c r="Y20" s="83"/>
      <c r="Z20" s="88"/>
      <c r="AA20" s="65"/>
      <c r="AB20" s="66" t="s">
        <v>24</v>
      </c>
      <c r="AC20" s="61">
        <f t="shared" si="3"/>
        <v>0</v>
      </c>
      <c r="AD20" s="61">
        <f t="shared" si="4"/>
        <v>10</v>
      </c>
      <c r="AE20" s="66" t="s">
        <v>168</v>
      </c>
      <c r="AF20" s="65">
        <f t="shared" si="5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7"/>
        <v>U2025</v>
      </c>
      <c r="C21" s="31">
        <f t="shared" si="8"/>
        <v>191</v>
      </c>
      <c r="D21" s="32" t="s">
        <v>836</v>
      </c>
      <c r="E21" s="33">
        <v>2</v>
      </c>
      <c r="F21" s="36">
        <v>32</v>
      </c>
      <c r="G21" s="36">
        <v>28</v>
      </c>
      <c r="H21" s="38" t="str">
        <f t="shared" si="9"/>
        <v>SCOUTING</v>
      </c>
      <c r="I21" s="34">
        <v>244</v>
      </c>
      <c r="J21" s="13" t="s">
        <v>4</v>
      </c>
      <c r="K21" s="13" t="s">
        <v>62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2"/>
        <v>0</v>
      </c>
      <c r="R21" s="5" t="s">
        <v>172</v>
      </c>
      <c r="U21" s="66" t="s">
        <v>31</v>
      </c>
      <c r="V21" s="65">
        <f t="shared" si="6"/>
        <v>0</v>
      </c>
      <c r="X21" s="82"/>
      <c r="Y21" s="83"/>
      <c r="Z21" s="105"/>
      <c r="AA21" s="65"/>
      <c r="AB21" s="66" t="s">
        <v>46</v>
      </c>
      <c r="AC21" s="61">
        <f t="shared" si="3"/>
        <v>0</v>
      </c>
      <c r="AD21" s="61">
        <f t="shared" si="4"/>
        <v>5</v>
      </c>
      <c r="AE21" s="66" t="s">
        <v>20</v>
      </c>
      <c r="AF21" s="65">
        <f t="shared" si="5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7"/>
        <v>U2025</v>
      </c>
      <c r="C22" s="31">
        <f t="shared" si="8"/>
        <v>191</v>
      </c>
      <c r="D22" s="32" t="s">
        <v>837</v>
      </c>
      <c r="E22" s="33">
        <v>2</v>
      </c>
      <c r="F22" s="36">
        <v>37</v>
      </c>
      <c r="G22" s="36">
        <v>30</v>
      </c>
      <c r="H22" s="38" t="str">
        <f t="shared" si="9"/>
        <v>SCOUTING</v>
      </c>
      <c r="I22" s="34">
        <v>268</v>
      </c>
      <c r="J22" s="13" t="s">
        <v>4</v>
      </c>
      <c r="K22" s="13" t="s">
        <v>62</v>
      </c>
      <c r="L22" s="13" t="s">
        <v>7</v>
      </c>
      <c r="M22" s="13" t="s">
        <v>37</v>
      </c>
      <c r="N22" s="35"/>
      <c r="O22" s="5" t="s">
        <v>6</v>
      </c>
      <c r="P22" s="5">
        <v>1</v>
      </c>
      <c r="Q22" s="84">
        <f t="shared" si="2"/>
        <v>0</v>
      </c>
      <c r="R22" s="5"/>
      <c r="U22" s="66" t="s">
        <v>32</v>
      </c>
      <c r="V22" s="65">
        <f t="shared" si="6"/>
        <v>0</v>
      </c>
      <c r="X22" s="82"/>
      <c r="Y22" s="83"/>
      <c r="Z22" s="105"/>
      <c r="AA22" s="65"/>
      <c r="AB22" s="66" t="s">
        <v>6</v>
      </c>
      <c r="AC22" s="61">
        <f t="shared" si="3"/>
        <v>3</v>
      </c>
      <c r="AD22" s="61">
        <f t="shared" si="4"/>
        <v>1</v>
      </c>
      <c r="AE22" s="66" t="s">
        <v>167</v>
      </c>
      <c r="AF22" s="65">
        <f t="shared" si="5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7"/>
        <v/>
      </c>
      <c r="C23" s="31" t="str">
        <f t="shared" si="8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2"/>
        <v>0</v>
      </c>
      <c r="R23" s="5"/>
      <c r="U23" s="66" t="s">
        <v>33</v>
      </c>
      <c r="V23" s="65">
        <f t="shared" si="6"/>
        <v>0</v>
      </c>
      <c r="X23" s="82"/>
      <c r="Y23" s="83"/>
      <c r="Z23" s="105"/>
      <c r="AA23" s="65"/>
      <c r="AB23" s="66" t="s">
        <v>7</v>
      </c>
      <c r="AC23" s="61">
        <f t="shared" si="3"/>
        <v>2</v>
      </c>
      <c r="AD23" s="61">
        <f t="shared" si="4"/>
        <v>2.5</v>
      </c>
      <c r="AE23" s="66" t="s">
        <v>21</v>
      </c>
      <c r="AF23" s="65">
        <f t="shared" si="5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7"/>
        <v/>
      </c>
      <c r="C24" s="31" t="str">
        <f t="shared" si="8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2"/>
        <v>0</v>
      </c>
      <c r="R24" s="5" t="s">
        <v>171</v>
      </c>
      <c r="U24" s="66" t="s">
        <v>40</v>
      </c>
      <c r="V24" s="65">
        <f t="shared" si="6"/>
        <v>0</v>
      </c>
      <c r="X24" s="82"/>
      <c r="Y24" s="83"/>
      <c r="Z24" s="105"/>
      <c r="AA24" s="65"/>
      <c r="AB24" s="66" t="s">
        <v>47</v>
      </c>
      <c r="AC24" s="61">
        <f t="shared" si="3"/>
        <v>0</v>
      </c>
      <c r="AD24" s="61">
        <f t="shared" si="4"/>
        <v>1</v>
      </c>
      <c r="AE24" s="66" t="s">
        <v>8</v>
      </c>
      <c r="AF24" s="65">
        <f t="shared" si="5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7"/>
        <v/>
      </c>
      <c r="C25" s="31" t="str">
        <f t="shared" si="8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2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3"/>
        <v>0</v>
      </c>
      <c r="AD25" s="61">
        <f t="shared" si="4"/>
        <v>2</v>
      </c>
      <c r="AE25" s="66" t="s">
        <v>22</v>
      </c>
      <c r="AF25" s="65">
        <f t="shared" si="5"/>
        <v>4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7"/>
        <v/>
      </c>
      <c r="C26" s="31" t="str">
        <f t="shared" si="8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2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3"/>
        <v>0</v>
      </c>
      <c r="AD26" s="61">
        <v>20</v>
      </c>
      <c r="AE26" s="66" t="s">
        <v>23</v>
      </c>
      <c r="AF26" s="65">
        <f t="shared" si="5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7"/>
        <v/>
      </c>
      <c r="C27" s="31" t="str">
        <f t="shared" si="8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2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3"/>
        <v>0</v>
      </c>
      <c r="AD27" s="61">
        <f>P27</f>
        <v>5</v>
      </c>
      <c r="AE27" s="66" t="s">
        <v>24</v>
      </c>
      <c r="AF27" s="65">
        <f t="shared" si="5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7"/>
        <v/>
      </c>
      <c r="C28" s="31" t="str">
        <f t="shared" si="8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2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3"/>
        <v>0</v>
      </c>
      <c r="AD28" s="61">
        <f>P28</f>
        <v>10</v>
      </c>
      <c r="AE28" s="66" t="s">
        <v>46</v>
      </c>
      <c r="AF28" s="65">
        <f t="shared" si="5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7"/>
        <v/>
      </c>
      <c r="C29" s="31" t="str">
        <f t="shared" si="8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2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3"/>
        <v>0</v>
      </c>
      <c r="AD29" s="61">
        <f>P29</f>
        <v>1</v>
      </c>
      <c r="AE29" s="66" t="s">
        <v>25</v>
      </c>
      <c r="AF29" s="65">
        <f t="shared" si="5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7"/>
        <v/>
      </c>
      <c r="C30" s="31" t="str">
        <f t="shared" si="8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2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5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7"/>
        <v/>
      </c>
      <c r="C31" s="31" t="str">
        <f t="shared" si="8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2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5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7"/>
        <v/>
      </c>
      <c r="C32" s="31" t="str">
        <f t="shared" si="8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2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5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7"/>
        <v/>
      </c>
      <c r="C33" s="31" t="str">
        <f t="shared" si="8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2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5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7"/>
        <v/>
      </c>
      <c r="C34" s="31" t="str">
        <f t="shared" si="8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2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5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7"/>
        <v/>
      </c>
      <c r="C35" s="31" t="str">
        <f t="shared" si="8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2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5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7"/>
        <v/>
      </c>
      <c r="C36" s="31" t="str">
        <f t="shared" si="8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2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5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7"/>
        <v/>
      </c>
      <c r="C37" s="31" t="str">
        <f t="shared" si="8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2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5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7"/>
        <v/>
      </c>
      <c r="C38" s="31" t="str">
        <f t="shared" si="8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2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5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7"/>
        <v/>
      </c>
      <c r="C39" s="31" t="str">
        <f t="shared" si="8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2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5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7"/>
        <v/>
      </c>
      <c r="C40" s="31" t="str">
        <f t="shared" si="8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2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5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7"/>
        <v/>
      </c>
      <c r="C41" s="31" t="str">
        <f t="shared" si="8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2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5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7"/>
        <v/>
      </c>
      <c r="C42" s="31" t="str">
        <f t="shared" si="8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2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5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7"/>
        <v/>
      </c>
      <c r="C43" s="31" t="str">
        <f t="shared" si="8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2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5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7"/>
        <v/>
      </c>
      <c r="C44" s="31" t="str">
        <f t="shared" si="8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2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5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7"/>
        <v/>
      </c>
      <c r="C45" s="31" t="str">
        <f t="shared" si="8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2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5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7"/>
        <v/>
      </c>
      <c r="C46" s="31" t="str">
        <f t="shared" si="8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2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5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7"/>
        <v/>
      </c>
      <c r="C47" s="31" t="str">
        <f t="shared" si="8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2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5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7"/>
        <v/>
      </c>
      <c r="C48" s="31" t="str">
        <f t="shared" si="8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2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5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REPORT_U2025191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"U2025191"</v>
      </c>
      <c r="F3" s="45" t="str">
        <f t="shared" ref="F3:F16" si="0">""""&amp;B3&amp;"""" &amp; " : " &amp;C3&amp;","</f>
        <v>"name" : "U2025191",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"U191"</v>
      </c>
      <c r="F4" s="45" t="str">
        <f t="shared" si="0"/>
        <v>"cod" : "U191",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191</v>
      </c>
      <c r="F6" s="45" t="str">
        <f t="shared" si="0"/>
        <v>"number" : 191,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"SERTAC DOSTEL"</v>
      </c>
      <c r="F10" s="45" t="str">
        <f t="shared" si="0"/>
        <v>"Data_entry" : "SERTAC DOSTEL",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"ALI MURAT SUNGUR"</v>
      </c>
      <c r="F13" s="45" t="str">
        <f t="shared" si="0"/>
        <v>"Timerkeeper" : "ALI MURAT SUNGUR",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"NIHAN UNSAL"</v>
      </c>
      <c r="F14" s="45" t="str">
        <f t="shared" si="0"/>
        <v>"Shotclock" : "NIHAN UNSAL",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613</v>
      </c>
      <c r="F25" s="45" t="str">
        <f t="shared" ref="F25:F48" si="1">""""&amp;C25&amp;"""" &amp; " : " &amp;D25&amp;","</f>
        <v>"total_actions" : 613,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"Some problems with foul drawns during 1st half. Second half with perfect in scouting"</v>
      </c>
      <c r="F51" s="45" t="str">
        <f>""""&amp;B51&amp;"""" &amp; " : " &amp;C51&amp;","</f>
        <v>"comments" : "Some problems with foul drawns during 1st half. Second half with perfect in scouting",</v>
      </c>
    </row>
    <row r="52" spans="2:6" x14ac:dyDescent="0.25">
      <c r="B52" s="43" t="s">
        <v>153</v>
      </c>
      <c r="C52" s="43" t="str">
        <f>TEXT('SCOUT &amp; LOGISTICS'!F1,"0,0")</f>
        <v>22_191_LOC_VIS_U2025</v>
      </c>
      <c r="F52" s="45" t="str">
        <f>""""&amp;B52&amp;"""" &amp; " : " &amp;C52</f>
        <v>"result" : 22_191_LOC_VIS_U2025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U191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Turk Telekom Ankara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Cosea Jl Bourg-En-Bresse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SERTAC DOSTEL</v>
      </c>
      <c r="C8" s="206"/>
      <c r="D8" s="206"/>
      <c r="E8" s="206"/>
      <c r="F8" s="206"/>
      <c r="G8" s="206" t="str">
        <f>IF('SCOUT &amp; LOGISTICS'!D7="","",'SCOUT &amp; LOGISTICS'!D7)</f>
        <v>MERIC AKAR</v>
      </c>
      <c r="H8" s="206"/>
      <c r="I8" s="206"/>
      <c r="J8" s="206"/>
      <c r="K8" s="206"/>
      <c r="L8" s="206" t="str">
        <f>IF('SCOUT &amp; LOGISTICS'!D8="","",'SCOUT &amp; LOGISTICS'!D8)</f>
        <v>FATIH ASLAN</v>
      </c>
      <c r="M8" s="206"/>
      <c r="N8" s="206"/>
      <c r="O8" s="206"/>
      <c r="P8" s="206"/>
      <c r="Q8" s="206" t="str">
        <f>IF('SCOUT &amp; LOGISTICS'!D9="","",'SCOUT &amp; LOGISTICS'!D9)</f>
        <v>ALI MURAT SUNGUR</v>
      </c>
      <c r="R8" s="206"/>
      <c r="S8" s="206"/>
      <c r="T8" s="206"/>
      <c r="U8" s="206"/>
      <c r="V8" s="206" t="str">
        <f>IF('SCOUT &amp; LOGISTICS'!D10="","",'SCOUT &amp; LOGISTICS'!D10)</f>
        <v>NIHAN UNSAL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9.7879282218597055E-3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Some problems with foul drawns during 1st half. Second half with perfect in scouting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10.478792822185971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2026-04-03T18:24:22Z</cp:lastPrinted>
  <dcterms:created xsi:type="dcterms:W3CDTF">2023-09-19T19:50:35Z</dcterms:created>
  <dcterms:modified xsi:type="dcterms:W3CDTF">2026-04-07T16:06:25Z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