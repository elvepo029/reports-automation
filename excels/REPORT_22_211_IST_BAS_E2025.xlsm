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2" documentId="8_{DFD98F8E-D5F9-4645-B2CD-A543BF822DD2}" xr6:coauthVersionLast="47" xr6:coauthVersionMax="47" xr10:uidLastSave="{50746644-E631-45EF-90FF-834609C65031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<sst xmlns="http://schemas.openxmlformats.org/spreadsheetml/2006/main" count="3255" uniqueCount="758">
  <si>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</si>
  <si>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</si>
  <si>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</si>
  <si>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</si>
  <si>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</si>
  <si>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</si>
  <si>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</si>
  <si>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</si>
  <si>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</si>
  <si>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</si>
  <si>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</si>
  <si>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</si>
  <si>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</si>
  <si>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</si>
  <si>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</si>
  <si>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</si>
  <si>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</si>
  <si>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</si>
  <si>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</si>
  <si>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</si>
  <si>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</si>
  <si>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</si>
  <si>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</si>
  <si>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</si>
  <si>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</si>
  <si>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</si>
  <si>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</si>
  <si>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</si>
  <si>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</si>
  <si>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</si>
  <si>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</si>
  <si>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</si>
  <si>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</si>
  <si>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</si>
  <si>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</si>
  <si>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</si>
  <si>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</si>
  <si>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</si>
  <si>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</si>
  <si>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</si>
  <si>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</si>
  <si>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</si>
  <si>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</si>
  <si>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</si>
  <si>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</si>
  <si>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</si>
  <si>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</si>
  <si>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</si>
  <si>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</si>
  <si>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</si>
  <si>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</si>
  <si>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</si>
  <si>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</si>
  <si>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</si>
  <si>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</si>
  <si>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</si>
  <si>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</si>
  <si>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</si>
  <si>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</si>
  <si>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</si>
  <si>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</si>
  <si>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</si>
  <si>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</si>
  <si>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</si>
  <si>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</si>
  <si>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</si>
  <si>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</si>
  <si>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</si>
  <si>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</si>
  <si>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</si>
  <si>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</si>
  <si>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</si>
  <si>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</si>
  <si>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</si>
  <si>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</si>
  <si>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</si>
  <si>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</si>
  <si>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</si>
  <si>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</si>
  <si>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</si>
  <si>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</si>
  <si>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</si>
  <si>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</si>
  <si>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</si>
  <si>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</si>
  <si>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</si>
  <si>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</si>
  <si>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</si>
  <si>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</si>
  <si>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</si>
  <si>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</si>
  <si>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</si>
  <si>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</si>
  <si>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</si>
  <si>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</si>
  <si>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</si>
  <si>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</si>
  <si>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</si>
  <si>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</si>
  <si>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</si>
  <si>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</si>
  <si>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</si>
  <si>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</si>
  <si>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</si>
  <si>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</si>
  <si>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</si>
  <si>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</si>
  <si>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</si>
  <si>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</si>
  <si>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</si>
  <si>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</si>
  <si>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</si>
  <si>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</si>
  <si>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</si>
  <si>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</si>
  <si>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</si>
  <si>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</si>
  <si>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</si>
  <si>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</si>
  <si>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</si>
  <si>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</si>
  <si>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</si>
  <si>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</si>
  <si>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</si>
  <si>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</si>
  <si>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</si>
  <si>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</si>
  <si>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</si>
  <si>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</si>
  <si>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</si>
  <si>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</si>
  <si>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</si>
  <si>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</si>
  <si>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</si>
  <si>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</si>
  <si>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</si>
  <si>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</si>
  <si>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</si>
  <si>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</si>
  <si>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</si>
  <si>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</si>
  <si>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</si>
  <si>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</si>
  <si>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</si>
  <si>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</si>
  <si>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</si>
  <si>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</si>
  <si>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</si>
  <si>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</si>
  <si>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</si>
  <si>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</si>
  <si>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</si>
  <si>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</si>
  <si>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</si>
  <si>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</si>
  <si>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</si>
  <si>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</si>
  <si>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</si>
  <si>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</si>
  <si>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</si>
  <si>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</si>
  <si>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</si>
  <si>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</si>
  <si>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</si>
  <si>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</si>
  <si>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</si>
  <si>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</si>
  <si>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</si>
  <si>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</si>
  <si>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</si>
  <si>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</si>
  <si>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</si>
  <si>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</si>
  <si>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</si>
  <si>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</si>
  <si>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</si>
  <si>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</si>
  <si>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</si>
  <si>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</si>
  <si>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</si>
  <si>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</si>
  <si>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</si>
  <si>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</si>
  <si>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</si>
  <si>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</si>
  <si>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</si>
  <si>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</si>
  <si>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</si>
  <si>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</si>
  <si>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</si>
  <si>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</si>
  <si>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</si>
  <si>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</si>
  <si>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</si>
  <si>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</si>
  <si>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</si>
  <si>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</si>
  <si>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</si>
  <si>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</si>
  <si>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</si>
  <si>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</si>
  <si>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</si>
  <si>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</si>
  <si>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</si>
  <si>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</si>
  <si>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</si>
  <si>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</si>
  <si>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</si>
  <si>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</si>
  <si>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</si>
  <si>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</si>
  <si>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</si>
  <si>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</si>
  <si>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</si>
  <si>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</si>
  <si>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</si>
  <si>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</si>
  <si>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</si>
  <si>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</si>
  <si>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</si>
  <si>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</si>
  <si>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</si>
  <si>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</si>
  <si>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</si>
  <si>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</si>
  <si>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</si>
  <si>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</si>
  <si>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</si>
  <si>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</si>
  <si>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</si>
  <si>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</si>
  <si>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</si>
  <si>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</si>
  <si>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</si>
  <si>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</si>
  <si>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</si>
  <si>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</si>
  <si>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</si>
  <si>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</si>
  <si>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</si>
  <si>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</si>
  <si>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</si>
  <si>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</si>
  <si>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</si>
  <si>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</si>
  <si>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</si>
  <si>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</si>
  <si>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</si>
  <si>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</si>
  <si>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</si>
  <si>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</si>
  <si>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</si>
  <si>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</si>
  <si>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</si>
  <si>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</si>
  <si>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</si>
  <si>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</si>
  <si>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</si>
  <si>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</si>
  <si>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</si>
  <si>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</si>
  <si>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</si>
  <si>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</si>
  <si>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</si>
  <si>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</si>
  <si>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</si>
  <si>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</si>
  <si>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</si>
  <si>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</si>
  <si>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</si>
  <si>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</si>
  <si>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</si>
  <si>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</si>
  <si>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</si>
  <si>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</si>
  <si>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</si>
  <si>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</si>
  <si>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</si>
  <si>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</si>
  <si>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</si>
  <si>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</si>
  <si>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</si>
  <si>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</si>
  <si>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</si>
  <si>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</si>
  <si>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</si>
  <si>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</si>
  <si>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</si>
  <si>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</si>
  <si>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</si>
  <si>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</si>
  <si>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</si>
  <si>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</si>
  <si>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</si>
  <si>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</si>
  <si>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</si>
  <si>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</si>
  <si>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</si>
  <si>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</si>
  <si>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</si>
  <si>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</si>
  <si>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</si>
  <si>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</si>
  <si>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</si>
  <si>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</si>
  <si>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</si>
  <si>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</si>
  <si>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</si>
  <si>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</si>
  <si>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</si>
  <si>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</si>
  <si>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</si>
  <si>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</si>
  <si>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</si>
  <si>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</si>
  <si>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</si>
  <si>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</si>
  <si>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</si>
  <si>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</si>
  <si>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</si>
  <si>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</si>
  <si>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</si>
  <si>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</si>
  <si>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</si>
  <si>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</si>
  <si>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</si>
  <si>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</si>
  <si>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</si>
  <si>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</si>
  <si>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</si>
  <si>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</si>
  <si>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</si>
  <si>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</si>
  <si>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</si>
  <si>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</si>
  <si>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</si>
  <si>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</si>
  <si>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</si>
  <si>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</si>
  <si>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</si>
  <si>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</si>
  <si>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</si>
  <si>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</si>
  <si>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</si>
  <si>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</si>
  <si>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</si>
  <si>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</si>
  <si>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</si>
  <si>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</si>
  <si>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</si>
  <si>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</si>
  <si>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</si>
  <si>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</si>
  <si>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</si>
  <si>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</si>
  <si>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</si>
  <si>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</si>
  <si>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</si>
  <si>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</si>
  <si>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</si>
  <si>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</si>
  <si>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</si>
  <si>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</si>
  <si>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</si>
  <si>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</si>
  <si>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</si>
  <si>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</si>
  <si>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</si>
  <si>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</si>
  <si>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</si>
  <si>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</si>
  <si>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</si>
  <si>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</si>
  <si>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</si>
  <si>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</si>
  <si>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</si>
  <si>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</si>
  <si>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</si>
  <si>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</si>
  <si>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</si>
  <si>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</si>
  <si>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</si>
  <si>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</si>
  <si>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</si>
  <si>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</si>
  <si>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</si>
  <si>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</si>
  <si>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</si>
  <si>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</si>
  <si>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</si>
  <si>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</si>
  <si>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</si>
  <si>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</si>
  <si>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</si>
  <si>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</si>
  <si>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</si>
  <si>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</si>
  <si>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</si>
  <si>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</si>
  <si>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</si>
  <si>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</si>
  <si>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</si>
  <si>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</si>
  <si>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</si>
  <si>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</si>
  <si>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</si>
  <si>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</si>
  <si>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</si>
  <si>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</si>
  <si>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</si>
  <si>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</si>
  <si>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</si>
  <si>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</si>
  <si>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</si>
  <si>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</si>
  <si>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</si>
  <si>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</si>
  <si>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</si>
  <si>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</si>
  <si>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</si>
  <si>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</si>
  <si>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</si>
  <si>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</si>
  <si>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</si>
  <si>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</si>
  <si>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</si>
  <si>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</si>
  <si>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</si>
  <si>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</si>
  <si>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</si>
  <si>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</si>
  <si>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</si>
  <si>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</si>
  <si>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</si>
  <si>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</si>
  <si>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</si>
  <si>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</si>
  <si>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</si>
  <si>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</si>
  <si>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</si>
  <si>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</si>
  <si>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</si>
  <si>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</si>
  <si>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</si>
  <si>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</si>
  <si>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</si>
  <si>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</si>
  <si>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</si>
  <si>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</si>
  <si>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</si>
  <si>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</si>
  <si>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</si>
  <si>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</si>
  <si>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</si>
  <si>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</si>
  <si>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</si>
  <si>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</si>
  <si>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</si>
  <si>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</si>
  <si>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</si>
  <si>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</si>
  <si>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</si>
  <si>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</si>
  <si>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</si>
  <si>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</si>
  <si>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</si>
  <si>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</si>
  <si>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</si>
  <si>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</si>
  <si>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</si>
  <si>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</si>
  <si>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</si>
  <si>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</si>
  <si>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</si>
  <si>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</si>
  <si>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</si>
  <si>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</si>
  <si>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</si>
  <si>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</si>
  <si>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</si>
  <si>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</si>
  <si>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</si>
  <si>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</si>
  <si>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</si>
  <si>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</si>
  <si>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</si>
  <si>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</si>
  <si>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</si>
  <si>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</si>
  <si>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</si>
  <si>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</si>
  <si>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</si>
  <si>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</si>
  <si>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</si>
  <si>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</si>
  <si>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</si>
  <si>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</si>
  <si>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</si>
  <si>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</si>
  <si>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</si>
  <si>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</si>
  <si>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</si>
  <si>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</si>
  <si>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</si>
  <si>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</si>
  <si>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</si>
  <si>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</si>
  <si>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</si>
  <si>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</si>
  <si>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</si>
  <si>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</si>
  <si>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</si>
  <si>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</si>
  <si>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</si>
  <si>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</si>
  <si>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</si>
  <si>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</si>
  <si>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</si>
  <si>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</si>
  <si>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</si>
  <si>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</si>
  <si>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</si>
  <si>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</si>
  <si>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</si>
  <si>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</si>
  <si>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</si>
  <si>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</si>
  <si>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</si>
  <si>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</si>
  <si>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</si>
  <si>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</si>
  <si>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</si>
  <si>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</si>
  <si>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</si>
  <si>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</si>
  <si>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</si>
  <si>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</si>
  <si>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</si>
  <si>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</si>
  <si>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</si>
  <si>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</si>
  <si>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</si>
  <si>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</si>
  <si>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</si>
  <si>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</si>
  <si>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</si>
  <si>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</si>
  <si>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</si>
  <si>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</si>
  <si>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</si>
  <si>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</si>
  <si>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</si>
  <si>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</si>
  <si>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</si>
  <si>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</si>
  <si>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</si>
  <si>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</si>
  <si>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</si>
  <si>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</si>
  <si>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</si>
  <si>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</si>
  <si>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</si>
  <si>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</si>
  <si>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</si>
  <si>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</si>
  <si>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</si>
  <si>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</si>
  <si>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</si>
  <si>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</si>
  <si>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</si>
  <si>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</si>
  <si>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</si>
  <si>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</si>
  <si>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</si>
  <si>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</si>
  <si>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</si>
  <si>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</si>
  <si>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</si>
  <si>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</si>
  <si>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</si>
  <si>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</si>
  <si>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</si>
  <si>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</si>
  <si>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</si>
  <si>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</si>
  <si>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</si>
  <si>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</si>
  <si>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</si>
  <si>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</si>
  <si>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</si>
  <si>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</si>
  <si>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</si>
  <si>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</si>
  <si>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</si>
  <si>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</si>
  <si>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</si>
  <si>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</si>
  <si>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</si>
  <si>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</si>
  <si>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</si>
  <si>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</si>
  <si>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</si>
  <si>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</si>
  <si>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</si>
  <si>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</si>
  <si>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</si>
  <si>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</si>
  <si>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</si>
  <si>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</si>
  <si>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</si>
  <si>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</si>
  <si>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</si>
  <si>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</si>
  <si>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</si>
  <si>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</si>
  <si>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</si>
  <si>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</si>
  <si>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</si>
  <si>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</si>
  <si>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</si>
  <si>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</si>
  <si>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</si>
  <si>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</si>
  <si>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</si>
  <si>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</si>
  <si>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</si>
  <si>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</si>
  <si>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</si>
  <si>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</si>
  <si>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</si>
  <si>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</si>
  <si>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</si>
  <si>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</si>
  <si>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</si>
  <si>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</si>
  <si>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</si>
  <si>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</si>
  <si>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</si>
  <si>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</si>
  <si>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</si>
  <si>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</si>
  <si>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</si>
  <si>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</si>
  <si>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</si>
  <si>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</si>
  <si>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</si>
  <si>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</si>
  <si>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</si>
  <si>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</si>
  <si>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</si>
  <si>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</si>
  <si>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</si>
  <si>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</si>
  <si>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</si>
  <si>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</si>
  <si>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</si>
  <si>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</si>
  <si>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</si>
  <si>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</si>
  <si>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</si>
  <si>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</si>
  <si>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</si>
  <si>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</si>
  <si>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</si>
  <si>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</si>
  <si>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</si>
  <si>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</si>
  <si>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</si>
  <si>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</si>
  <si>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</si>
  <si>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</si>
  <si>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</si>
  <si>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</si>
  <si>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</si>
  <si>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</si>
  <si>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</si>
  <si>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</si>
  <si>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</si>
  <si>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</si>
  <si>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</si>
  <si>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</si>
  <si>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</si>
  <si>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</si>
  <si>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</si>
  <si>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</si>
  <si>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</si>
  <si>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</si>
  <si>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</si>
  <si>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</si>
  <si>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</si>
  <si>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</si>
  <si>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</si>
  <si>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</si>
  <si>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</si>
  <si>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</si>
  <si>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</si>
  <si>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</si>
  <si>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</si>
  <si>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</si>
  <si>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</si>
  <si>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</si>
  <si>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</si>
  <si>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</si>
  <si>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</si>
  <si>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</si>
  <si>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</si>
  <si>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</si>
  <si>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</si>
  <si>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</si>
  <si>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</si>
  <si>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</si>
  <si>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</si>
  <si>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</si>
  <si>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</si>
  <si>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</si>
  <si>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</si>
  <si>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</si>
  <si>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</si>
  <si>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</si>
  <si>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</si>
  <si>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</si>
  <si>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</si>
  <si>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</si>
  <si>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</si>
  <si>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</si>
  <si>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</si>
  <si>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</si>
  <si>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</si>
  <si>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</si>
  <si>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</si>
  <si>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</si>
  <si>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</si>
  <si>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</si>
  <si>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</si>
  <si>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</si>
  <si>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</si>
  <si>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</si>
  <si>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</si>
  <si>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</si>
  <si>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</si>
  <si>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</si>
  <si>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</si>
  <si>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</si>
  <si>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</si>
  <si>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</si>
  <si>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</si>
  <si>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</si>
  <si>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</si>
  <si>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</si>
  <si>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09:04</t>
  </si>
  <si>
    <t>02:30</t>
  </si>
  <si>
    <t>Really good job as always!</t>
  </si>
  <si>
    <t>SERTAC DOSTEL</t>
  </si>
  <si>
    <t>ORHAN YENIHAYAT</t>
  </si>
  <si>
    <t>KEREM SIRMAGIL</t>
  </si>
  <si>
    <t>DINCER ADILLER</t>
  </si>
  <si>
    <t>ELOI VERGE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</si>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</sst>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22_211_IST_BAS_E2025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46037.854166666664</v>
      </c>
      <c r="C3" s="178"/>
      <c r="D3" s="39">
        <v>613</v>
      </c>
      <c r="E3" s="29"/>
      <c r="F3" s="26">
        <f>SUBTOTAL(3,I17:I106)</f>
        <v>2</v>
      </c>
      <c r="G3" s="27">
        <f>IF(OR(D3="",D3=0),"",F3/D3)</f>
        <v>3.2626427406199023E-3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3.2626427406199023E-3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0.32626427406199021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3.8262642740619901</v>
      </c>
      <c r="N7" s="58"/>
      <c r="O7" s="2"/>
      <c r="P7" s="2"/>
      <c r="Q7" s="86">
        <f>SUM(R5,S5,AC16)</f>
        <v>3.8262642740619901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3.8262642740619901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211</v>
      </c>
      <c r="D17" s="32" t="s">
        <v>749</v>
      </c>
      <c r="E17" s="33">
        <v>3</v>
      </c>
      <c r="F17" s="36">
        <v>44</v>
      </c>
      <c r="G17" s="36">
        <v>40</v>
      </c>
      <c r="H17" s="38" t="str">
        <f>IF(I17="","",$I$14)</f>
        <v>SCOUTING</v>
      </c>
      <c r="I17" s="34">
        <v>333</v>
      </c>
      <c r="J17" s="13" t="s">
        <v>4</v>
      </c>
      <c r="K17" s="13" t="s">
        <v>63</v>
      </c>
      <c r="L17" s="13" t="s">
        <v>7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211</v>
      </c>
      <c r="D18" s="32" t="s">
        <v>750</v>
      </c>
      <c r="E18" s="33">
        <v>2</v>
      </c>
      <c r="F18" s="36">
        <v>37</v>
      </c>
      <c r="G18" s="36">
        <v>36</v>
      </c>
      <c r="H18" s="38" t="str">
        <f t="shared" ref="H18:H81" si="8">IF(I18="","",$I$14)</f>
        <v>SCOUTING</v>
      </c>
      <c r="I18" s="34">
        <v>272</v>
      </c>
      <c r="J18" s="13" t="s">
        <v>4</v>
      </c>
      <c r="K18" s="13" t="s">
        <v>63</v>
      </c>
      <c r="L18" s="13" t="s">
        <v>75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"E2025211"</v>
      </c>
      <c r="F3" s="45" t="str">
        <f t="shared" ref="F3:F16" si="0">""""&amp;B3&amp;"""" &amp; " : " &amp;C3&amp;","</f>
        <v>"name" : "E2025211",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"E211"</v>
      </c>
      <c r="F4" s="45" t="str">
        <f t="shared" si="0"/>
        <v>"cod" : "E211",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211</v>
      </c>
      <c r="F6" s="45" t="str">
        <f t="shared" si="0"/>
        <v>"number" : 211,</v>
      </c>
    </row>
    <row r="7" spans="2:6" x14ac:dyDescent="0.25">
      <c r="B7" s="43" t="s">
        <v>116</v>
      </c>
      <c r="C7" s="43" t="str">
        <f ca="1">""""&amp;TEXT('SCOUT &amp; LOGISTICS'!B3,"dd/mm/aaaa")&amp;""""</f>
        <v>"15/01/2026"</v>
      </c>
      <c r="F7" s="45" t="str">
        <f t="shared" ca="1" si="0"/>
        <v>"date" : "15/01/2026",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613</v>
      </c>
      <c r="F25" s="45" t="str">
        <f t="shared" ref="F25:F48" si="1">""""&amp;C25&amp;"""" &amp; " : " &amp;D25&amp;","</f>
        <v>"total_actions" : 613,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always!"</v>
      </c>
      <c r="F51" s="45" t="str">
        <f>""""&amp;B51&amp;"""" &amp; " : " &amp;C51&amp;","</f>
        <v>"comments" : "Really good job as always!",</v>
      </c>
    </row>
    <row r="52" spans="2:6" x14ac:dyDescent="0.25">
      <c r="B52" s="43" t="s">
        <v>153</v>
      </c>
      <c r="C52" s="43" t="str">
        <f>TEXT('SCOUT &amp; LOGISTICS'!F1,"0,0")</f>
        <v>22_211_IST_BAS_E2025</v>
      </c>
      <c r="F52" s="45" t="str">
        <f>""""&amp;B52&amp;"""" &amp; " : " &amp;C52</f>
        <v>"result" : 22_211_IST_BAS_E2025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E211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KEREM SIRMAGIL</v>
      </c>
      <c r="R8" s="201"/>
      <c r="S8" s="201"/>
      <c r="T8" s="201"/>
      <c r="U8" s="201"/>
      <c r="V8" s="201" t="str">
        <f>IF('SCOUT &amp; LOGISTICS'!D10="","",'SCOUT &amp; LOGISTICS'!D10)</f>
        <v>DINCER ADILLER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613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3.2626427406199023E-3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Really good job as always!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3.8262642740619901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5B4A5EAA-573E-4CE3-B476-D01719A1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2026-01-15T20:40:42Z</cp:lastPrinted>
  <dcterms:created xsi:type="dcterms:W3CDTF">2023-09-19T19:50:35Z</dcterms:created>
  <dcterms:modified xsi:type="dcterms:W3CDTF">2026-01-15T20:42:35Z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