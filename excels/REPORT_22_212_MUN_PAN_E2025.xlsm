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0" documentId="8_{648B2825-00B6-4544-AA2A-D83EA0108C61}" xr6:coauthVersionLast="47" xr6:coauthVersionMax="47" xr10:uidLastSave="{CDE39DB2-017F-44B2-9A8F-C61BFC82699E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<sst xmlns="http://schemas.openxmlformats.org/spreadsheetml/2006/main" count="3250" uniqueCount="757">
  <si>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</si>
  <si>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</si>
  <si>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</si>
  <si>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</si>
  <si>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</si>
  <si>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</si>
  <si>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</si>
  <si>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</si>
  <si>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</si>
  <si>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</si>
  <si>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</si>
  <si>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</si>
  <si>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</si>
  <si>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</si>
  <si>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</si>
  <si>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</si>
  <si>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</si>
  <si>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</si>
  <si>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</si>
  <si>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</si>
  <si>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</si>
  <si>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</si>
  <si>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</si>
  <si>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</si>
  <si>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</si>
  <si>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</si>
  <si>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</si>
  <si>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</si>
  <si>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</si>
  <si>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</si>
  <si>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</si>
  <si>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</si>
  <si>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</si>
  <si>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</si>
  <si>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</si>
  <si>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</si>
  <si>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</si>
  <si>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</si>
  <si>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</si>
  <si>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</si>
  <si>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</si>
  <si>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</si>
  <si>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</si>
  <si>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</si>
  <si>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</si>
  <si>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</si>
  <si>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</si>
  <si>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</si>
  <si>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</si>
  <si>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</si>
  <si>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</si>
  <si>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</si>
  <si>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</si>
  <si>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</si>
  <si>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</si>
  <si>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</si>
  <si>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</si>
  <si>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</si>
  <si>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</si>
  <si>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</si>
  <si>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</si>
  <si>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</si>
  <si>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</si>
  <si>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</si>
  <si>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</si>
  <si>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</si>
  <si>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</si>
  <si>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</si>
  <si>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</si>
  <si>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</si>
  <si>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</si>
  <si>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</si>
  <si>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</si>
  <si>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</si>
  <si>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</si>
  <si>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</si>
  <si>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</si>
  <si>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</si>
  <si>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</si>
  <si>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</si>
  <si>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</si>
  <si>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</si>
  <si>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</si>
  <si>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</si>
  <si>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</si>
  <si>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</si>
  <si>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</si>
  <si>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</si>
  <si>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</si>
  <si>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</si>
  <si>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</si>
  <si>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</si>
  <si>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</si>
  <si>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</si>
  <si>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</si>
  <si>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</si>
  <si>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</si>
  <si>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</si>
  <si>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</si>
  <si>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</si>
  <si>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</si>
  <si>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</si>
  <si>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</si>
  <si>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</si>
  <si>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</si>
  <si>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</si>
  <si>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</si>
  <si>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</si>
  <si>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</si>
  <si>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</si>
  <si>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</si>
  <si>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</si>
  <si>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</si>
  <si>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</si>
  <si>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</si>
  <si>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</si>
  <si>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</si>
  <si>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</si>
  <si>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</si>
  <si>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</si>
  <si>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</si>
  <si>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</si>
  <si>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</si>
  <si>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</si>
  <si>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</si>
  <si>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</si>
  <si>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</si>
  <si>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</si>
  <si>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</si>
  <si>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</si>
  <si>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</si>
  <si>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</si>
  <si>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</si>
  <si>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</si>
  <si>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</si>
  <si>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</si>
  <si>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</si>
  <si>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</si>
  <si>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</si>
  <si>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</si>
  <si>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</si>
  <si>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</si>
  <si>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</si>
  <si>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</si>
  <si>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</si>
  <si>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</si>
  <si>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</si>
  <si>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</si>
  <si>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</si>
  <si>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</si>
  <si>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</si>
  <si>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</si>
  <si>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</si>
  <si>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</si>
  <si>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</si>
  <si>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</si>
  <si>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</si>
  <si>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</si>
  <si>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</si>
  <si>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</si>
  <si>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</si>
  <si>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</si>
  <si>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</si>
  <si>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</si>
  <si>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</si>
  <si>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</si>
  <si>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</si>
  <si>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</si>
  <si>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</si>
  <si>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</si>
  <si>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</si>
  <si>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</si>
  <si>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</si>
  <si>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</si>
  <si>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</si>
  <si>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</si>
  <si>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</si>
  <si>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</si>
  <si>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</si>
  <si>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</si>
  <si>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</si>
  <si>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</si>
  <si>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</si>
  <si>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</si>
  <si>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</si>
  <si>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</si>
  <si>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</si>
  <si>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</si>
  <si>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</si>
  <si>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</si>
  <si>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</si>
  <si>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</si>
  <si>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</si>
  <si>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</si>
  <si>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</si>
  <si>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</si>
  <si>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</si>
  <si>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</si>
  <si>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</si>
  <si>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</si>
  <si>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</si>
  <si>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</si>
  <si>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</si>
  <si>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</si>
  <si>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</si>
  <si>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</si>
  <si>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</si>
  <si>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</si>
  <si>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</si>
  <si>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</si>
  <si>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</si>
  <si>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</si>
  <si>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</si>
  <si>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</si>
  <si>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</si>
  <si>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</si>
  <si>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</si>
  <si>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</si>
  <si>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</si>
  <si>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</si>
  <si>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</si>
  <si>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</si>
  <si>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</si>
  <si>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</si>
  <si>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</si>
  <si>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</si>
  <si>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</si>
  <si>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</si>
  <si>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</si>
  <si>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</si>
  <si>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</si>
  <si>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</si>
  <si>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</si>
  <si>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</si>
  <si>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</si>
  <si>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</si>
  <si>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</si>
  <si>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</si>
  <si>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</si>
  <si>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</si>
  <si>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</si>
  <si>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</si>
  <si>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</si>
  <si>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</si>
  <si>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</si>
  <si>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</si>
  <si>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</si>
  <si>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</si>
  <si>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</si>
  <si>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</si>
  <si>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</si>
  <si>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</si>
  <si>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</si>
  <si>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</si>
  <si>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</si>
  <si>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</si>
  <si>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</si>
  <si>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</si>
  <si>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</si>
  <si>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</si>
  <si>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</si>
  <si>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</si>
  <si>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</si>
  <si>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</si>
  <si>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</si>
  <si>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</si>
  <si>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</si>
  <si>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</si>
  <si>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</si>
  <si>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</si>
  <si>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</si>
  <si>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</si>
  <si>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</si>
  <si>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</si>
  <si>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</si>
  <si>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</si>
  <si>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</si>
  <si>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</si>
  <si>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</si>
  <si>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</si>
  <si>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</si>
  <si>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</si>
  <si>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</si>
  <si>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</si>
  <si>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</si>
  <si>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</si>
  <si>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</si>
  <si>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</si>
  <si>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</si>
  <si>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</si>
  <si>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</si>
  <si>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</si>
  <si>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</si>
  <si>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</si>
  <si>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</si>
  <si>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</si>
  <si>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</si>
  <si>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</si>
  <si>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</si>
  <si>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</si>
  <si>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</si>
  <si>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</si>
  <si>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</si>
  <si>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</si>
  <si>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</si>
  <si>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</si>
  <si>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</si>
  <si>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</si>
  <si>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</si>
  <si>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</si>
  <si>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</si>
  <si>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</si>
  <si>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</si>
  <si>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</si>
  <si>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</si>
  <si>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</si>
  <si>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</si>
  <si>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</si>
  <si>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</si>
  <si>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</si>
  <si>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</si>
  <si>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</si>
  <si>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</si>
  <si>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</si>
  <si>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</si>
  <si>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</si>
  <si>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</si>
  <si>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</si>
  <si>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</si>
  <si>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</si>
  <si>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</si>
  <si>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</si>
  <si>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</si>
  <si>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</si>
  <si>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</si>
  <si>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</si>
  <si>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</si>
  <si>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</si>
  <si>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</si>
  <si>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</si>
  <si>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</si>
  <si>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</si>
  <si>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</si>
  <si>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</si>
  <si>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</si>
  <si>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</si>
  <si>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</si>
  <si>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</si>
  <si>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</si>
  <si>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</si>
  <si>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</si>
  <si>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</si>
  <si>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</si>
  <si>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</si>
  <si>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</si>
  <si>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</si>
  <si>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</si>
  <si>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</si>
  <si>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</si>
  <si>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</si>
  <si>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</si>
  <si>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</si>
  <si>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</si>
  <si>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</si>
  <si>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</si>
  <si>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</si>
  <si>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</si>
  <si>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</si>
  <si>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</si>
  <si>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</si>
  <si>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</si>
  <si>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</si>
  <si>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</si>
  <si>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</si>
  <si>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</si>
  <si>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</si>
  <si>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</si>
  <si>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</si>
  <si>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</si>
  <si>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</si>
  <si>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</si>
  <si>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</si>
  <si>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</si>
  <si>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</si>
  <si>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</si>
  <si>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</si>
  <si>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</si>
  <si>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</si>
  <si>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</si>
  <si>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</si>
  <si>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</si>
  <si>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</si>
  <si>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</si>
  <si>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</si>
  <si>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</si>
  <si>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</si>
  <si>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</si>
  <si>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</si>
  <si>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</si>
  <si>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</si>
  <si>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</si>
  <si>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</si>
  <si>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</si>
  <si>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</si>
  <si>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</si>
  <si>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</si>
  <si>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</si>
  <si>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</si>
  <si>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</si>
  <si>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</si>
  <si>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</si>
  <si>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</si>
  <si>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</si>
  <si>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</si>
  <si>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</si>
  <si>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</si>
  <si>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</si>
  <si>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</si>
  <si>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</si>
  <si>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</si>
  <si>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</si>
  <si>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</si>
  <si>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</si>
  <si>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</si>
  <si>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</si>
  <si>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</si>
  <si>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</si>
  <si>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</si>
  <si>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</si>
  <si>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</si>
  <si>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</si>
  <si>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</si>
  <si>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</si>
  <si>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</si>
  <si>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</si>
  <si>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</si>
  <si>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</si>
  <si>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</si>
  <si>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</si>
  <si>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</si>
  <si>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</si>
  <si>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</si>
  <si>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</si>
  <si>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</si>
  <si>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</si>
  <si>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</si>
  <si>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</si>
  <si>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</si>
  <si>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</si>
  <si>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</si>
  <si>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</si>
  <si>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</si>
  <si>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</si>
  <si>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</si>
  <si>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</si>
  <si>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</si>
  <si>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</si>
  <si>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</si>
  <si>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</si>
  <si>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</si>
  <si>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</si>
  <si>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</si>
  <si>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</si>
  <si>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</si>
  <si>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</si>
  <si>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</si>
  <si>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</si>
  <si>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</si>
  <si>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</si>
  <si>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</si>
  <si>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</si>
  <si>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</si>
  <si>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</si>
  <si>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</si>
  <si>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</si>
  <si>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</si>
  <si>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</si>
  <si>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</si>
  <si>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</si>
  <si>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</si>
  <si>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</si>
  <si>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</si>
  <si>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</si>
  <si>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</si>
  <si>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</si>
  <si>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</si>
  <si>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</si>
  <si>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</si>
  <si>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</si>
  <si>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</si>
  <si>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</si>
  <si>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</si>
  <si>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</si>
  <si>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</si>
  <si>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</si>
  <si>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</si>
  <si>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</si>
  <si>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</si>
  <si>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</si>
  <si>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</si>
  <si>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</si>
  <si>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</si>
  <si>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</si>
  <si>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</si>
  <si>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</si>
  <si>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</si>
  <si>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</si>
  <si>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</si>
  <si>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</si>
  <si>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</si>
  <si>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</si>
  <si>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</si>
  <si>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</si>
  <si>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</si>
  <si>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</si>
  <si>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</si>
  <si>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</si>
  <si>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</si>
  <si>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</si>
  <si>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</si>
  <si>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</si>
  <si>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</si>
  <si>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</si>
  <si>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</si>
  <si>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</si>
  <si>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</si>
  <si>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</si>
  <si>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</si>
  <si>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</si>
  <si>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</si>
  <si>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</si>
  <si>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</si>
  <si>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</si>
  <si>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</si>
  <si>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</si>
  <si>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</si>
  <si>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</si>
  <si>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</si>
  <si>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</si>
  <si>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</si>
  <si>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</si>
  <si>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</si>
  <si>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</si>
  <si>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</si>
  <si>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</si>
  <si>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</si>
  <si>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</si>
  <si>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</si>
  <si>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</si>
  <si>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</si>
  <si>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</si>
  <si>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</si>
  <si>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</si>
  <si>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</si>
  <si>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</si>
  <si>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</si>
  <si>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</si>
  <si>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</si>
  <si>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</si>
  <si>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</si>
  <si>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</si>
  <si>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</si>
  <si>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</si>
  <si>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</si>
  <si>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</si>
  <si>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</si>
  <si>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</si>
  <si>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</si>
  <si>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</si>
  <si>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</si>
  <si>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</si>
  <si>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</si>
  <si>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</si>
  <si>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</si>
  <si>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</si>
  <si>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</si>
  <si>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</si>
  <si>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</si>
  <si>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</si>
  <si>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</si>
  <si>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</si>
  <si>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</si>
  <si>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</si>
  <si>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</si>
  <si>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</si>
  <si>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</si>
  <si>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</si>
  <si>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</si>
  <si>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</si>
  <si>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</si>
  <si>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</si>
  <si>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</si>
  <si>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</si>
  <si>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</si>
  <si>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</si>
  <si>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</si>
  <si>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</si>
  <si>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</si>
  <si>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</si>
  <si>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</si>
  <si>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</si>
  <si>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</si>
  <si>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</si>
  <si>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</si>
  <si>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</si>
  <si>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</si>
  <si>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</si>
  <si>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</si>
  <si>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</si>
  <si>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</si>
  <si>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</si>
  <si>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</si>
  <si>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</si>
  <si>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</si>
  <si>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</si>
  <si>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</si>
  <si>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</si>
  <si>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</si>
  <si>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</si>
  <si>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</si>
  <si>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</si>
  <si>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</si>
  <si>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</si>
  <si>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</si>
  <si>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</si>
  <si>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</si>
  <si>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</si>
  <si>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</si>
  <si>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</si>
  <si>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</si>
  <si>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</si>
  <si>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</si>
  <si>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</si>
  <si>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</si>
  <si>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</si>
  <si>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</si>
  <si>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</si>
  <si>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</si>
  <si>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</si>
  <si>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</si>
  <si>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</si>
  <si>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</si>
  <si>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</si>
  <si>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</si>
  <si>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</si>
  <si>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</si>
  <si>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</si>
  <si>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</si>
  <si>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</si>
  <si>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</si>
  <si>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</si>
  <si>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</si>
  <si>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</si>
  <si>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</si>
  <si>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</si>
  <si>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</si>
  <si>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</si>
  <si>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</si>
  <si>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</si>
  <si>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</si>
  <si>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</si>
  <si>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</si>
  <si>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</si>
  <si>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</si>
  <si>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</si>
  <si>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</si>
  <si>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</si>
  <si>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</si>
  <si>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</si>
  <si>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</si>
  <si>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</si>
  <si>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</si>
  <si>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</si>
  <si>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</si>
  <si>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</si>
  <si>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</si>
  <si>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</si>
  <si>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</si>
  <si>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</si>
  <si>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</si>
  <si>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</si>
  <si>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</si>
  <si>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</si>
  <si>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</si>
  <si>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</si>
  <si>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</si>
  <si>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</si>
  <si>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</si>
  <si>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</si>
  <si>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</si>
  <si>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</si>
  <si>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</si>
  <si>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</si>
  <si>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</si>
  <si>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</si>
  <si>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</si>
  <si>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</si>
  <si>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</si>
  <si>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</si>
  <si>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</si>
  <si>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</si>
  <si>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</si>
  <si>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</si>
  <si>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</si>
  <si>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</si>
  <si>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</si>
  <si>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</si>
  <si>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</si>
  <si>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</si>
  <si>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</si>
  <si>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</si>
  <si>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</si>
  <si>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</si>
  <si>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</si>
  <si>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</si>
  <si>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</si>
  <si>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</si>
  <si>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</si>
  <si>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</si>
  <si>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</si>
  <si>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</si>
  <si>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</si>
  <si>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</si>
  <si>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</si>
  <si>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</si>
  <si>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</si>
  <si>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</si>
  <si>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</si>
  <si>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</si>
  <si>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</si>
  <si>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</si>
  <si>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</si>
  <si>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</si>
  <si>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</si>
  <si>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</si>
  <si>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</si>
  <si>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</si>
  <si>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</si>
  <si>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</si>
  <si>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</si>
  <si>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</si>
  <si>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</si>
  <si>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</si>
  <si>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</si>
  <si>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</si>
  <si>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</si>
  <si>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</si>
  <si>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</si>
  <si>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</si>
  <si>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HUBERT KRAGLER</t>
  </si>
  <si>
    <t>CHRISTIAN HONLE</t>
  </si>
  <si>
    <t>MARKUS IDSTEIN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</si>
  <si>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</si>
  <si>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</si>
  <si>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</si>
  <si>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6:14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</si>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</sst>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22_212_MUN_PAN_E2025</v>
      </c>
      <c r="G1" s="5"/>
      <c r="H1" s="5"/>
      <c r="I1" s="5"/>
      <c r="J1" s="8" t="s">
        <v>707</v>
      </c>
      <c r="K1" s="121" t="s">
        <v>753</v>
      </c>
      <c r="L1" s="121"/>
      <c r="M1" s="122" t="s">
        <v>239</v>
      </c>
      <c r="N1" s="121" t="s">
        <v>754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46037.854166666664</v>
      </c>
      <c r="C3" s="178"/>
      <c r="D3" s="39">
        <v>497</v>
      </c>
      <c r="E3" s="29"/>
      <c r="F3" s="26">
        <f>SUBTOTAL(3,I17:I106)</f>
        <v>1</v>
      </c>
      <c r="G3" s="27">
        <f>IF(OR(D3="",D3=0),"",F3/D3)</f>
        <v>2.012072434607646E-3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742</v>
      </c>
      <c r="L4" s="5"/>
      <c r="M4" s="185" t="s">
        <v>756</v>
      </c>
      <c r="N4" s="186"/>
      <c r="O4" s="2"/>
      <c r="P4" s="2"/>
      <c r="Q4" s="84" t="s">
        <v>175</v>
      </c>
      <c r="R4" s="94">
        <f>(IF(G3="",0,G3))</f>
        <v>2.012072434607646E-3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0.2012072434607646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724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723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0.70120724346076457</v>
      </c>
      <c r="N7" s="58"/>
      <c r="O7" s="2"/>
      <c r="P7" s="2"/>
      <c r="Q7" s="86">
        <f>SUM(R5,S5,AC16)</f>
        <v>0.70120724346076457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749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0.70120724346076457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750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728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212</v>
      </c>
      <c r="D17" s="32" t="s">
        <v>755</v>
      </c>
      <c r="E17" s="33">
        <v>1</v>
      </c>
      <c r="F17" s="36">
        <v>11</v>
      </c>
      <c r="G17" s="36">
        <v>11</v>
      </c>
      <c r="H17" s="38" t="str">
        <f>IF(I17="","",$I$14)</f>
        <v>SCOUTING</v>
      </c>
      <c r="I17" s="34">
        <v>43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"E2025212"</v>
      </c>
      <c r="F3" s="45" t="str">
        <f t="shared" ref="F3:F16" si="0">""""&amp;B3&amp;"""" &amp; " : " &amp;C3&amp;","</f>
        <v>"name" : "E2025212",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"E212"</v>
      </c>
      <c r="F4" s="45" t="str">
        <f t="shared" si="0"/>
        <v>"cod" : "E212",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212</v>
      </c>
      <c r="F6" s="45" t="str">
        <f t="shared" si="0"/>
        <v>"number" : 212,</v>
      </c>
    </row>
    <row r="7" spans="2:6" x14ac:dyDescent="0.25">
      <c r="B7" s="43" t="s">
        <v>116</v>
      </c>
      <c r="C7" s="43" t="str">
        <f ca="1">""""&amp;TEXT('SCOUT &amp; LOGISTICS'!B3,"dd/mm/aaaa")&amp;""""</f>
        <v>"15/01/Thursday"</v>
      </c>
      <c r="F7" s="45" t="str">
        <f t="shared" ca="1" si="0"/>
        <v>"date" : "15/01/Thursday",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"MANUEL HERZOG"</v>
      </c>
      <c r="F10" s="45" t="str">
        <f t="shared" si="0"/>
        <v>"Data_entry" : "MANUEL HERZOG",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"SEBASTIAN BLANZ"</v>
      </c>
      <c r="F11" s="45" t="str">
        <f t="shared" si="0"/>
        <v>"Caller_1" : "SEBASTIAN BLANZ",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"HUBERT KRAGLER"</v>
      </c>
      <c r="F12" s="45" t="str">
        <f t="shared" si="0"/>
        <v>"Caller_2" : "HUBERT KRAGLER",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"CHRISTIAN HONLE"</v>
      </c>
      <c r="F13" s="45" t="str">
        <f t="shared" si="0"/>
        <v>"Timerkeeper" : "CHRISTIAN HONLE",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"MARKUS IDSTEIN"</v>
      </c>
      <c r="F14" s="45" t="str">
        <f t="shared" si="0"/>
        <v>"Shotclock" : "MARKUS IDSTEIN",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497</v>
      </c>
      <c r="F25" s="45" t="str">
        <f t="shared" ref="F25:F48" si="1">""""&amp;C25&amp;"""" &amp; " : " &amp;D25&amp;","</f>
        <v>"total_actions" : 497,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22_212_MUN_PAN_E2025</v>
      </c>
      <c r="F52" s="45" t="str">
        <f>""""&amp;B52&amp;"""" &amp; " : " &amp;C52</f>
        <v>"result" : 22_212_MUN_PAN_E2025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E212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15/01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MANUEL HERZOG</v>
      </c>
      <c r="C8" s="201"/>
      <c r="D8" s="201"/>
      <c r="E8" s="201"/>
      <c r="F8" s="201"/>
      <c r="G8" s="201" t="str">
        <f>IF('SCOUT &amp; LOGISTICS'!D7="","",'SCOUT &amp; LOGISTICS'!D7)</f>
        <v>SEBASTIAN BLANZ</v>
      </c>
      <c r="H8" s="201"/>
      <c r="I8" s="201"/>
      <c r="J8" s="201"/>
      <c r="K8" s="201"/>
      <c r="L8" s="201" t="str">
        <f>IF('SCOUT &amp; LOGISTICS'!D8="","",'SCOUT &amp; LOGISTICS'!D8)</f>
        <v>HUBERT KRAGLER</v>
      </c>
      <c r="M8" s="201"/>
      <c r="N8" s="201"/>
      <c r="O8" s="201"/>
      <c r="P8" s="201"/>
      <c r="Q8" s="201" t="str">
        <f>IF('SCOUT &amp; LOGISTICS'!D9="","",'SCOUT &amp; LOGISTICS'!D9)</f>
        <v>CHRISTIAN HONLE</v>
      </c>
      <c r="R8" s="201"/>
      <c r="S8" s="201"/>
      <c r="T8" s="201"/>
      <c r="U8" s="201"/>
      <c r="V8" s="201" t="str">
        <f>IF('SCOUT &amp; LOGISTICS'!D10="","",'SCOUT &amp; LOGISTICS'!D10)</f>
        <v>MARKUS IDSTEIN</v>
      </c>
      <c r="W8" s="201"/>
      <c r="X8" s="201"/>
      <c r="Y8" s="201"/>
      <c r="Z8" s="201"/>
      <c r="AA8" s="201" t="str">
        <f>IF('SCOUT &amp; LOGISTICS'!D11="","",'SCOUT &amp; LOGISTICS'!D11)</f>
        <v>ROBERT TAVASZI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497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2.012072434607646E-3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0.70120724346076457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C683C53A-41B4-4B9D-9C63-B7BEFC077A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2026-01-20T16:18:26Z</cp:lastPrinted>
  <dcterms:created xsi:type="dcterms:W3CDTF">2023-09-19T19:50:35Z</dcterms:created>
  <dcterms:modified xsi:type="dcterms:W3CDTF">2026-01-20T16:18:39Z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