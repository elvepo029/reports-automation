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D8EB3300-C864-468E-B0C1-E299036BF8B9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<sst xmlns="http://schemas.openxmlformats.org/spreadsheetml/2006/main" count="3235" uniqueCount="752">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</sst>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22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22_214_PRS_MCO_E2025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214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46037.864583333336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Paris Basketball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PRS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AS Monaco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MCO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REPORT_E2025214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"E2025214"</v>
      </c>
      <c r="F3" s="45" t="str">
        <f t="shared" ref="F3:F16" si="0">""""&amp;B3&amp;"""" &amp; " : " &amp;C3&amp;","</f>
        <v>"name" : "E2025214",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"E214"</v>
      </c>
      <c r="F4" s="45" t="str">
        <f t="shared" si="0"/>
        <v>"cod" : "E214",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214</v>
      </c>
      <c r="F6" s="45" t="str">
        <f t="shared" si="0"/>
        <v>"number" : 214,</v>
      </c>
    </row>
    <row r="7" spans="2:6" x14ac:dyDescent="0.2">
      <c r="B7" s="43" t="s">
        <v>116</v>
      </c>
      <c r="C7" s="43" t="str">
        <f ca="1">""""&amp;TEXT('SCOUT &amp; LOGISTICS'!B3,"dd/mm/aaaa")&amp;""""</f>
        <v>"15/01/Thursday"</v>
      </c>
      <c r="F7" s="45" t="str">
        <f t="shared" ca="1" si="0"/>
        <v>"date" : "15/01/Thursday",</v>
      </c>
    </row>
    <row r="8" spans="2:6" x14ac:dyDescent="0.2">
      <c r="B8" s="43" t="s">
        <v>125</v>
      </c>
      <c r="C8" s="43" t="str">
        <f>""""&amp;'SCOUT &amp; LOGISTICS'!D4 &amp;""""</f>
        <v>"Paris Basketball"</v>
      </c>
      <c r="F8" s="45" t="str">
        <f t="shared" si="0"/>
        <v>"home_team" : "Paris Basketball",</v>
      </c>
    </row>
    <row r="9" spans="2:6" x14ac:dyDescent="0.2">
      <c r="B9" s="43" t="s">
        <v>126</v>
      </c>
      <c r="C9" s="43" t="str">
        <f>""""&amp;'SCOUT &amp; LOGISTICS'!D5&amp;""""</f>
        <v>"AS Monaco"</v>
      </c>
      <c r="F9" s="45" t="str">
        <f t="shared" si="0"/>
        <v>"away_team" : "AS Monaco",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22_214_PRS_MCO_E2025</v>
      </c>
      <c r="F52" s="45" t="str">
        <f>""""&amp;B52&amp;"""" &amp; " : " &amp;C52</f>
        <v>"result" : 22_214_PRS_MCO_E2025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E214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15/01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Paris Basketball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As Monaco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77A80B6-B0FF-4119-8C38-0646DC7F35CE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