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E3952E7-840E-489F-830B-3AB763902C7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<sst xmlns="http://schemas.openxmlformats.org/spreadsheetml/2006/main" count="3260" uniqueCount="761">
  <si>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</si>
  <si>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</si>
  <si>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</si>
  <si>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</si>
  <si>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</si>
  <si>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</si>
  <si>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</si>
  <si>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</si>
  <si>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</si>
  <si>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</si>
  <si>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</si>
  <si>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</si>
  <si>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</si>
  <si>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</si>
  <si>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</si>
  <si>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</si>
  <si>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</si>
  <si>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</si>
  <si>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</si>
  <si>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</si>
  <si>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</si>
  <si>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</si>
  <si>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</si>
  <si>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</si>
  <si>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</si>
  <si>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</si>
  <si>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</si>
  <si>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</si>
  <si>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</si>
  <si>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</si>
  <si>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</si>
  <si>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</si>
  <si>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</si>
  <si>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</si>
  <si>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</si>
  <si>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</si>
  <si>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</si>
  <si>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</si>
  <si>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</si>
  <si>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</si>
  <si>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</si>
  <si>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</si>
  <si>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</si>
  <si>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</si>
  <si>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</si>
  <si>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</si>
  <si>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</si>
  <si>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</si>
  <si>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</si>
  <si>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</si>
  <si>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</si>
  <si>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</si>
  <si>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</si>
  <si>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</si>
  <si>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</si>
  <si>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</si>
  <si>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</si>
  <si>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</si>
  <si>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</si>
  <si>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</si>
  <si>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</si>
  <si>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</si>
  <si>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</si>
  <si>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</si>
  <si>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</si>
  <si>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</si>
  <si>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</si>
  <si>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</si>
  <si>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</si>
  <si>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</si>
  <si>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</si>
  <si>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</si>
  <si>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</si>
  <si>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</si>
  <si>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</si>
  <si>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</si>
  <si>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</si>
  <si>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</si>
  <si>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</si>
  <si>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</si>
  <si>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</si>
  <si>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</si>
  <si>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</si>
  <si>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</si>
  <si>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</si>
  <si>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</si>
  <si>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</si>
  <si>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</si>
  <si>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</si>
  <si>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</si>
  <si>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</si>
  <si>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</si>
  <si>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</si>
  <si>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</si>
  <si>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</si>
  <si>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</si>
  <si>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</si>
  <si>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</si>
  <si>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</si>
  <si>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</si>
  <si>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</si>
  <si>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</si>
  <si>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</si>
  <si>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</si>
  <si>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</si>
  <si>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</si>
  <si>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</si>
  <si>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</si>
  <si>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</si>
  <si>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</si>
  <si>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</si>
  <si>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</si>
  <si>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</si>
  <si>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</si>
  <si>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</si>
  <si>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</si>
  <si>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</si>
  <si>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</si>
  <si>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</si>
  <si>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</si>
  <si>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</si>
  <si>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</si>
  <si>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</si>
  <si>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</si>
  <si>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</si>
  <si>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</si>
  <si>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</si>
  <si>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</si>
  <si>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</si>
  <si>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</si>
  <si>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</si>
  <si>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</si>
  <si>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</si>
  <si>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</si>
  <si>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</si>
  <si>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</si>
  <si>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</si>
  <si>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</si>
  <si>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</si>
  <si>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</si>
  <si>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</si>
  <si>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</si>
  <si>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</si>
  <si>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</si>
  <si>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</si>
  <si>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</si>
  <si>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</si>
  <si>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</si>
  <si>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</si>
  <si>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</si>
  <si>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</si>
  <si>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</si>
  <si>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</si>
  <si>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</si>
  <si>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</si>
  <si>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</si>
  <si>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</si>
  <si>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</si>
  <si>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</si>
  <si>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</si>
  <si>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</si>
  <si>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</si>
  <si>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</si>
  <si>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</si>
  <si>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</si>
  <si>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</si>
  <si>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</si>
  <si>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</si>
  <si>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</si>
  <si>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</si>
  <si>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</si>
  <si>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</si>
  <si>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</si>
  <si>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</si>
  <si>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</si>
  <si>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</si>
  <si>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</si>
  <si>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</si>
  <si>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</si>
  <si>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</si>
  <si>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</si>
  <si>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</si>
  <si>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</si>
  <si>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</si>
  <si>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</si>
  <si>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</si>
  <si>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</si>
  <si>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</si>
  <si>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</si>
  <si>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</si>
  <si>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</si>
  <si>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</si>
  <si>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</si>
  <si>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</si>
  <si>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</si>
  <si>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</si>
  <si>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</si>
  <si>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</si>
  <si>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</si>
  <si>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</si>
  <si>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</si>
  <si>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</si>
  <si>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</si>
  <si>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</si>
  <si>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</si>
  <si>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</si>
  <si>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</si>
  <si>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</si>
  <si>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</si>
  <si>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</si>
  <si>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</si>
  <si>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</si>
  <si>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</si>
  <si>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</si>
  <si>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</si>
  <si>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</si>
  <si>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</si>
  <si>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</si>
  <si>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</si>
  <si>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</si>
  <si>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</si>
  <si>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</si>
  <si>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</si>
  <si>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</si>
  <si>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</si>
  <si>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</si>
  <si>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</si>
  <si>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</si>
  <si>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</si>
  <si>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</si>
  <si>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</si>
  <si>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</si>
  <si>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</si>
  <si>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</si>
  <si>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</si>
  <si>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</si>
  <si>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</si>
  <si>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</si>
  <si>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</si>
  <si>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</si>
  <si>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</si>
  <si>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</si>
  <si>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</si>
  <si>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</si>
  <si>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</si>
  <si>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</si>
  <si>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</si>
  <si>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</si>
  <si>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</si>
  <si>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</si>
  <si>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</si>
  <si>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</si>
  <si>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</si>
  <si>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</si>
  <si>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</si>
  <si>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</si>
  <si>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</si>
  <si>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</si>
  <si>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</si>
  <si>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</si>
  <si>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</si>
  <si>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</si>
  <si>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</si>
  <si>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</si>
  <si>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</si>
  <si>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</si>
  <si>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</si>
  <si>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</si>
  <si>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</si>
  <si>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</si>
  <si>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</si>
  <si>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</si>
  <si>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</si>
  <si>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</si>
  <si>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</si>
  <si>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</si>
  <si>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</si>
  <si>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</si>
  <si>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</si>
  <si>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</si>
  <si>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</si>
  <si>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</si>
  <si>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</si>
  <si>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</si>
  <si>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</si>
  <si>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</si>
  <si>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</si>
  <si>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</si>
  <si>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</si>
  <si>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</si>
  <si>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</si>
  <si>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</si>
  <si>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</si>
  <si>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</si>
  <si>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</si>
  <si>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</si>
  <si>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</si>
  <si>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</si>
  <si>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</si>
  <si>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</si>
  <si>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</si>
  <si>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</si>
  <si>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</si>
  <si>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</si>
  <si>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</si>
  <si>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</si>
  <si>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</si>
  <si>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</si>
  <si>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</si>
  <si>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</si>
  <si>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</si>
  <si>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</si>
  <si>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</si>
  <si>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</si>
  <si>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</si>
  <si>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</si>
  <si>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</si>
  <si>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</si>
  <si>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</si>
  <si>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</si>
  <si>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</si>
  <si>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</si>
  <si>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</si>
  <si>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</si>
  <si>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</si>
  <si>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</si>
  <si>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</si>
  <si>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</si>
  <si>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</si>
  <si>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</si>
  <si>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</si>
  <si>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</si>
  <si>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</si>
  <si>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</si>
  <si>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</si>
  <si>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</si>
  <si>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</si>
  <si>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</si>
  <si>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</si>
  <si>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</si>
  <si>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</si>
  <si>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</si>
  <si>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</si>
  <si>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</si>
  <si>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</si>
  <si>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</si>
  <si>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</si>
  <si>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</si>
  <si>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</si>
  <si>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</si>
  <si>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</si>
  <si>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</si>
  <si>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</si>
  <si>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</si>
  <si>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</si>
  <si>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</si>
  <si>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</si>
  <si>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</si>
  <si>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</si>
  <si>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</si>
  <si>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</si>
  <si>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</si>
  <si>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</si>
  <si>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</si>
  <si>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</si>
  <si>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</si>
  <si>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</si>
  <si>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</si>
  <si>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</si>
  <si>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</si>
  <si>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</si>
  <si>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</si>
  <si>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</si>
  <si>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</si>
  <si>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</si>
  <si>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</si>
  <si>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</si>
  <si>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</si>
  <si>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</si>
  <si>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</si>
  <si>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</si>
  <si>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</si>
  <si>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</si>
  <si>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</si>
  <si>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</si>
  <si>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</si>
  <si>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</si>
  <si>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</si>
  <si>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</si>
  <si>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</si>
  <si>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</si>
  <si>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</si>
  <si>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</si>
  <si>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</si>
  <si>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</si>
  <si>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</si>
  <si>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</si>
  <si>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</si>
  <si>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</si>
  <si>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</si>
  <si>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</si>
  <si>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</si>
  <si>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</si>
  <si>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</si>
  <si>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</si>
  <si>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</si>
  <si>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</si>
  <si>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</si>
  <si>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</si>
  <si>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</si>
  <si>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</si>
  <si>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</si>
  <si>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</si>
  <si>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</si>
  <si>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</si>
  <si>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</si>
  <si>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</si>
  <si>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</si>
  <si>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</si>
  <si>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</si>
  <si>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</si>
  <si>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</si>
  <si>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</si>
  <si>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</si>
  <si>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</si>
  <si>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</si>
  <si>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</si>
  <si>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</si>
  <si>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</si>
  <si>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</si>
  <si>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</si>
  <si>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</si>
  <si>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</si>
  <si>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</si>
  <si>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</si>
  <si>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</si>
  <si>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</si>
  <si>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</si>
  <si>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</si>
  <si>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</si>
  <si>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</si>
  <si>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</si>
  <si>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</si>
  <si>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</si>
  <si>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</si>
  <si>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</si>
  <si>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</si>
  <si>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</si>
  <si>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</si>
  <si>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</si>
  <si>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</si>
  <si>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</si>
  <si>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</si>
  <si>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</si>
  <si>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</si>
  <si>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</si>
  <si>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</si>
  <si>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</si>
  <si>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</si>
  <si>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</si>
  <si>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</si>
  <si>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</si>
  <si>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</si>
  <si>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</si>
  <si>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</si>
  <si>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</si>
  <si>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</si>
  <si>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</si>
  <si>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</si>
  <si>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</si>
  <si>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</si>
  <si>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</si>
  <si>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</si>
  <si>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</si>
  <si>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</si>
  <si>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</si>
  <si>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</si>
  <si>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</si>
  <si>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</si>
  <si>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</si>
  <si>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</si>
  <si>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</si>
  <si>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</si>
  <si>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</si>
  <si>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</si>
  <si>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</si>
  <si>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</si>
  <si>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</si>
  <si>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</si>
  <si>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</si>
  <si>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</si>
  <si>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</si>
  <si>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</si>
  <si>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</si>
  <si>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</si>
  <si>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</si>
  <si>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</si>
  <si>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</si>
  <si>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</si>
  <si>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</si>
  <si>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</si>
  <si>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</si>
  <si>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</si>
  <si>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</si>
  <si>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</si>
  <si>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</si>
  <si>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</si>
  <si>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</si>
  <si>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</si>
  <si>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</si>
  <si>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</si>
  <si>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</si>
  <si>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</si>
  <si>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</si>
  <si>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</si>
  <si>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</si>
  <si>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</si>
  <si>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</si>
  <si>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</si>
  <si>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</si>
  <si>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</si>
  <si>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</si>
  <si>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</si>
  <si>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</si>
  <si>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</si>
  <si>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</si>
  <si>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</si>
  <si>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</si>
  <si>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</si>
  <si>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</si>
  <si>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</si>
  <si>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</si>
  <si>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</si>
  <si>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</si>
  <si>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</si>
  <si>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</si>
  <si>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</si>
  <si>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</si>
  <si>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</si>
  <si>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</si>
  <si>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</si>
  <si>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</si>
  <si>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</si>
  <si>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</si>
  <si>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</si>
  <si>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</si>
  <si>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</si>
  <si>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</si>
  <si>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</si>
  <si>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</si>
  <si>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</si>
  <si>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</si>
  <si>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</si>
  <si>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</si>
  <si>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</si>
  <si>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</si>
  <si>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</si>
  <si>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</si>
  <si>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</si>
  <si>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</si>
  <si>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</si>
  <si>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</si>
  <si>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</si>
  <si>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</si>
  <si>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</si>
  <si>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</si>
  <si>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</si>
  <si>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</si>
  <si>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</si>
  <si>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</si>
  <si>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</si>
  <si>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</si>
  <si>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</si>
  <si>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</si>
  <si>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</si>
  <si>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</si>
  <si>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</si>
  <si>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</si>
  <si>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</si>
  <si>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</si>
  <si>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</si>
  <si>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</si>
  <si>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</si>
  <si>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</si>
  <si>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</si>
  <si>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</si>
  <si>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</si>
  <si>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</si>
  <si>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</si>
  <si>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</si>
  <si>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</si>
  <si>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</si>
  <si>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</si>
  <si>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</si>
  <si>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</si>
  <si>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</si>
  <si>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</si>
  <si>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</si>
  <si>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</si>
  <si>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</si>
  <si>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</si>
  <si>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</si>
  <si>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</si>
  <si>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</si>
  <si>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</si>
  <si>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</si>
  <si>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</si>
  <si>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</si>
  <si>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</si>
  <si>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</si>
  <si>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</si>
  <si>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</si>
  <si>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</si>
  <si>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</si>
  <si>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</si>
  <si>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</si>
  <si>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</si>
  <si>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</si>
  <si>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</si>
  <si>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</si>
  <si>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</si>
  <si>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</si>
  <si>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</si>
  <si>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</si>
  <si>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</si>
  <si>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</si>
  <si>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</si>
  <si>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</si>
  <si>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</si>
  <si>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</si>
  <si>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</si>
  <si>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</si>
  <si>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</si>
  <si>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</si>
  <si>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</si>
  <si>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</si>
  <si>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</si>
  <si>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</si>
  <si>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</si>
  <si>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</si>
  <si>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</si>
  <si>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</si>
  <si>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</si>
  <si>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</si>
  <si>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</si>
  <si>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</si>
  <si>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</si>
  <si>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</si>
  <si>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</si>
  <si>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</si>
  <si>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</si>
  <si>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</si>
  <si>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</si>
  <si>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</si>
  <si>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</si>
  <si>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</si>
  <si>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</si>
  <si>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</si>
  <si>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</si>
  <si>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</si>
  <si>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</si>
  <si>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</si>
  <si>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</si>
  <si>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</si>
  <si>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</si>
  <si>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</si>
  <si>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</si>
  <si>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</si>
  <si>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</si>
  <si>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</si>
  <si>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</si>
  <si>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</si>
  <si>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</si>
  <si>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</si>
  <si>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</si>
  <si>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</si>
  <si>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</si>
  <si>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</si>
  <si>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</si>
  <si>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</si>
  <si>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</si>
  <si>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</si>
  <si>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</si>
  <si>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</si>
  <si>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</si>
  <si>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</si>
  <si>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</si>
  <si>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</si>
  <si>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</si>
  <si>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</si>
  <si>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</si>
  <si>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</si>
  <si>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</si>
  <si>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</si>
  <si>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</si>
  <si>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</si>
  <si>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</si>
  <si>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</si>
  <si>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</si>
  <si>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</si>
  <si>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</si>
  <si>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</si>
  <si>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</si>
  <si>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</si>
  <si>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</si>
  <si>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</si>
  <si>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</si>
  <si>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</si>
  <si>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</si>
  <si>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</si>
  <si>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</si>
  <si>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</si>
  <si>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</si>
  <si>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</si>
  <si>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</si>
  <si>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</si>
  <si>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</si>
  <si>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</si>
  <si>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</si>
  <si>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</si>
  <si>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</si>
  <si>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</si>
  <si>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</si>
  <si>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</si>
  <si>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</si>
  <si>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</si>
  <si>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</si>
  <si>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</si>
  <si>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</si>
  <si>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</si>
  <si>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</si>
  <si>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</si>
  <si>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</si>
  <si>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</si>
  <si>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</si>
  <si>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</si>
  <si>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</si>
  <si>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</si>
  <si>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</si>
  <si>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</si>
  <si>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</si>
  <si>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</si>
  <si>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</si>
  <si>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</si>
  <si>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</si>
  <si>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</si>
  <si>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</si>
  <si>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</si>
  <si>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</si>
  <si>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</si>
  <si>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DJAMEL SOUDANI</t>
  </si>
  <si>
    <t>PIERRE BERNARDO</t>
  </si>
  <si>
    <t>CHRISTIAN MOLLET</t>
  </si>
  <si>
    <t>BASTIEN BONNETON</t>
  </si>
  <si>
    <t>PATRICK JOLIVET</t>
  </si>
  <si>
    <t>BRIAN PETER</t>
  </si>
  <si>
    <t>5:51</t>
  </si>
  <si>
    <t>7:24</t>
  </si>
  <si>
    <t>8:33</t>
  </si>
  <si>
    <t>Excellent game guys. It was so tricky ;)</t>
  </si>
  <si>
    <t>OSCAR CUESTA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</si>
</sst>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7" sqref="D17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22_214_PRS_MCO_E2025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214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46037.864583333336</v>
      </c>
      <c r="C3" s="178"/>
      <c r="D3" s="39">
        <v>647</v>
      </c>
      <c r="E3" s="29"/>
      <c r="F3" s="26">
        <f>SUBTOTAL(3,I17:I106)</f>
        <v>3</v>
      </c>
      <c r="G3" s="27">
        <f>IF(OR(D3="",D3=0),"",F3/D3)</f>
        <v>4.6367851622874804E-3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Paris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4.6367851622874804E-3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0.46367851622874806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5.4636785162287484</v>
      </c>
      <c r="N7" s="58"/>
      <c r="O7" s="2"/>
      <c r="P7" s="2"/>
      <c r="Q7" s="86">
        <f>SUM(R5,S5,AC16)</f>
        <v>5.4636785162287484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5.4636785162287484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751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760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214</v>
      </c>
      <c r="D17" s="32" t="s">
        <v>756</v>
      </c>
      <c r="E17" s="33">
        <v>1</v>
      </c>
      <c r="F17" s="36">
        <v>13</v>
      </c>
      <c r="G17" s="36">
        <v>12</v>
      </c>
      <c r="H17" s="38" t="str">
        <f>IF(I17="","",$I$14)</f>
        <v>SCOUTING</v>
      </c>
      <c r="I17" s="34">
        <v>58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214</v>
      </c>
      <c r="D18" s="32" t="s">
        <v>757</v>
      </c>
      <c r="E18" s="33">
        <v>2</v>
      </c>
      <c r="F18" s="36">
        <v>27</v>
      </c>
      <c r="G18" s="36">
        <v>31</v>
      </c>
      <c r="H18" s="38" t="str">
        <f t="shared" ref="H18:H81" si="8">IF(I18="","",$I$14)</f>
        <v>SCOUTING</v>
      </c>
      <c r="I18" s="34">
        <v>184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214</v>
      </c>
      <c r="D19" s="32" t="s">
        <v>758</v>
      </c>
      <c r="E19" s="33">
        <v>3</v>
      </c>
      <c r="F19" s="36">
        <v>44</v>
      </c>
      <c r="G19" s="36">
        <v>56</v>
      </c>
      <c r="H19" s="38" t="str">
        <f t="shared" si="8"/>
        <v>SCOUTING</v>
      </c>
      <c r="I19" s="34">
        <v>340</v>
      </c>
      <c r="J19" s="13" t="s">
        <v>4</v>
      </c>
      <c r="K19" s="13" t="s">
        <v>63</v>
      </c>
      <c r="L19" s="13" t="s">
        <v>48</v>
      </c>
      <c r="M19" s="13" t="s">
        <v>26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REPORT_E2025214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"E2025214"</v>
      </c>
      <c r="F3" s="45" t="str">
        <f t="shared" ref="F3:F16" si="0">""""&amp;B3&amp;"""" &amp; " : " &amp;C3&amp;","</f>
        <v>"name" : "E2025214",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"E214"</v>
      </c>
      <c r="F4" s="45" t="str">
        <f t="shared" si="0"/>
        <v>"cod" : "E214",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214</v>
      </c>
      <c r="F6" s="45" t="str">
        <f t="shared" si="0"/>
        <v>"number" : 214,</v>
      </c>
    </row>
    <row r="7" spans="2:6" x14ac:dyDescent="0.25">
      <c r="B7" s="43" t="s">
        <v>116</v>
      </c>
      <c r="C7" s="43" t="str">
        <f ca="1">""""&amp;TEXT('SCOUT &amp; LOGISTICS'!B3,"dd/mm/aaaa")&amp;""""</f>
        <v>"15/01/2026"</v>
      </c>
      <c r="F7" s="45" t="str">
        <f t="shared" ca="1" si="0"/>
        <v>"date" : "15/01/2026",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"DJAMEL SOUDANI"</v>
      </c>
      <c r="F10" s="45" t="str">
        <f t="shared" si="0"/>
        <v>"Data_entry" : "DJAMEL SOUDANI",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"CHRISTIAN MOLLET"</v>
      </c>
      <c r="F11" s="45" t="str">
        <f t="shared" si="0"/>
        <v>"Caller_1" : "CHRISTIAN MOLLET",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"BASTIEN BONNETON"</v>
      </c>
      <c r="F12" s="45" t="str">
        <f t="shared" si="0"/>
        <v>"Caller_2" : "BASTIEN BONNETON",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"PIERRE BERNARDO"</v>
      </c>
      <c r="F13" s="45" t="str">
        <f t="shared" si="0"/>
        <v>"Timerkeeper" : "PIERRE BERNARDO",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"PATRICK JOLIVET"</v>
      </c>
      <c r="F14" s="45" t="str">
        <f t="shared" si="0"/>
        <v>"Shotclock" : "PATRICK JOLIVET",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"BRIAN PETER"</v>
      </c>
      <c r="F15" s="45" t="str">
        <f t="shared" si="0"/>
        <v>"IRS" : "BRIAN PETER",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647</v>
      </c>
      <c r="F25" s="45" t="str">
        <f t="shared" ref="F25:F48" si="1">""""&amp;C25&amp;"""" &amp; " : " &amp;D25&amp;","</f>
        <v>"total_actions" : 647,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game guys. It was so tricky ;)"</v>
      </c>
      <c r="F51" s="45" t="str">
        <f>""""&amp;B51&amp;"""" &amp; " : " &amp;C51&amp;","</f>
        <v>"comments" : "Excellent game guys. It was so tricky ;)",</v>
      </c>
    </row>
    <row r="52" spans="2:6" x14ac:dyDescent="0.25">
      <c r="B52" s="43" t="s">
        <v>153</v>
      </c>
      <c r="C52" s="43" t="str">
        <f>TEXT('SCOUT &amp; LOGISTICS'!F1,"0,0")</f>
        <v>22_214_PRS_MCO_E2025</v>
      </c>
      <c r="F52" s="45" t="str">
        <f>""""&amp;B52&amp;"""" &amp; " : " &amp;C52</f>
        <v>"result" : 22_214_PRS_MCO_E2025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E214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15/01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Paris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DJAMEL SOUDANI</v>
      </c>
      <c r="C8" s="201"/>
      <c r="D8" s="201"/>
      <c r="E8" s="201"/>
      <c r="F8" s="201"/>
      <c r="G8" s="201" t="str">
        <f>IF('SCOUT &amp; LOGISTICS'!D7="","",'SCOUT &amp; LOGISTICS'!D7)</f>
        <v>CHRISTIAN MOLLET</v>
      </c>
      <c r="H8" s="201"/>
      <c r="I8" s="201"/>
      <c r="J8" s="201"/>
      <c r="K8" s="201"/>
      <c r="L8" s="201" t="str">
        <f>IF('SCOUT &amp; LOGISTICS'!D8="","",'SCOUT &amp; LOGISTICS'!D8)</f>
        <v>BASTIEN BONNETON</v>
      </c>
      <c r="M8" s="201"/>
      <c r="N8" s="201"/>
      <c r="O8" s="201"/>
      <c r="P8" s="201"/>
      <c r="Q8" s="201" t="str">
        <f>IF('SCOUT &amp; LOGISTICS'!D9="","",'SCOUT &amp; LOGISTICS'!D9)</f>
        <v>PIERRE BERNARDO</v>
      </c>
      <c r="R8" s="201"/>
      <c r="S8" s="201"/>
      <c r="T8" s="201"/>
      <c r="U8" s="201"/>
      <c r="V8" s="201" t="str">
        <f>IF('SCOUT &amp; LOGISTICS'!D10="","",'SCOUT &amp; LOGISTICS'!D10)</f>
        <v>PATRICK JOLIVET</v>
      </c>
      <c r="W8" s="201"/>
      <c r="X8" s="201"/>
      <c r="Y8" s="201"/>
      <c r="Z8" s="201"/>
      <c r="AA8" s="201" t="str">
        <f>IF('SCOUT &amp; LOGISTICS'!D11="","",'SCOUT &amp; LOGISTICS'!D11)</f>
        <v>BRIAN PETER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647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4.6367851622874804E-3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Excellent game guys. It was so tricky ;)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5.4636785162287484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77A80B6-B0FF-4119-8C38-0646DC7F35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2026-01-16T21:32:53Z</cp:lastPrinted>
  <dcterms:created xsi:type="dcterms:W3CDTF">2023-09-19T19:50:35Z</dcterms:created>
  <dcterms:modified xsi:type="dcterms:W3CDTF">2026-01-19T10:34:00Z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