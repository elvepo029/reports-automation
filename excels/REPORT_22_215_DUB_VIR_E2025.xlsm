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58D41E5A-5CB7-4DFB-8C82-7CC14D188283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<sst xmlns="http://schemas.openxmlformats.org/spreadsheetml/2006/main" count="3275" uniqueCount="763">
  <si>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</si>
  <si>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</si>
  <si>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</si>
  <si>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</si>
  <si>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</si>
  <si>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</si>
  <si>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</si>
  <si>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</si>
  <si>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</si>
  <si>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</si>
  <si>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</si>
  <si>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</si>
  <si>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</si>
  <si>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</si>
  <si>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</si>
  <si>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</si>
  <si>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</si>
  <si>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</si>
  <si>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</si>
  <si>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</si>
  <si>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</si>
  <si>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</si>
  <si>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</si>
  <si>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</si>
  <si>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</si>
  <si>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</si>
  <si>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</si>
  <si>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</si>
  <si>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</si>
  <si>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</si>
  <si>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</si>
  <si>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</si>
  <si>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</si>
  <si>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</si>
  <si>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</si>
  <si>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</si>
  <si>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</si>
  <si>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</si>
  <si>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</si>
  <si>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</si>
  <si>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</si>
  <si>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</si>
  <si>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</si>
  <si>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</si>
  <si>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</si>
  <si>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</si>
  <si>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</si>
  <si>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</si>
  <si>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</si>
  <si>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</si>
  <si>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</si>
  <si>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</si>
  <si>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</si>
  <si>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</si>
  <si>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</si>
  <si>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</si>
  <si>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</si>
  <si>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</si>
  <si>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</si>
  <si>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</si>
  <si>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</si>
  <si>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</si>
  <si>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</si>
  <si>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</si>
  <si>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</si>
  <si>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</si>
  <si>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</si>
  <si>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</si>
  <si>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</si>
  <si>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</si>
  <si>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</si>
  <si>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</si>
  <si>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</si>
  <si>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</si>
  <si>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</si>
  <si>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</si>
  <si>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</si>
  <si>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</si>
  <si>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</si>
  <si>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</si>
  <si>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</si>
  <si>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</si>
  <si>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</si>
  <si>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</si>
  <si>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</si>
  <si>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</si>
  <si>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</si>
  <si>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</si>
  <si>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</si>
  <si>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</si>
  <si>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</si>
  <si>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</si>
  <si>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</si>
  <si>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</si>
  <si>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</si>
  <si>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</si>
  <si>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</si>
  <si>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</si>
  <si>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</si>
  <si>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</si>
  <si>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</si>
  <si>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</si>
  <si>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</si>
  <si>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</si>
  <si>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</si>
  <si>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</si>
  <si>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</si>
  <si>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</si>
  <si>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</si>
  <si>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</si>
  <si>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</si>
  <si>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</si>
  <si>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</si>
  <si>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</si>
  <si>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</si>
  <si>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</si>
  <si>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</si>
  <si>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</si>
  <si>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</si>
  <si>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</si>
  <si>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</si>
  <si>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</si>
  <si>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</si>
  <si>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</si>
  <si>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</si>
  <si>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</si>
  <si>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</si>
  <si>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</si>
  <si>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</si>
  <si>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</si>
  <si>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</si>
  <si>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</si>
  <si>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</si>
  <si>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</si>
  <si>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</si>
  <si>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</si>
  <si>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</si>
  <si>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</si>
  <si>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</si>
  <si>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</si>
  <si>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</si>
  <si>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</si>
  <si>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</si>
  <si>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</si>
  <si>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</si>
  <si>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</si>
  <si>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</si>
  <si>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</si>
  <si>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</si>
  <si>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</si>
  <si>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</si>
  <si>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</si>
  <si>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</si>
  <si>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</si>
  <si>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</si>
  <si>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</si>
  <si>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</si>
  <si>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</si>
  <si>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</si>
  <si>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</si>
  <si>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</si>
  <si>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</si>
  <si>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</si>
  <si>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</si>
  <si>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</si>
  <si>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</si>
  <si>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</si>
  <si>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</si>
  <si>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</si>
  <si>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</si>
  <si>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</si>
  <si>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</si>
  <si>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</si>
  <si>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</si>
  <si>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</si>
  <si>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</si>
  <si>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</si>
  <si>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</si>
  <si>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</si>
  <si>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</si>
  <si>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</si>
  <si>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</si>
  <si>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</si>
  <si>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</si>
  <si>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</si>
  <si>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</si>
  <si>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</si>
  <si>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</si>
  <si>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</si>
  <si>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</si>
  <si>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</si>
  <si>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</si>
  <si>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</si>
  <si>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</si>
  <si>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</si>
  <si>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</si>
  <si>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</si>
  <si>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</si>
  <si>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</si>
  <si>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</si>
  <si>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</si>
  <si>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</si>
  <si>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</si>
  <si>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</si>
  <si>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</si>
  <si>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</si>
  <si>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</si>
  <si>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</si>
  <si>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</si>
  <si>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</si>
  <si>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</si>
  <si>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</si>
  <si>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</si>
  <si>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</si>
  <si>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</si>
  <si>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</si>
  <si>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</si>
  <si>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</si>
  <si>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</si>
  <si>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</si>
  <si>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</si>
  <si>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</si>
  <si>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</si>
  <si>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</si>
  <si>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</si>
  <si>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</si>
  <si>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</si>
  <si>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</si>
  <si>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</si>
  <si>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</si>
  <si>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</si>
  <si>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</si>
  <si>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</si>
  <si>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</si>
  <si>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</si>
  <si>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</si>
  <si>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</si>
  <si>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</si>
  <si>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</si>
  <si>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</si>
  <si>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</si>
  <si>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</si>
  <si>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</si>
  <si>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</si>
  <si>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</si>
  <si>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</si>
  <si>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</si>
  <si>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</si>
  <si>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</si>
  <si>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</si>
  <si>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</si>
  <si>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</si>
  <si>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</si>
  <si>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</si>
  <si>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</si>
  <si>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</si>
  <si>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</si>
  <si>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</si>
  <si>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</si>
  <si>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</si>
  <si>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</si>
  <si>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</si>
  <si>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</si>
  <si>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</si>
  <si>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</si>
  <si>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</si>
  <si>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</si>
  <si>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</si>
  <si>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</si>
  <si>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</si>
  <si>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</si>
  <si>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</si>
  <si>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</si>
  <si>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</si>
  <si>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</si>
  <si>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</si>
  <si>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</si>
  <si>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</si>
  <si>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</si>
  <si>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</si>
  <si>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</si>
  <si>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</si>
  <si>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</si>
  <si>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</si>
  <si>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</si>
  <si>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</si>
  <si>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</si>
  <si>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</si>
  <si>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</si>
  <si>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</si>
  <si>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</si>
  <si>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</si>
  <si>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</si>
  <si>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</si>
  <si>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</si>
  <si>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</si>
  <si>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</si>
  <si>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</si>
  <si>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</si>
  <si>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</si>
  <si>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</si>
  <si>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</si>
  <si>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</si>
  <si>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</si>
  <si>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</si>
  <si>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</si>
  <si>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</si>
  <si>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</si>
  <si>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</si>
  <si>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</si>
  <si>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</si>
  <si>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</si>
  <si>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</si>
  <si>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</si>
  <si>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</si>
  <si>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</si>
  <si>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</si>
  <si>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</si>
  <si>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</si>
  <si>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</si>
  <si>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</si>
  <si>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</si>
  <si>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</si>
  <si>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</si>
  <si>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</si>
  <si>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</si>
  <si>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</si>
  <si>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</si>
  <si>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</si>
  <si>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</si>
  <si>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</si>
  <si>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</si>
  <si>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</si>
  <si>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</si>
  <si>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</si>
  <si>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</si>
  <si>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</si>
  <si>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</si>
  <si>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</si>
  <si>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</si>
  <si>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</si>
  <si>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</si>
  <si>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</si>
  <si>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</si>
  <si>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</si>
  <si>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</si>
  <si>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</si>
  <si>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</si>
  <si>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</si>
  <si>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</si>
  <si>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</si>
  <si>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</si>
  <si>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</si>
  <si>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</si>
  <si>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</si>
  <si>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</si>
  <si>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</si>
  <si>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</si>
  <si>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</si>
  <si>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</si>
  <si>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</si>
  <si>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</si>
  <si>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</si>
  <si>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</si>
  <si>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</si>
  <si>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</si>
  <si>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</si>
  <si>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</si>
  <si>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</si>
  <si>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</si>
  <si>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</si>
  <si>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</si>
  <si>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</si>
  <si>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</si>
  <si>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</si>
  <si>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</si>
  <si>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</si>
  <si>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</si>
  <si>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</si>
  <si>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</si>
  <si>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</si>
  <si>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</si>
  <si>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</si>
  <si>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</si>
  <si>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</si>
  <si>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</si>
  <si>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</si>
  <si>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</si>
  <si>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</si>
  <si>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</si>
  <si>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</si>
  <si>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</si>
  <si>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</si>
  <si>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</si>
  <si>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</si>
  <si>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</si>
  <si>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</si>
  <si>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</si>
  <si>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</si>
  <si>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</si>
  <si>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</si>
  <si>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</si>
  <si>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</si>
  <si>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</si>
  <si>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</si>
  <si>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</si>
  <si>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</si>
  <si>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</si>
  <si>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</si>
  <si>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</si>
  <si>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</si>
  <si>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</si>
  <si>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</si>
  <si>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</si>
  <si>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</si>
  <si>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</si>
  <si>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</si>
  <si>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</si>
  <si>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</si>
  <si>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</si>
  <si>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</si>
  <si>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</si>
  <si>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</si>
  <si>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</si>
  <si>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</si>
  <si>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</si>
  <si>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</si>
  <si>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</si>
  <si>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</si>
  <si>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</si>
  <si>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</si>
  <si>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</si>
  <si>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</si>
  <si>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</si>
  <si>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</si>
  <si>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</si>
  <si>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</si>
  <si>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</si>
  <si>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</si>
  <si>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</si>
  <si>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</si>
  <si>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</si>
  <si>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</si>
  <si>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</si>
  <si>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</si>
  <si>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</si>
  <si>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</si>
  <si>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</si>
  <si>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</si>
  <si>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</si>
  <si>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</si>
  <si>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</si>
  <si>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</si>
  <si>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</si>
  <si>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</si>
  <si>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</si>
  <si>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</si>
  <si>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</si>
  <si>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</si>
  <si>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</si>
  <si>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</si>
  <si>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</si>
  <si>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</si>
  <si>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</si>
  <si>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</si>
  <si>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</si>
  <si>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</si>
  <si>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</si>
  <si>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</si>
  <si>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</si>
  <si>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</si>
  <si>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</si>
  <si>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</si>
  <si>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</si>
  <si>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</si>
  <si>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</si>
  <si>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</si>
  <si>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</si>
  <si>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</si>
  <si>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</si>
  <si>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</si>
  <si>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</si>
  <si>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</si>
  <si>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</si>
  <si>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</si>
  <si>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</si>
  <si>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</si>
  <si>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</si>
  <si>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</si>
  <si>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</si>
  <si>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</si>
  <si>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</si>
  <si>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</si>
  <si>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</si>
  <si>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</si>
  <si>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</si>
  <si>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</si>
  <si>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</si>
  <si>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</si>
  <si>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</si>
  <si>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</si>
  <si>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</si>
  <si>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</si>
  <si>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</si>
  <si>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</si>
  <si>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</si>
  <si>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</si>
  <si>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</si>
  <si>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</si>
  <si>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</si>
  <si>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</si>
  <si>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</si>
  <si>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</si>
  <si>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</si>
  <si>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</si>
  <si>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</si>
  <si>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</si>
  <si>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</si>
  <si>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</si>
  <si>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</si>
  <si>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</si>
  <si>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</si>
  <si>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</si>
  <si>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</si>
  <si>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</si>
  <si>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</si>
  <si>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</si>
  <si>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</si>
  <si>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</si>
  <si>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</si>
  <si>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</si>
  <si>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</si>
  <si>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</si>
  <si>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</si>
  <si>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</si>
  <si>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</si>
  <si>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</si>
  <si>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</si>
  <si>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</si>
  <si>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</si>
  <si>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</si>
  <si>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</si>
  <si>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</si>
  <si>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</si>
  <si>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</si>
  <si>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</si>
  <si>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</si>
  <si>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</si>
  <si>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</si>
  <si>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</si>
  <si>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</si>
  <si>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</si>
  <si>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</si>
  <si>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</si>
  <si>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</si>
  <si>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</si>
  <si>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</si>
  <si>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</si>
  <si>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</si>
  <si>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</si>
  <si>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</si>
  <si>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</si>
  <si>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</si>
  <si>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</si>
  <si>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</si>
  <si>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</si>
  <si>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</si>
  <si>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</si>
  <si>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</si>
  <si>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</si>
  <si>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</si>
  <si>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</si>
  <si>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</si>
  <si>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</si>
  <si>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</si>
  <si>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</si>
  <si>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</si>
  <si>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</si>
  <si>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</si>
  <si>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</si>
  <si>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</si>
  <si>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</si>
  <si>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</si>
  <si>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</si>
  <si>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</si>
  <si>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</si>
  <si>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</si>
  <si>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</si>
  <si>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</si>
  <si>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</si>
  <si>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</si>
  <si>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</si>
  <si>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</si>
  <si>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</si>
  <si>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</si>
  <si>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</si>
  <si>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</si>
  <si>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</si>
  <si>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</si>
  <si>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</si>
  <si>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</si>
  <si>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</si>
  <si>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</si>
  <si>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</si>
  <si>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</si>
  <si>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</si>
  <si>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</si>
  <si>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</si>
  <si>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</si>
  <si>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</si>
  <si>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</si>
  <si>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</si>
  <si>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</si>
  <si>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</si>
  <si>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</si>
  <si>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</si>
  <si>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</si>
  <si>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</si>
  <si>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</si>
  <si>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</si>
  <si>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</si>
  <si>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</si>
  <si>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</si>
  <si>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</si>
  <si>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</si>
  <si>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</si>
  <si>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</si>
  <si>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</si>
  <si>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</si>
  <si>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</si>
  <si>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</si>
  <si>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</si>
  <si>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</si>
  <si>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</si>
  <si>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</si>
  <si>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</si>
  <si>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</si>
  <si>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</si>
  <si>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</si>
  <si>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</si>
  <si>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</si>
  <si>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</si>
  <si>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</si>
  <si>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</si>
  <si>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</si>
  <si>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</si>
  <si>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</si>
  <si>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</si>
  <si>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</si>
  <si>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</si>
  <si>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</si>
  <si>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</si>
  <si>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</si>
  <si>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</si>
  <si>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</si>
  <si>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</si>
  <si>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</si>
  <si>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</si>
  <si>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</si>
  <si>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</si>
  <si>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</si>
  <si>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</si>
  <si>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</si>
  <si>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</si>
  <si>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</si>
  <si>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</si>
  <si>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</si>
  <si>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</si>
  <si>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</si>
  <si>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</si>
  <si>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</si>
  <si>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</si>
  <si>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</si>
  <si>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</si>
  <si>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</si>
  <si>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</si>
  <si>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</si>
  <si>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</si>
  <si>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</si>
  <si>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</si>
  <si>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</si>
  <si>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</si>
  <si>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</si>
  <si>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</si>
  <si>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</si>
  <si>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</si>
  <si>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</si>
  <si>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</si>
  <si>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</si>
  <si>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</si>
  <si>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</si>
  <si>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</si>
  <si>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</si>
  <si>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</si>
  <si>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</si>
  <si>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</si>
  <si>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</si>
  <si>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</si>
  <si>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</si>
  <si>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</si>
  <si>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</si>
  <si>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</si>
  <si>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</si>
  <si>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</si>
  <si>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</si>
  <si>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</si>
  <si>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</si>
  <si>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</si>
  <si>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</si>
  <si>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</si>
  <si>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</si>
  <si>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</si>
  <si>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</si>
  <si>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</si>
  <si>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</si>
  <si>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</si>
  <si>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</si>
  <si>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</si>
  <si>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</si>
  <si>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</si>
  <si>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</si>
  <si>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</si>
  <si>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</si>
  <si>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</si>
  <si>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</si>
  <si>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</si>
  <si>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</si>
  <si>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</si>
  <si>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</si>
  <si>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</si>
  <si>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</si>
  <si>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</si>
  <si>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</si>
  <si>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</si>
  <si>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</si>
  <si>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</si>
  <si>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</si>
  <si>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</si>
  <si>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</si>
  <si>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</si>
  <si>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</si>
  <si>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</si>
  <si>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</si>
  <si>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</si>
  <si>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</si>
  <si>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</si>
  <si>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</si>
  <si>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</si>
  <si>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</si>
  <si>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</si>
  <si>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FRANCESC SENPAU</t>
  </si>
  <si>
    <t>MARKO LEPOVIC</t>
  </si>
  <si>
    <t>DANILO VESOVIC</t>
  </si>
  <si>
    <t>BILJANA KOSTRES</t>
  </si>
  <si>
    <t>IVANA KRSTIC</t>
  </si>
  <si>
    <t>OSCAR CUESTA</t>
  </si>
  <si>
    <t>8.26</t>
  </si>
  <si>
    <t>1:01</t>
  </si>
  <si>
    <t>4:29</t>
  </si>
  <si>
    <t>7:02</t>
  </si>
  <si>
    <t>3:21</t>
  </si>
  <si>
    <t>0:42</t>
  </si>
  <si>
    <t>Solid match. Just to have the best communication: if you know you're going to fix any line on your own, please lt us know inmediately, specially on fouls or points, so we can be ready to inform or wait ;) Thanks for your work and mood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</si>
</sst>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22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22_215_DUB_VIR_E2025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215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46037.833333333336</v>
      </c>
      <c r="C3" s="157"/>
      <c r="D3" s="39">
        <v>590</v>
      </c>
      <c r="E3" s="29"/>
      <c r="F3" s="26">
        <f>SUBTOTAL(3,I17:I106)</f>
        <v>6</v>
      </c>
      <c r="G3" s="27">
        <f>IF(OR(D3="",D3=0),"",F3/D3)</f>
        <v>1.0169491525423728E-2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1.0169491525423728E-2</v>
      </c>
      <c r="S4" s="61">
        <f>SUM(I13:M13)</f>
        <v>1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Virtus Bologna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1.0169491525423728</v>
      </c>
      <c r="S5" s="70">
        <f t="shared" ref="S5" si="0">S4*S3</f>
        <v>1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752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9.5169491525423737</v>
      </c>
      <c r="N7" s="58"/>
      <c r="O7" s="2"/>
      <c r="P7" s="2"/>
      <c r="Q7" s="86">
        <f>SUM(R5,S5,AC16)</f>
        <v>9.5169491525423737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750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9.5169491525423737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744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215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7.5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215</v>
      </c>
      <c r="D17" s="32" t="s">
        <v>756</v>
      </c>
      <c r="E17" s="33">
        <v>2</v>
      </c>
      <c r="F17" s="36">
        <v>23</v>
      </c>
      <c r="G17" s="36">
        <v>25</v>
      </c>
      <c r="H17" s="38" t="str">
        <f>IF(I17="","",$I$14)</f>
        <v>SCOUTING</v>
      </c>
      <c r="I17" s="34">
        <v>138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215</v>
      </c>
      <c r="D18" s="32" t="s">
        <v>757</v>
      </c>
      <c r="E18" s="33">
        <v>2</v>
      </c>
      <c r="F18" s="36">
        <v>35</v>
      </c>
      <c r="G18" s="36">
        <v>38</v>
      </c>
      <c r="H18" s="38" t="str">
        <f t="shared" ref="H18:H81" si="8">IF(I18="","",$I$14)</f>
        <v>SCOUTING</v>
      </c>
      <c r="I18" s="34">
        <v>252</v>
      </c>
      <c r="J18" s="13" t="s">
        <v>4</v>
      </c>
      <c r="K18" s="13" t="s">
        <v>62</v>
      </c>
      <c r="L18" s="13" t="s">
        <v>7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>E2025</v>
      </c>
      <c r="C19" s="31">
        <f t="shared" si="3"/>
        <v>215</v>
      </c>
      <c r="D19" s="32" t="s">
        <v>758</v>
      </c>
      <c r="E19" s="33">
        <v>3</v>
      </c>
      <c r="F19" s="36">
        <v>29</v>
      </c>
      <c r="G19" s="36">
        <v>34</v>
      </c>
      <c r="H19" s="38" t="str">
        <f t="shared" si="8"/>
        <v>SCOUTING</v>
      </c>
      <c r="I19" s="34">
        <v>211</v>
      </c>
      <c r="J19" s="13" t="s">
        <v>4</v>
      </c>
      <c r="K19" s="13" t="s">
        <v>63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>E2025</v>
      </c>
      <c r="C20" s="31">
        <f t="shared" si="3"/>
        <v>215</v>
      </c>
      <c r="D20" s="32" t="s">
        <v>759</v>
      </c>
      <c r="E20" s="33">
        <v>3</v>
      </c>
      <c r="F20" s="36">
        <v>39</v>
      </c>
      <c r="G20" s="36">
        <v>44</v>
      </c>
      <c r="H20" s="38" t="str">
        <f t="shared" si="8"/>
        <v>SCOUTING</v>
      </c>
      <c r="I20" s="34">
        <v>315</v>
      </c>
      <c r="J20" s="13" t="s">
        <v>4</v>
      </c>
      <c r="K20" s="13" t="s">
        <v>62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>E2025</v>
      </c>
      <c r="C21" s="31">
        <f t="shared" si="3"/>
        <v>215</v>
      </c>
      <c r="D21" s="32" t="s">
        <v>760</v>
      </c>
      <c r="E21" s="33">
        <v>3</v>
      </c>
      <c r="F21" s="36">
        <v>41</v>
      </c>
      <c r="G21" s="36">
        <v>50</v>
      </c>
      <c r="H21" s="38" t="str">
        <f t="shared" si="8"/>
        <v>SCOUTING</v>
      </c>
      <c r="I21" s="34">
        <v>384</v>
      </c>
      <c r="J21" s="13" t="s">
        <v>4</v>
      </c>
      <c r="K21" s="13" t="s">
        <v>63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>E2025</v>
      </c>
      <c r="C22" s="31">
        <f t="shared" si="3"/>
        <v>215</v>
      </c>
      <c r="D22" s="32" t="s">
        <v>761</v>
      </c>
      <c r="E22" s="33">
        <v>4</v>
      </c>
      <c r="F22" s="36">
        <v>72</v>
      </c>
      <c r="G22" s="36">
        <v>76</v>
      </c>
      <c r="H22" s="38" t="str">
        <f t="shared" si="8"/>
        <v>SCOUTING</v>
      </c>
      <c r="I22" s="34">
        <v>568</v>
      </c>
      <c r="J22" s="13" t="s">
        <v>4</v>
      </c>
      <c r="K22" s="13" t="s">
        <v>63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REPORT_E2025215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"E2025215"</v>
      </c>
      <c r="F3" s="45" t="str">
        <f t="shared" ref="F3:F16" si="0">""""&amp;B3&amp;"""" &amp; " : " &amp;C3&amp;","</f>
        <v>"name" : "E2025215",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"E215"</v>
      </c>
      <c r="F4" s="45" t="str">
        <f t="shared" si="0"/>
        <v>"cod" : "E215",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215</v>
      </c>
      <c r="F6" s="45" t="str">
        <f t="shared" si="0"/>
        <v>"number" : 215,</v>
      </c>
    </row>
    <row r="7" spans="2:6" x14ac:dyDescent="0.25">
      <c r="B7" s="43" t="s">
        <v>116</v>
      </c>
      <c r="C7" s="43" t="str">
        <f ca="1">""""&amp;TEXT('SCOUT &amp; LOGISTICS'!B3,"dd/mm/aaaa")&amp;""""</f>
        <v>"15/01/2026"</v>
      </c>
      <c r="F7" s="45" t="str">
        <f t="shared" ca="1" si="0"/>
        <v>"date" : "15/01/2026",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SENPAU"</v>
      </c>
      <c r="F12" s="45" t="str">
        <f t="shared" si="0"/>
        <v>"Caller_2" : "FRANCESC SENPAU",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"BILJANA KOSTRES"</v>
      </c>
      <c r="F13" s="45" t="str">
        <f t="shared" si="0"/>
        <v>"Timerkeeper" : "BILJANA KOSTRES",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"IVANA KRSTIC"</v>
      </c>
      <c r="F14" s="45" t="str">
        <f t="shared" si="0"/>
        <v>"Shotclock" : "IVANA KRSTIC",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590</v>
      </c>
      <c r="F25" s="45" t="str">
        <f t="shared" ref="F25:F48" si="1">""""&amp;C25&amp;"""" &amp; " : " &amp;D25&amp;","</f>
        <v>"total_actions" : 590,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"1,0%"</v>
      </c>
      <c r="F27" s="45" t="str">
        <f t="shared" si="1"/>
        <v>"%_corrections" : "1,0%",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"Solid match. Just to have the best communication: if you know you're going to fix any line on your own, please lt us know inmediately, specially on fouls or points, so we can be ready to inform or wait ;) Thanks for your work and mood"</v>
      </c>
      <c r="F51" s="45" t="str">
        <f>""""&amp;B51&amp;"""" &amp; " : " &amp;C51&amp;","</f>
        <v>"comments" : "Solid match. Just to have the best communication: if you know you're going to fix any line on your own, please lt us know inmediately, specially on fouls or points, so we can be ready to inform or wait ;) Thanks for your work and mood",</v>
      </c>
    </row>
    <row r="52" spans="2:6" x14ac:dyDescent="0.25">
      <c r="B52" s="43" t="s">
        <v>153</v>
      </c>
      <c r="C52" s="43" t="str">
        <f>TEXT('SCOUT &amp; LOGISTICS'!F1,"0,0")</f>
        <v>22_215_DUB_VIR_E2025</v>
      </c>
      <c r="F52" s="45" t="str">
        <f>""""&amp;B52&amp;"""" &amp; " : " &amp;C52</f>
        <v>"result" : 22_215_DUB_VIR_E2025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E215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15/01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Virtus Bologna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</v>
      </c>
      <c r="M8" s="206"/>
      <c r="N8" s="206"/>
      <c r="O8" s="206"/>
      <c r="P8" s="206"/>
      <c r="Q8" s="206" t="str">
        <f>IF('SCOUT &amp; LOGISTICS'!D9="","",'SCOUT &amp; LOGISTICS'!D9)</f>
        <v>BILJANA KOSTRES</v>
      </c>
      <c r="R8" s="206"/>
      <c r="S8" s="206"/>
      <c r="T8" s="206"/>
      <c r="U8" s="206"/>
      <c r="V8" s="206" t="str">
        <f>IF('SCOUT &amp; LOGISTICS'!D10="","",'SCOUT &amp; LOGISTICS'!D10)</f>
        <v>IVANA KRSTIC</v>
      </c>
      <c r="W8" s="206"/>
      <c r="X8" s="206"/>
      <c r="Y8" s="206"/>
      <c r="Z8" s="206"/>
      <c r="AA8" s="206" t="str">
        <f>IF('SCOUT &amp; LOGISTICS'!D11="","",'SCOUT &amp; LOGISTICS'!D11)</f>
        <v>ANA KRSTIC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590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1.0169491525423728E-2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Solid match. Just to have the best communication: if you know you're going to fix any line on your own, please lt us know inmediately, specially on fouls or points, so we can be ready to inform or wait ;) Thanks for your work and mood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9.5169491525423737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2FAA356-6FC1-422D-AD41-0E7162270A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2026-01-15T18:31:58Z</cp:lastPrinted>
  <dcterms:created xsi:type="dcterms:W3CDTF">2023-09-19T19:50:35Z</dcterms:created>
  <dcterms:modified xsi:type="dcterms:W3CDTF">2026-01-15T18:32:02Z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