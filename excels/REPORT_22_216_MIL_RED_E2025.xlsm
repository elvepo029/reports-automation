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E5EB66DD-AA93-49E8-B9F5-12C036ADB869}" xr6:coauthVersionLast="47" xr6:coauthVersionMax="47" xr10:uidLastSave="{58894B1F-CFCF-4217-82F8-E213B42C501C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<sst xmlns="http://schemas.openxmlformats.org/spreadsheetml/2006/main" count="3260" uniqueCount="762">
  <si>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</si>
  <si>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</si>
  <si>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</si>
  <si>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</si>
  <si>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</si>
  <si>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</si>
  <si>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</si>
  <si>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</si>
  <si>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</si>
  <si>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</si>
  <si>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</si>
  <si>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</si>
  <si>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</si>
  <si>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</si>
  <si>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</si>
  <si>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</si>
  <si>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</si>
  <si>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</si>
  <si>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</si>
  <si>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</si>
  <si>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</si>
  <si>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</si>
  <si>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</si>
  <si>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</si>
  <si>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</si>
  <si>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</si>
  <si>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</si>
  <si>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</si>
  <si>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</si>
  <si>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</si>
  <si>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</si>
  <si>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</si>
  <si>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</si>
  <si>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</si>
  <si>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</si>
  <si>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</si>
  <si>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</si>
  <si>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</si>
  <si>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</si>
  <si>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</si>
  <si>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</si>
  <si>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</si>
  <si>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</si>
  <si>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</si>
  <si>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</si>
  <si>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</si>
  <si>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</si>
  <si>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</si>
  <si>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</si>
  <si>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</si>
  <si>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</si>
  <si>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</si>
  <si>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</si>
  <si>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</si>
  <si>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</si>
  <si>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</si>
  <si>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</si>
  <si>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</si>
  <si>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</si>
  <si>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</si>
  <si>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</si>
  <si>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</si>
  <si>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</si>
  <si>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</si>
  <si>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</si>
  <si>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</si>
  <si>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</si>
  <si>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</si>
  <si>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</si>
  <si>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</si>
  <si>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</si>
  <si>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</si>
  <si>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</si>
  <si>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</si>
  <si>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</si>
  <si>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</si>
  <si>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</si>
  <si>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</si>
  <si>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</si>
  <si>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</si>
  <si>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</si>
  <si>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</si>
  <si>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</si>
  <si>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</si>
  <si>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</si>
  <si>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</si>
  <si>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</si>
  <si>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</si>
  <si>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</si>
  <si>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</si>
  <si>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</si>
  <si>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</si>
  <si>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</si>
  <si>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</si>
  <si>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</si>
  <si>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</si>
  <si>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</si>
  <si>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</si>
  <si>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</si>
  <si>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</si>
  <si>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</si>
  <si>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</si>
  <si>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</si>
  <si>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</si>
  <si>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</si>
  <si>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</si>
  <si>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</si>
  <si>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</si>
  <si>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</si>
  <si>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</si>
  <si>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</si>
  <si>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</si>
  <si>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</si>
  <si>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</si>
  <si>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</si>
  <si>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</si>
  <si>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</si>
  <si>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</si>
  <si>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</si>
  <si>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</si>
  <si>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</si>
  <si>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</si>
  <si>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</si>
  <si>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</si>
  <si>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</si>
  <si>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</si>
  <si>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</si>
  <si>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</si>
  <si>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</si>
  <si>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</si>
  <si>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</si>
  <si>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</si>
  <si>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</si>
  <si>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</si>
  <si>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</si>
  <si>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</si>
  <si>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</si>
  <si>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</si>
  <si>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</si>
  <si>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</si>
  <si>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</si>
  <si>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</si>
  <si>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</si>
  <si>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</si>
  <si>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</si>
  <si>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</si>
  <si>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</si>
  <si>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</si>
  <si>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</si>
  <si>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</si>
  <si>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</si>
  <si>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</si>
  <si>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</si>
  <si>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</si>
  <si>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</si>
  <si>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</si>
  <si>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</si>
  <si>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</si>
  <si>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</si>
  <si>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</si>
  <si>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</si>
  <si>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</si>
  <si>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</si>
  <si>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</si>
  <si>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</si>
  <si>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</si>
  <si>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</si>
  <si>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</si>
  <si>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</si>
  <si>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</si>
  <si>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</si>
  <si>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</si>
  <si>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</si>
  <si>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</si>
  <si>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</si>
  <si>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</si>
  <si>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</si>
  <si>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</si>
  <si>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</si>
  <si>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</si>
  <si>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</si>
  <si>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</si>
  <si>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</si>
  <si>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</si>
  <si>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</si>
  <si>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</si>
  <si>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</si>
  <si>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</si>
  <si>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</si>
  <si>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</si>
  <si>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</si>
  <si>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</si>
  <si>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</si>
  <si>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</si>
  <si>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</si>
  <si>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</si>
  <si>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</si>
  <si>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</si>
  <si>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</si>
  <si>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</si>
  <si>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</si>
  <si>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</si>
  <si>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</si>
  <si>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</si>
  <si>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</si>
  <si>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</si>
  <si>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</si>
  <si>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</si>
  <si>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</si>
  <si>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</si>
  <si>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</si>
  <si>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</si>
  <si>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</si>
  <si>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</si>
  <si>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</si>
  <si>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</si>
  <si>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</si>
  <si>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</si>
  <si>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</si>
  <si>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</si>
  <si>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</si>
  <si>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</si>
  <si>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</si>
  <si>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</si>
  <si>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</si>
  <si>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</si>
  <si>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</si>
  <si>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</si>
  <si>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</si>
  <si>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</si>
  <si>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</si>
  <si>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</si>
  <si>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</si>
  <si>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</si>
  <si>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</si>
  <si>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</si>
  <si>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</si>
  <si>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</si>
  <si>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</si>
  <si>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</si>
  <si>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</si>
  <si>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</si>
  <si>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</si>
  <si>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</si>
  <si>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</si>
  <si>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</si>
  <si>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</si>
  <si>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</si>
  <si>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</si>
  <si>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</si>
  <si>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</si>
  <si>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</si>
  <si>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</si>
  <si>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</si>
  <si>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</si>
  <si>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</si>
  <si>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</si>
  <si>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</si>
  <si>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</si>
  <si>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</si>
  <si>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</si>
  <si>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</si>
  <si>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</si>
  <si>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</si>
  <si>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</si>
  <si>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</si>
  <si>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</si>
  <si>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</si>
  <si>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</si>
  <si>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</si>
  <si>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</si>
  <si>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</si>
  <si>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</si>
  <si>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</si>
  <si>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</si>
  <si>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</si>
  <si>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</si>
  <si>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</si>
  <si>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</si>
  <si>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</si>
  <si>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</si>
  <si>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</si>
  <si>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</si>
  <si>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</si>
  <si>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</si>
  <si>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</si>
  <si>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</si>
  <si>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</si>
  <si>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</si>
  <si>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</si>
  <si>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</si>
  <si>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</si>
  <si>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</si>
  <si>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</si>
  <si>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</si>
  <si>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</si>
  <si>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</si>
  <si>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</si>
  <si>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</si>
  <si>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</si>
  <si>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</si>
  <si>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</si>
  <si>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</si>
  <si>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</si>
  <si>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</si>
  <si>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</si>
  <si>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</si>
  <si>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</si>
  <si>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</si>
  <si>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</si>
  <si>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</si>
  <si>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</si>
  <si>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</si>
  <si>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</si>
  <si>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</si>
  <si>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</si>
  <si>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</si>
  <si>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</si>
  <si>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</si>
  <si>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</si>
  <si>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</si>
  <si>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</si>
  <si>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</si>
  <si>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</si>
  <si>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</si>
  <si>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</si>
  <si>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</si>
  <si>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</si>
  <si>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</si>
  <si>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</si>
  <si>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</si>
  <si>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</si>
  <si>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</si>
  <si>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</si>
  <si>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</si>
  <si>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</si>
  <si>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</si>
  <si>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</si>
  <si>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</si>
  <si>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</si>
  <si>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</si>
  <si>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</si>
  <si>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</si>
  <si>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</si>
  <si>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</si>
  <si>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</si>
  <si>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</si>
  <si>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</si>
  <si>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</si>
  <si>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</si>
  <si>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</si>
  <si>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</si>
  <si>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</si>
  <si>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</si>
  <si>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</si>
  <si>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</si>
  <si>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</si>
  <si>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</si>
  <si>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</si>
  <si>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</si>
  <si>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</si>
  <si>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</si>
  <si>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</si>
  <si>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</si>
  <si>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</si>
  <si>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</si>
  <si>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</si>
  <si>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</si>
  <si>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</si>
  <si>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</si>
  <si>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</si>
  <si>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</si>
  <si>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</si>
  <si>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</si>
  <si>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</si>
  <si>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</si>
  <si>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</si>
  <si>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</si>
  <si>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</si>
  <si>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</si>
  <si>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</si>
  <si>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</si>
  <si>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</si>
  <si>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</si>
  <si>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</si>
  <si>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</si>
  <si>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</si>
  <si>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</si>
  <si>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</si>
  <si>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</si>
  <si>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</si>
  <si>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</si>
  <si>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</si>
  <si>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</si>
  <si>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</si>
  <si>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</si>
  <si>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</si>
  <si>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</si>
  <si>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</si>
  <si>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</si>
  <si>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</si>
  <si>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</si>
  <si>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</si>
  <si>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</si>
  <si>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</si>
  <si>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</si>
  <si>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</si>
  <si>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</si>
  <si>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</si>
  <si>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</si>
  <si>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</si>
  <si>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</si>
  <si>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</si>
  <si>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</si>
  <si>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</si>
  <si>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</si>
  <si>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</si>
  <si>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</si>
  <si>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</si>
  <si>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</si>
  <si>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</si>
  <si>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</si>
  <si>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</si>
  <si>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</si>
  <si>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</si>
  <si>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</si>
  <si>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</si>
  <si>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</si>
  <si>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</si>
  <si>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</si>
  <si>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</si>
  <si>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</si>
  <si>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</si>
  <si>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</si>
  <si>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</si>
  <si>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</si>
  <si>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</si>
  <si>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</si>
  <si>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</si>
  <si>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</si>
  <si>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</si>
  <si>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</si>
  <si>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</si>
  <si>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</si>
  <si>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</si>
  <si>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</si>
  <si>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</si>
  <si>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</si>
  <si>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</si>
  <si>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</si>
  <si>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</si>
  <si>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</si>
  <si>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</si>
  <si>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</si>
  <si>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</si>
  <si>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</si>
  <si>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</si>
  <si>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</si>
  <si>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</si>
  <si>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</si>
  <si>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</si>
  <si>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</si>
  <si>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</si>
  <si>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</si>
  <si>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</si>
  <si>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</si>
  <si>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</si>
  <si>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</si>
  <si>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</si>
  <si>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</si>
  <si>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</si>
  <si>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</si>
  <si>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</si>
  <si>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</si>
  <si>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</si>
  <si>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</si>
  <si>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</si>
  <si>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</si>
  <si>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</si>
  <si>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</si>
  <si>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</si>
  <si>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</si>
  <si>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</si>
  <si>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</si>
  <si>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</si>
  <si>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</si>
  <si>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</si>
  <si>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</si>
  <si>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</si>
  <si>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</si>
  <si>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</si>
  <si>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</si>
  <si>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</si>
  <si>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</si>
  <si>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</si>
  <si>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</si>
  <si>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</si>
  <si>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</si>
  <si>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</si>
  <si>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</si>
  <si>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</si>
  <si>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</si>
  <si>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</si>
  <si>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</si>
  <si>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</si>
  <si>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</si>
  <si>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</si>
  <si>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</si>
  <si>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</si>
  <si>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</si>
  <si>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</si>
  <si>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</si>
  <si>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</si>
  <si>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</si>
  <si>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</si>
  <si>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</si>
  <si>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</si>
  <si>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</si>
  <si>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</si>
  <si>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</si>
  <si>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</si>
  <si>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</si>
  <si>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</si>
  <si>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</si>
  <si>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</si>
  <si>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</si>
  <si>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</si>
  <si>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</si>
  <si>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</si>
  <si>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</si>
  <si>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</si>
  <si>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</si>
  <si>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</si>
  <si>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</si>
  <si>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</si>
  <si>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</si>
  <si>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</si>
  <si>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</si>
  <si>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</si>
  <si>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</si>
  <si>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</si>
  <si>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</si>
  <si>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</si>
  <si>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</si>
  <si>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</si>
  <si>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</si>
  <si>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</si>
  <si>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</si>
  <si>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</si>
  <si>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</si>
  <si>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</si>
  <si>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</si>
  <si>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</si>
  <si>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</si>
  <si>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</si>
  <si>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</si>
  <si>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</si>
  <si>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</si>
  <si>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</si>
  <si>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</si>
  <si>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</si>
  <si>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</si>
  <si>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</si>
  <si>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</si>
  <si>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</si>
  <si>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</si>
  <si>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</si>
  <si>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</si>
  <si>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</si>
  <si>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</si>
  <si>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</si>
  <si>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</si>
  <si>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</si>
  <si>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</si>
  <si>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</si>
  <si>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</si>
  <si>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</si>
  <si>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</si>
  <si>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</si>
  <si>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</si>
  <si>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</si>
  <si>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</si>
  <si>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</si>
  <si>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</si>
  <si>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</si>
  <si>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</si>
  <si>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</si>
  <si>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</si>
  <si>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</si>
  <si>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</si>
  <si>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</si>
  <si>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</si>
  <si>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</si>
  <si>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</si>
  <si>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</si>
  <si>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</si>
  <si>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</si>
  <si>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</si>
  <si>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</si>
  <si>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</si>
  <si>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</si>
  <si>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</si>
  <si>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</si>
  <si>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</si>
  <si>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</si>
  <si>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</si>
  <si>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</si>
  <si>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</si>
  <si>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</si>
  <si>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</si>
  <si>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</si>
  <si>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</si>
  <si>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</si>
  <si>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</si>
  <si>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</si>
  <si>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</si>
  <si>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</si>
  <si>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</si>
  <si>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</si>
  <si>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</si>
  <si>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</si>
  <si>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</si>
  <si>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</si>
  <si>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</si>
  <si>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</si>
  <si>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</si>
  <si>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</si>
  <si>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</si>
  <si>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</si>
  <si>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</si>
  <si>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</si>
  <si>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</si>
  <si>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</si>
  <si>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</si>
  <si>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</si>
  <si>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</si>
  <si>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</si>
  <si>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</si>
  <si>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</si>
  <si>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</si>
  <si>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</si>
  <si>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</si>
  <si>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</si>
  <si>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</si>
  <si>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</si>
  <si>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</si>
  <si>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</si>
  <si>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</si>
  <si>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</si>
  <si>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</si>
  <si>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</si>
  <si>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</si>
  <si>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</si>
  <si>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</si>
  <si>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</si>
  <si>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</si>
  <si>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</si>
  <si>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</si>
  <si>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</si>
  <si>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</si>
  <si>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</si>
  <si>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</si>
  <si>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</si>
  <si>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</si>
  <si>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</si>
  <si>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</si>
  <si>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</si>
  <si>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</si>
  <si>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</si>
  <si>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</si>
  <si>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</si>
  <si>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</si>
  <si>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</si>
  <si>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</si>
  <si>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</si>
  <si>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</si>
  <si>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</si>
  <si>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</si>
  <si>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</si>
  <si>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</si>
  <si>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</si>
  <si>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</si>
  <si>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</si>
  <si>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</si>
  <si>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</si>
  <si>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</si>
  <si>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</si>
  <si>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</si>
  <si>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</si>
  <si>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</si>
  <si>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</si>
  <si>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</si>
  <si>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</si>
  <si>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</si>
  <si>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</si>
  <si>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</si>
  <si>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</si>
  <si>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</si>
  <si>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</si>
  <si>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</si>
  <si>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</si>
  <si>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</si>
  <si>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</si>
  <si>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</si>
  <si>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</si>
  <si>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</si>
  <si>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</si>
  <si>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</si>
  <si>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</si>
  <si>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</si>
  <si>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</si>
  <si>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</si>
  <si>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</si>
  <si>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</si>
  <si>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</si>
  <si>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</si>
  <si>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</si>
  <si>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</si>
  <si>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</si>
  <si>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</si>
  <si>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</si>
  <si>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</si>
  <si>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</si>
  <si>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</si>
  <si>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</si>
  <si>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</si>
  <si>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</si>
  <si>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</si>
  <si>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</si>
  <si>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</si>
  <si>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</si>
  <si>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</si>
  <si>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</si>
  <si>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</si>
  <si>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</si>
  <si>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</si>
  <si>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</si>
  <si>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</si>
  <si>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</si>
  <si>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</si>
  <si>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</si>
  <si>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</si>
  <si>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</si>
  <si>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</si>
  <si>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</si>
  <si>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</si>
  <si>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</si>
  <si>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</si>
  <si>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</si>
  <si>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</si>
  <si>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</si>
  <si>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ALESSANDRO ZUCCA</t>
  </si>
  <si>
    <t>PAOLO NORBERTO ZANDALINI</t>
  </si>
  <si>
    <t>SAMUELE CATALLO</t>
  </si>
  <si>
    <t>SIMONA PANFILI</t>
  </si>
  <si>
    <t>CINZIA COZZI</t>
  </si>
  <si>
    <t>ENRICO ROSTI</t>
  </si>
  <si>
    <t>00:21</t>
  </si>
  <si>
    <t>06:32</t>
  </si>
  <si>
    <t>03:52</t>
  </si>
  <si>
    <t>Very good job. In the play I asked you to review with the IRS, you reviewed the previous play. Also remember that when a player, in a rebounding situation, intentionally throws the ball at an opponent to force an out-of-bounds, the rebound is awarded to that player.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</si>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</sst>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22_216_MIL_RED_E2025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46037.854166666664</v>
      </c>
      <c r="C3" s="178"/>
      <c r="D3" s="39">
        <v>589</v>
      </c>
      <c r="E3" s="29"/>
      <c r="F3" s="26">
        <f>SUBTOTAL(3,I17:I106)</f>
        <v>3</v>
      </c>
      <c r="G3" s="27">
        <f>IF(OR(D3="",D3=0),"",F3/D3)</f>
        <v>5.0933786078098476E-3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EA7 Emporio Armani Milan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743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5.0933786078098476E-3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0.50933786078098475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3.0093378607809846</v>
      </c>
      <c r="N7" s="58"/>
      <c r="O7" s="2"/>
      <c r="P7" s="2"/>
      <c r="Q7" s="86">
        <f>SUM(R5,S5,AC16)</f>
        <v>3.0093378607809846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3.0093378607809846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216</v>
      </c>
      <c r="D17" s="32" t="s">
        <v>757</v>
      </c>
      <c r="E17" s="33">
        <v>1</v>
      </c>
      <c r="F17" s="36">
        <v>24</v>
      </c>
      <c r="G17" s="36">
        <v>27</v>
      </c>
      <c r="H17" s="38" t="str">
        <f>IF(I17="","",$I$14)</f>
        <v>SCOUTING</v>
      </c>
      <c r="I17" s="34">
        <v>150</v>
      </c>
      <c r="J17" s="13" t="s">
        <v>4</v>
      </c>
      <c r="K17" s="13" t="s">
        <v>62</v>
      </c>
      <c r="L17" s="13" t="s">
        <v>6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216</v>
      </c>
      <c r="D18" s="32" t="s">
        <v>758</v>
      </c>
      <c r="E18" s="33">
        <v>2</v>
      </c>
      <c r="F18" s="36">
        <v>36</v>
      </c>
      <c r="G18" s="36">
        <v>32</v>
      </c>
      <c r="H18" s="38" t="str">
        <f t="shared" ref="H18:H81" si="8">IF(I18="","",$I$14)</f>
        <v>SCOUTING</v>
      </c>
      <c r="I18" s="34">
        <v>195</v>
      </c>
      <c r="J18" s="13" t="s">
        <v>4</v>
      </c>
      <c r="K18" s="13" t="s">
        <v>62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216</v>
      </c>
      <c r="D19" s="32" t="s">
        <v>759</v>
      </c>
      <c r="E19" s="33">
        <v>4</v>
      </c>
      <c r="F19" s="36">
        <v>91</v>
      </c>
      <c r="G19" s="36">
        <v>91</v>
      </c>
      <c r="H19" s="38" t="str">
        <f t="shared" si="8"/>
        <v>SCOUTING</v>
      </c>
      <c r="I19" s="34">
        <v>520</v>
      </c>
      <c r="J19" s="13" t="s">
        <v>4</v>
      </c>
      <c r="K19" s="13" t="s">
        <v>63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"E2025216"</v>
      </c>
      <c r="F3" s="45" t="str">
        <f t="shared" ref="F3:F16" si="0">""""&amp;B3&amp;"""" &amp; " : " &amp;C3&amp;","</f>
        <v>"name" : "E2025216",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"E216"</v>
      </c>
      <c r="F4" s="45" t="str">
        <f t="shared" si="0"/>
        <v>"cod" : "E216",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216</v>
      </c>
      <c r="F6" s="45" t="str">
        <f t="shared" si="0"/>
        <v>"number" : 216,</v>
      </c>
    </row>
    <row r="7" spans="2:6" x14ac:dyDescent="0.25">
      <c r="B7" s="43" t="s">
        <v>116</v>
      </c>
      <c r="C7" s="43" t="str">
        <f ca="1">""""&amp;TEXT('SCOUT &amp; LOGISTICS'!B3,"dd/mm/aaaa")&amp;""""</f>
        <v>"15/01/Thursday"</v>
      </c>
      <c r="F7" s="45" t="str">
        <f t="shared" ca="1" si="0"/>
        <v>"date" : "15/01/Thursday",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"PAOLO NORBERTO ZANDALINI"</v>
      </c>
      <c r="F11" s="45" t="str">
        <f t="shared" si="0"/>
        <v>"Caller_1" : "PAOLO NORBERTO ZANDALINI",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"SAMUELE CATALLO"</v>
      </c>
      <c r="F12" s="45" t="str">
        <f t="shared" si="0"/>
        <v>"Caller_2" : "SAMUELE CATALLO",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"SIMONA PANFILI"</v>
      </c>
      <c r="F13" s="45" t="str">
        <f t="shared" si="0"/>
        <v>"Timerkeeper" : "SIMONA PANFILI",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"CINZIA COZZI"</v>
      </c>
      <c r="F14" s="45" t="str">
        <f t="shared" si="0"/>
        <v>"Shotclock" : "CINZIA COZZI",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"ENRICO ROSTI"</v>
      </c>
      <c r="F15" s="45" t="str">
        <f t="shared" si="0"/>
        <v>"IRS" : "ENRICO ROSTI",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job. In the play I asked you to review with the IRS, you reviewed the previous play. Also remember that when a player, in a rebounding situation, intentionally throws the ball at an opponent to force an out-of-bounds, the rebound is awarded to that player."</v>
      </c>
      <c r="F51" s="45" t="str">
        <f>""""&amp;B51&amp;"""" &amp; " : " &amp;C51&amp;","</f>
        <v>"comments" : "Very good job. In the play I asked you to review with the IRS, you reviewed the previous play. Also remember that when a player, in a rebounding situation, intentionally throws the ball at an opponent to force an out-of-bounds, the rebound is awarded to that player.",</v>
      </c>
    </row>
    <row r="52" spans="2:6" x14ac:dyDescent="0.25">
      <c r="B52" s="43" t="s">
        <v>153</v>
      </c>
      <c r="C52" s="43" t="str">
        <f>TEXT('SCOUT &amp; LOGISTICS'!F1,"0,0")</f>
        <v>22_216_MIL_RED_E2025</v>
      </c>
      <c r="F52" s="45" t="str">
        <f>""""&amp;B52&amp;"""" &amp; " : " &amp;C52</f>
        <v>"result" : 22_216_MIL_RED_E2025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E216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Ea7 Emporio Armani Milan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ALESSANDRO ZUCCA</v>
      </c>
      <c r="C8" s="201"/>
      <c r="D8" s="201"/>
      <c r="E8" s="201"/>
      <c r="F8" s="201"/>
      <c r="G8" s="201" t="str">
        <f>IF('SCOUT &amp; LOGISTICS'!D7="","",'SCOUT &amp; LOGISTICS'!D7)</f>
        <v>PAOLO NORBERTO ZANDALINI</v>
      </c>
      <c r="H8" s="201"/>
      <c r="I8" s="201"/>
      <c r="J8" s="201"/>
      <c r="K8" s="201"/>
      <c r="L8" s="201" t="str">
        <f>IF('SCOUT &amp; LOGISTICS'!D8="","",'SCOUT &amp; LOGISTICS'!D8)</f>
        <v>SAMUELE CATALLO</v>
      </c>
      <c r="M8" s="201"/>
      <c r="N8" s="201"/>
      <c r="O8" s="201"/>
      <c r="P8" s="201"/>
      <c r="Q8" s="201" t="str">
        <f>IF('SCOUT &amp; LOGISTICS'!D9="","",'SCOUT &amp; LOGISTICS'!D9)</f>
        <v>SIMONA PANFILI</v>
      </c>
      <c r="R8" s="201"/>
      <c r="S8" s="201"/>
      <c r="T8" s="201"/>
      <c r="U8" s="201"/>
      <c r="V8" s="201" t="str">
        <f>IF('SCOUT &amp; LOGISTICS'!D10="","",'SCOUT &amp; LOGISTICS'!D10)</f>
        <v>CINZIA COZZI</v>
      </c>
      <c r="W8" s="201"/>
      <c r="X8" s="201"/>
      <c r="Y8" s="201"/>
      <c r="Z8" s="201"/>
      <c r="AA8" s="201" t="str">
        <f>IF('SCOUT &amp; LOGISTICS'!D11="","",'SCOUT &amp; LOGISTICS'!D11)</f>
        <v>ENRICO ROSTI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5.0933786078098476E-3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job. In the play I asked you to review with the IRS, you reviewed the previous play. Also remember that when a player, in a rebounding situation, intentionally throws the ball at an opponent to force an out-of-bounds, the rebound is awarded to that player.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3.0093378607809846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5C31EE6A-3A26-41CB-8AF2-19C0F1714F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2026-01-16T17:03:11Z</cp:lastPrinted>
  <dcterms:created xsi:type="dcterms:W3CDTF">2023-09-19T19:50:35Z</dcterms:created>
  <dcterms:modified xsi:type="dcterms:W3CDTF">2026-01-16T17:03:13Z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