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9" documentId="8_{667E500E-C91E-4937-8353-A061248DF5A9}" xr6:coauthVersionLast="47" xr6:coauthVersionMax="47" xr10:uidLastSave="{40259D23-1FB7-4AF1-9A7C-A183BB273BAB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<sst xmlns="http://schemas.openxmlformats.org/spreadsheetml/2006/main" count="3280" uniqueCount="760">
  <si>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</si>
  <si>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</si>
  <si>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</si>
  <si>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</si>
  <si>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</si>
  <si>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</si>
  <si>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</si>
  <si>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</si>
  <si>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</si>
  <si>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</si>
  <si>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</si>
  <si>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</si>
  <si>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</si>
  <si>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</si>
  <si>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</si>
  <si>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</si>
  <si>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</si>
  <si>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</si>
  <si>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</si>
  <si>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</si>
  <si>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</si>
  <si>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</si>
  <si>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</si>
  <si>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</si>
  <si>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</si>
  <si>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</si>
  <si>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</si>
  <si>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</si>
  <si>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</si>
  <si>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</si>
  <si>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</si>
  <si>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</si>
  <si>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</si>
  <si>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</si>
  <si>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</si>
  <si>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</si>
  <si>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</si>
  <si>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</si>
  <si>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</si>
  <si>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</si>
  <si>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</si>
  <si>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</si>
  <si>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</si>
  <si>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</si>
  <si>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</si>
  <si>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</si>
  <si>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</si>
  <si>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</si>
  <si>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</si>
  <si>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</si>
  <si>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</si>
  <si>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</si>
  <si>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</si>
  <si>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</si>
  <si>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</si>
  <si>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</si>
  <si>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</si>
  <si>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</si>
  <si>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</si>
  <si>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</si>
  <si>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</si>
  <si>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</si>
  <si>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</si>
  <si>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</si>
  <si>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</si>
  <si>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</si>
  <si>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</si>
  <si>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</si>
  <si>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</si>
  <si>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</si>
  <si>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</si>
  <si>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</si>
  <si>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</si>
  <si>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</si>
  <si>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</si>
  <si>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</si>
  <si>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</si>
  <si>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</si>
  <si>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</si>
  <si>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</si>
  <si>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</si>
  <si>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</si>
  <si>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</si>
  <si>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</si>
  <si>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</si>
  <si>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</si>
  <si>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</si>
  <si>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</si>
  <si>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</si>
  <si>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</si>
  <si>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</si>
  <si>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</si>
  <si>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</si>
  <si>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</si>
  <si>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</si>
  <si>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</si>
  <si>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</si>
  <si>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</si>
  <si>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</si>
  <si>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</si>
  <si>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</si>
  <si>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</si>
  <si>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</si>
  <si>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</si>
  <si>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</si>
  <si>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</si>
  <si>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</si>
  <si>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</si>
  <si>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</si>
  <si>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</si>
  <si>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</si>
  <si>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</si>
  <si>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</si>
  <si>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</si>
  <si>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</si>
  <si>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</si>
  <si>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</si>
  <si>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</si>
  <si>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</si>
  <si>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</si>
  <si>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</si>
  <si>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</si>
  <si>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</si>
  <si>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</si>
  <si>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</si>
  <si>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</si>
  <si>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</si>
  <si>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</si>
  <si>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</si>
  <si>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</si>
  <si>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</si>
  <si>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</si>
  <si>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</si>
  <si>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</si>
  <si>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</si>
  <si>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</si>
  <si>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</si>
  <si>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</si>
  <si>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</si>
  <si>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</si>
  <si>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</si>
  <si>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</si>
  <si>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</si>
  <si>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</si>
  <si>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</si>
  <si>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</si>
  <si>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</si>
  <si>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</si>
  <si>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</si>
  <si>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</si>
  <si>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</si>
  <si>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</si>
  <si>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</si>
  <si>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</si>
  <si>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</si>
  <si>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</si>
  <si>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</si>
  <si>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</si>
  <si>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</si>
  <si>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</si>
  <si>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</si>
  <si>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</si>
  <si>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</si>
  <si>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</si>
  <si>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</si>
  <si>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</si>
  <si>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</si>
  <si>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</si>
  <si>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</si>
  <si>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</si>
  <si>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</si>
  <si>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</si>
  <si>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</si>
  <si>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</si>
  <si>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</si>
  <si>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</si>
  <si>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</si>
  <si>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</si>
  <si>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</si>
  <si>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</si>
  <si>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</si>
  <si>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</si>
  <si>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</si>
  <si>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</si>
  <si>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</si>
  <si>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</si>
  <si>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</si>
  <si>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</si>
  <si>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</si>
  <si>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</si>
  <si>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</si>
  <si>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</si>
  <si>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</si>
  <si>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</si>
  <si>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</si>
  <si>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</si>
  <si>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</si>
  <si>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</si>
  <si>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</si>
  <si>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</si>
  <si>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</si>
  <si>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</si>
  <si>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</si>
  <si>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</si>
  <si>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</si>
  <si>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</si>
  <si>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</si>
  <si>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</si>
  <si>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</si>
  <si>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</si>
  <si>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</si>
  <si>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</si>
  <si>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</si>
  <si>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</si>
  <si>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</si>
  <si>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</si>
  <si>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</si>
  <si>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</si>
  <si>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</si>
  <si>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</si>
  <si>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</si>
  <si>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</si>
  <si>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</si>
  <si>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</si>
  <si>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</si>
  <si>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</si>
  <si>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</si>
  <si>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</si>
  <si>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</si>
  <si>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</si>
  <si>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</si>
  <si>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</si>
  <si>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</si>
  <si>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</si>
  <si>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</si>
  <si>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</si>
  <si>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</si>
  <si>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</si>
  <si>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</si>
  <si>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</si>
  <si>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</si>
  <si>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</si>
  <si>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</si>
  <si>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</si>
  <si>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</si>
  <si>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</si>
  <si>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</si>
  <si>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</si>
  <si>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</si>
  <si>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</si>
  <si>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</si>
  <si>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</si>
  <si>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</si>
  <si>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</si>
  <si>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</si>
  <si>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</si>
  <si>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</si>
  <si>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</si>
  <si>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</si>
  <si>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</si>
  <si>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</si>
  <si>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</si>
  <si>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</si>
  <si>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</si>
  <si>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</si>
  <si>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</si>
  <si>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</si>
  <si>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</si>
  <si>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</si>
  <si>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</si>
  <si>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</si>
  <si>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</si>
  <si>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</si>
  <si>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</si>
  <si>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</si>
  <si>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</si>
  <si>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</si>
  <si>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</si>
  <si>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</si>
  <si>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</si>
  <si>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</si>
  <si>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</si>
  <si>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</si>
  <si>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</si>
  <si>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</si>
  <si>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</si>
  <si>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</si>
  <si>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</si>
  <si>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</si>
  <si>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</si>
  <si>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</si>
  <si>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</si>
  <si>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</si>
  <si>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</si>
  <si>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</si>
  <si>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</si>
  <si>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</si>
  <si>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</si>
  <si>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</si>
  <si>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</si>
  <si>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</si>
  <si>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</si>
  <si>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</si>
  <si>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</si>
  <si>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</si>
  <si>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</si>
  <si>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</si>
  <si>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</si>
  <si>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</si>
  <si>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</si>
  <si>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</si>
  <si>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</si>
  <si>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</si>
  <si>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</si>
  <si>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</si>
  <si>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</si>
  <si>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</si>
  <si>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</si>
  <si>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</si>
  <si>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</si>
  <si>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</si>
  <si>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</si>
  <si>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</si>
  <si>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</si>
  <si>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</si>
  <si>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</si>
  <si>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</si>
  <si>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</si>
  <si>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</si>
  <si>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</si>
  <si>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</si>
  <si>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</si>
  <si>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</si>
  <si>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</si>
  <si>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</si>
  <si>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</si>
  <si>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</si>
  <si>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</si>
  <si>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</si>
  <si>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</si>
  <si>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</si>
  <si>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</si>
  <si>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</si>
  <si>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</si>
  <si>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</si>
  <si>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</si>
  <si>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</si>
  <si>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</si>
  <si>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</si>
  <si>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</si>
  <si>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</si>
  <si>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</si>
  <si>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</si>
  <si>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</si>
  <si>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</si>
  <si>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</si>
  <si>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</si>
  <si>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</si>
  <si>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</si>
  <si>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</si>
  <si>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</si>
  <si>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</si>
  <si>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</si>
  <si>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</si>
  <si>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</si>
  <si>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</si>
  <si>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</si>
  <si>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</si>
  <si>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</si>
  <si>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</si>
  <si>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</si>
  <si>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</si>
  <si>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</si>
  <si>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</si>
  <si>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</si>
  <si>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</si>
  <si>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</si>
  <si>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</si>
  <si>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</si>
  <si>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</si>
  <si>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</si>
  <si>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</si>
  <si>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</si>
  <si>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</si>
  <si>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</si>
  <si>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</si>
  <si>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</si>
  <si>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</si>
  <si>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</si>
  <si>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</si>
  <si>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</si>
  <si>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</si>
  <si>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</si>
  <si>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</si>
  <si>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</si>
  <si>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</si>
  <si>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</si>
  <si>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</si>
  <si>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</si>
  <si>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</si>
  <si>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</si>
  <si>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</si>
  <si>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</si>
  <si>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</si>
  <si>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</si>
  <si>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</si>
  <si>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</si>
  <si>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</si>
  <si>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</si>
  <si>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</si>
  <si>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</si>
  <si>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</si>
  <si>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</si>
  <si>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</si>
  <si>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</si>
  <si>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</si>
  <si>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</si>
  <si>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</si>
  <si>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</si>
  <si>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</si>
  <si>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</si>
  <si>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</si>
  <si>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</si>
  <si>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</si>
  <si>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</si>
  <si>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</si>
  <si>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</si>
  <si>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</si>
  <si>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</si>
  <si>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</si>
  <si>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</si>
  <si>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</si>
  <si>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</si>
  <si>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</si>
  <si>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</si>
  <si>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</si>
  <si>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</si>
  <si>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</si>
  <si>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</si>
  <si>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</si>
  <si>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</si>
  <si>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</si>
  <si>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</si>
  <si>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</si>
  <si>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</si>
  <si>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</si>
  <si>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</si>
  <si>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</si>
  <si>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</si>
  <si>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</si>
  <si>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</si>
  <si>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</si>
  <si>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</si>
  <si>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</si>
  <si>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</si>
  <si>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</si>
  <si>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</si>
  <si>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</si>
  <si>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</si>
  <si>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</si>
  <si>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</si>
  <si>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</si>
  <si>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</si>
  <si>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</si>
  <si>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</si>
  <si>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</si>
  <si>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</si>
  <si>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</si>
  <si>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</si>
  <si>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</si>
  <si>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</si>
  <si>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</si>
  <si>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</si>
  <si>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</si>
  <si>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</si>
  <si>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</si>
  <si>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</si>
  <si>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</si>
  <si>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</si>
  <si>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</si>
  <si>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</si>
  <si>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</si>
  <si>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</si>
  <si>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</si>
  <si>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</si>
  <si>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</si>
  <si>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</si>
  <si>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</si>
  <si>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</si>
  <si>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</si>
  <si>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</si>
  <si>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</si>
  <si>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</si>
  <si>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</si>
  <si>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</si>
  <si>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</si>
  <si>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</si>
  <si>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</si>
  <si>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</si>
  <si>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</si>
  <si>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</si>
  <si>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</si>
  <si>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</si>
  <si>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</si>
  <si>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</si>
  <si>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</si>
  <si>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</si>
  <si>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</si>
  <si>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</si>
  <si>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</si>
  <si>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</si>
  <si>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</si>
  <si>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</si>
  <si>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</si>
  <si>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</si>
  <si>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</si>
  <si>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</si>
  <si>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</si>
  <si>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</si>
  <si>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</si>
  <si>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</si>
  <si>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</si>
  <si>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</si>
  <si>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</si>
  <si>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</si>
  <si>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</si>
  <si>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</si>
  <si>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</si>
  <si>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</si>
  <si>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</si>
  <si>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</si>
  <si>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</si>
  <si>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</si>
  <si>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</si>
  <si>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</si>
  <si>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</si>
  <si>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</si>
  <si>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</si>
  <si>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</si>
  <si>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</si>
  <si>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</si>
  <si>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</si>
  <si>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</si>
  <si>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</si>
  <si>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</si>
  <si>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</si>
  <si>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</si>
  <si>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</si>
  <si>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</si>
  <si>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</si>
  <si>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</si>
  <si>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</si>
  <si>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</si>
  <si>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</si>
  <si>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</si>
  <si>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</si>
  <si>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</si>
  <si>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</si>
  <si>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</si>
  <si>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</si>
  <si>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</si>
  <si>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</si>
  <si>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</si>
  <si>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</si>
  <si>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</si>
  <si>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</si>
  <si>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</si>
  <si>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</si>
  <si>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</si>
  <si>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</si>
  <si>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</si>
  <si>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</si>
  <si>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</si>
  <si>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</si>
  <si>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</si>
  <si>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</si>
  <si>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</si>
  <si>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</si>
  <si>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</si>
  <si>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</si>
  <si>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</si>
  <si>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</si>
  <si>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</si>
  <si>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</si>
  <si>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</si>
  <si>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</si>
  <si>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</si>
  <si>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</si>
  <si>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</si>
  <si>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</si>
  <si>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</si>
  <si>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</si>
  <si>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</si>
  <si>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</si>
  <si>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</si>
  <si>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</si>
  <si>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</si>
  <si>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</si>
  <si>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</si>
  <si>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</si>
  <si>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</si>
  <si>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</si>
  <si>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</si>
  <si>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</si>
  <si>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</si>
  <si>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</si>
  <si>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</si>
  <si>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</si>
  <si>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</si>
  <si>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</si>
  <si>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</si>
  <si>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</si>
  <si>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</si>
  <si>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</si>
  <si>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</si>
  <si>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</si>
  <si>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</si>
  <si>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</si>
  <si>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</si>
  <si>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</si>
  <si>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</si>
  <si>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</si>
  <si>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</si>
  <si>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</si>
  <si>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</si>
  <si>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</si>
  <si>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</si>
  <si>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</si>
  <si>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</si>
  <si>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</si>
  <si>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</si>
  <si>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</si>
  <si>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</si>
  <si>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</si>
  <si>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</si>
  <si>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</si>
  <si>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</si>
  <si>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</si>
  <si>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</si>
  <si>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</si>
  <si>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</si>
  <si>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</si>
  <si>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</si>
  <si>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</si>
  <si>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</si>
  <si>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</si>
  <si>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</si>
  <si>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</si>
  <si>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</si>
  <si>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</si>
  <si>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</si>
  <si>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</si>
  <si>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</si>
  <si>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</si>
  <si>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</si>
  <si>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</si>
  <si>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</si>
  <si>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</si>
  <si>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</si>
  <si>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</si>
  <si>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</si>
  <si>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</si>
  <si>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</si>
  <si>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</si>
  <si>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</si>
  <si>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</si>
  <si>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</si>
  <si>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</si>
  <si>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</si>
  <si>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</si>
  <si>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</si>
  <si>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</si>
  <si>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</si>
  <si>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</si>
  <si>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</si>
  <si>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</si>
  <si>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</si>
  <si>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</si>
  <si>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</si>
  <si>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</si>
  <si>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</si>
  <si>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</si>
  <si>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</si>
  <si>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</si>
  <si>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</si>
  <si>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</si>
  <si>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</si>
  <si>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</si>
  <si>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</si>
  <si>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</si>
  <si>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</si>
  <si>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</si>
  <si>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</si>
  <si>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</si>
  <si>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</si>
  <si>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</si>
  <si>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</si>
  <si>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</si>
  <si>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</si>
  <si>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</si>
  <si>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</si>
  <si>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</si>
  <si>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</si>
  <si>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</si>
  <si>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</si>
  <si>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</si>
  <si>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</si>
  <si>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</si>
  <si>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</si>
  <si>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</si>
  <si>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</si>
  <si>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</si>
  <si>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</si>
  <si>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</si>
  <si>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</si>
  <si>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</si>
  <si>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</si>
  <si>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</si>
  <si>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</si>
  <si>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</si>
  <si>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</si>
  <si>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</si>
  <si>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</si>
  <si>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</si>
  <si>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</si>
  <si>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</si>
  <si>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</si>
  <si>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</si>
  <si>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</si>
  <si>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</si>
  <si>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</si>
  <si>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</si>
  <si>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</si>
  <si>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</si>
  <si>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</si>
  <si>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</si>
  <si>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</si>
  <si>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</si>
  <si>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</si>
  <si>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</si>
  <si>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</si>
  <si>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</si>
  <si>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</si>
  <si>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</si>
  <si>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</si>
  <si>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</si>
  <si>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</si>
  <si>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</si>
  <si>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</si>
  <si>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</si>
  <si>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</si>
  <si>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09:06</t>
  </si>
  <si>
    <t>04:03</t>
  </si>
  <si>
    <t>03:59</t>
  </si>
  <si>
    <t>06:52</t>
  </si>
  <si>
    <t>ENDER OZBEK</t>
  </si>
  <si>
    <t>SERTAC DOSTEL</t>
  </si>
  <si>
    <t>GIZEM UNSAL</t>
  </si>
  <si>
    <t>Very good job! You had a problem In one of the first plays, but it didn't affect the development of the game.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</si>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</sst>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22_217_ULK_PAM_E2025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46038.864583333336</v>
      </c>
      <c r="C3" s="157"/>
      <c r="D3" s="39">
        <v>638</v>
      </c>
      <c r="E3" s="29"/>
      <c r="F3" s="26">
        <f>SUBTOTAL(3,I17:I106)</f>
        <v>7</v>
      </c>
      <c r="G3" s="27">
        <f>IF(OR(D3="",D3=0),"",F3/D3)</f>
        <v>1.0971786833855799E-2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Fenerbahce Beko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1.0971786833855799E-2</v>
      </c>
      <c r="S4" s="61">
        <f>SUM(I13:M13)</f>
        <v>0</v>
      </c>
      <c r="T4" s="78"/>
      <c r="U4" s="61">
        <f>AC18</f>
        <v>0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1.0971786833855799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11.097178683385581</v>
      </c>
      <c r="N7" s="58"/>
      <c r="O7" s="2"/>
      <c r="P7" s="2"/>
      <c r="Q7" s="86">
        <f>SUM(R5,S5,AC16)</f>
        <v>11.097178683385581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756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11.097178683385579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757</v>
      </c>
      <c r="E9" s="179"/>
      <c r="F9" s="179"/>
      <c r="G9" s="18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739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2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217</v>
      </c>
      <c r="D17" s="32" t="s">
        <v>751</v>
      </c>
      <c r="E17" s="33">
        <v>1</v>
      </c>
      <c r="F17" s="36">
        <v>2</v>
      </c>
      <c r="G17" s="36">
        <v>4</v>
      </c>
      <c r="H17" s="38" t="str">
        <f>IF(I17="","",$I$14)</f>
        <v>SCOUTING</v>
      </c>
      <c r="I17" s="34">
        <v>11</v>
      </c>
      <c r="J17" s="13" t="s">
        <v>4</v>
      </c>
      <c r="K17" s="13" t="s">
        <v>63</v>
      </c>
      <c r="L17" s="13" t="s">
        <v>6</v>
      </c>
      <c r="M17" s="13" t="s">
        <v>23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6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217</v>
      </c>
      <c r="D18" s="32" t="s">
        <v>751</v>
      </c>
      <c r="E18" s="33">
        <v>1</v>
      </c>
      <c r="F18" s="36">
        <v>2</v>
      </c>
      <c r="G18" s="36">
        <v>4</v>
      </c>
      <c r="H18" s="38" t="str">
        <f t="shared" ref="H18:H81" si="8">IF(I18="","",$I$14)</f>
        <v>SCOUTING</v>
      </c>
      <c r="I18" s="34">
        <v>12</v>
      </c>
      <c r="J18" s="13" t="s">
        <v>4</v>
      </c>
      <c r="K18" s="13" t="s">
        <v>63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217</v>
      </c>
      <c r="D19" s="32" t="s">
        <v>751</v>
      </c>
      <c r="E19" s="33">
        <v>1</v>
      </c>
      <c r="F19" s="36">
        <v>2</v>
      </c>
      <c r="G19" s="36">
        <v>4</v>
      </c>
      <c r="H19" s="38" t="str">
        <f t="shared" si="8"/>
        <v>SCOUTING</v>
      </c>
      <c r="I19" s="34">
        <v>13</v>
      </c>
      <c r="J19" s="13" t="s">
        <v>4</v>
      </c>
      <c r="K19" s="13" t="s">
        <v>63</v>
      </c>
      <c r="L19" s="13" t="s">
        <v>6</v>
      </c>
      <c r="M19" s="13" t="s">
        <v>25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217</v>
      </c>
      <c r="D20" s="32" t="s">
        <v>751</v>
      </c>
      <c r="E20" s="33">
        <v>1</v>
      </c>
      <c r="F20" s="36">
        <v>2</v>
      </c>
      <c r="G20" s="36">
        <v>4</v>
      </c>
      <c r="H20" s="38" t="str">
        <f t="shared" si="8"/>
        <v>SCOUTING</v>
      </c>
      <c r="I20" s="34">
        <v>13</v>
      </c>
      <c r="J20" s="13" t="s">
        <v>4</v>
      </c>
      <c r="K20" s="13" t="s">
        <v>62</v>
      </c>
      <c r="L20" s="13" t="s">
        <v>7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217</v>
      </c>
      <c r="D21" s="32" t="s">
        <v>752</v>
      </c>
      <c r="E21" s="33">
        <v>1</v>
      </c>
      <c r="F21" s="36">
        <v>18</v>
      </c>
      <c r="G21" s="36">
        <v>18</v>
      </c>
      <c r="H21" s="38" t="str">
        <f t="shared" si="8"/>
        <v>SCOUTING</v>
      </c>
      <c r="I21" s="34">
        <v>82</v>
      </c>
      <c r="J21" s="13" t="s">
        <v>4</v>
      </c>
      <c r="K21" s="13" t="s">
        <v>63</v>
      </c>
      <c r="L21" s="13" t="s">
        <v>7</v>
      </c>
      <c r="M21" s="13" t="s">
        <v>30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1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217</v>
      </c>
      <c r="D22" s="32" t="s">
        <v>753</v>
      </c>
      <c r="E22" s="33">
        <v>1</v>
      </c>
      <c r="F22" s="36">
        <v>18</v>
      </c>
      <c r="G22" s="36">
        <v>18</v>
      </c>
      <c r="H22" s="38" t="str">
        <f t="shared" si="8"/>
        <v>SCOUTING</v>
      </c>
      <c r="I22" s="34">
        <v>86</v>
      </c>
      <c r="J22" s="13" t="s">
        <v>4</v>
      </c>
      <c r="K22" s="13" t="s">
        <v>63</v>
      </c>
      <c r="L22" s="13" t="s">
        <v>6</v>
      </c>
      <c r="M22" s="13" t="s">
        <v>22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217</v>
      </c>
      <c r="D23" s="32" t="s">
        <v>754</v>
      </c>
      <c r="E23" s="33">
        <v>2</v>
      </c>
      <c r="F23" s="36">
        <v>30</v>
      </c>
      <c r="G23" s="36">
        <v>30</v>
      </c>
      <c r="H23" s="38" t="str">
        <f t="shared" si="8"/>
        <v>SCOUTING</v>
      </c>
      <c r="I23" s="34">
        <v>183</v>
      </c>
      <c r="J23" s="13" t="s">
        <v>4</v>
      </c>
      <c r="K23" s="13" t="s">
        <v>63</v>
      </c>
      <c r="L23" s="13" t="s">
        <v>6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1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1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1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"E2025217"</v>
      </c>
      <c r="F3" s="45" t="str">
        <f t="shared" ref="F3:F16" si="0">""""&amp;B3&amp;"""" &amp; " : " &amp;C3&amp;","</f>
        <v>"name" : "E2025217",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"E217"</v>
      </c>
      <c r="F4" s="45" t="str">
        <f t="shared" si="0"/>
        <v>"cod" : "E217",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217</v>
      </c>
      <c r="F6" s="45" t="str">
        <f t="shared" si="0"/>
        <v>"number" : 217,</v>
      </c>
    </row>
    <row r="7" spans="2:6" x14ac:dyDescent="0.25">
      <c r="B7" s="43" t="s">
        <v>116</v>
      </c>
      <c r="C7" s="43" t="str">
        <f ca="1">""""&amp;TEXT('SCOUT &amp; LOGISTICS'!B3,"dd/mm/aaaa")&amp;""""</f>
        <v>"16/01/Friday"</v>
      </c>
      <c r="F7" s="45" t="str">
        <f t="shared" ca="1" si="0"/>
        <v>"date" : "16/01/Friday",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"GIZEM UNSAL"</v>
      </c>
      <c r="F13" s="45" t="str">
        <f t="shared" si="0"/>
        <v>"Timerkeeper" : "GIZEM UNSAL",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"AHMET ERKASAP"</v>
      </c>
      <c r="F14" s="45" t="str">
        <f t="shared" si="0"/>
        <v>"Shotclock" : "AHMET ERKASAP",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638</v>
      </c>
      <c r="F25" s="45" t="str">
        <f t="shared" ref="F25:F48" si="1">""""&amp;C25&amp;"""" &amp; " : " &amp;D25&amp;","</f>
        <v>"total_actions" : 638,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6</v>
      </c>
      <c r="F31" s="45" t="str">
        <f t="shared" si="1"/>
        <v>"q1" : 6,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1</v>
      </c>
      <c r="F41" s="45" t="str">
        <f t="shared" si="1"/>
        <v>"irs" : 1,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had a problem In one of the first plays, but it didn't affect the development of the game."</v>
      </c>
      <c r="F51" s="45" t="str">
        <f>""""&amp;B51&amp;"""" &amp; " : " &amp;C51&amp;","</f>
        <v>"comments" : "Very good job! You had a problem In one of the first plays, but it didn't affect the development of the game.",</v>
      </c>
    </row>
    <row r="52" spans="2:6" x14ac:dyDescent="0.25">
      <c r="B52" s="43" t="s">
        <v>153</v>
      </c>
      <c r="C52" s="43" t="str">
        <f>TEXT('SCOUT &amp; LOGISTICS'!F1,"0,0")</f>
        <v>22_217_ULK_PAM_E2025</v>
      </c>
      <c r="F52" s="45" t="str">
        <f>""""&amp;B52&amp;"""" &amp; " : " &amp;C52</f>
        <v>"result" : 22_217_ULK_PAM_E2025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E217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Fenerbahce Beko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SERTAC DOSTEL</v>
      </c>
      <c r="M8" s="206"/>
      <c r="N8" s="206"/>
      <c r="O8" s="206"/>
      <c r="P8" s="206"/>
      <c r="Q8" s="206" t="str">
        <f>IF('SCOUT &amp; LOGISTICS'!D9="","",'SCOUT &amp; LOGISTICS'!D9)</f>
        <v>GIZEM UNSAL</v>
      </c>
      <c r="R8" s="206"/>
      <c r="S8" s="206"/>
      <c r="T8" s="206"/>
      <c r="U8" s="206"/>
      <c r="V8" s="206" t="str">
        <f>IF('SCOUT &amp; LOGISTICS'!D10="","",'SCOUT &amp; LOGISTICS'!D10)</f>
        <v>AHMET ERKASAP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638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1.0971786833855799E-2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6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You had a problem In one of the first plays, but it didn't affect the development of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11.097178683385581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6B580CA-0412-474A-8BB8-B4D502BB4BC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2026-01-16T20:14:03Z</cp:lastPrinted>
  <dcterms:created xsi:type="dcterms:W3CDTF">2023-09-19T19:50:35Z</dcterms:created>
  <dcterms:modified xsi:type="dcterms:W3CDTF">2026-01-16T20:14:07Z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