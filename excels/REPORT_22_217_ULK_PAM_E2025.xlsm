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89" documentId="8_{667E500E-C91E-4937-8353-A061248DF5A9}" xr6:coauthVersionLast="47" xr6:coauthVersionMax="47" xr10:uidLastSave="{40259D23-1FB7-4AF1-9A7C-A183BB273BAB}"/>
  <bookViews>
    <workbookView xWindow="-9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<sst xmlns="http://schemas.openxmlformats.org/spreadsheetml/2006/main" count="3280" uniqueCount="760">
  <si>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</si>
  <si>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</si>
  <si>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</si>
  <si>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</si>
  <si>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</si>
  <si>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</si>
  <si>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</si>
  <si>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</si>
  <si>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</si>
  <si>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</si>
  <si>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</si>
  <si>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</si>
  <si>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</si>
  <si>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</si>
  <si>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</si>
  <si>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</si>
  <si>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</si>
  <si>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</si>
  <si>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</si>
  <si>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</si>
  <si>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</si>
  <si>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</si>
  <si>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</si>
  <si>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</si>
  <si>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</si>
  <si>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</si>
  <si>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</si>
  <si>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</si>
  <si>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</si>
  <si>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</si>
  <si>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</si>
  <si>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</si>
  <si>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</si>
  <si>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</si>
  <si>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</si>
  <si>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</si>
  <si>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</si>
  <si>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</si>
  <si>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</si>
  <si>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</si>
  <si>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</si>
  <si>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</si>
  <si>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</si>
  <si>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</si>
  <si>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</si>
  <si>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</si>
  <si>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</si>
  <si>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</si>
  <si>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</si>
  <si>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</si>
  <si>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</si>
  <si>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</si>
  <si>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</si>
  <si>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</si>
  <si>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</si>
  <si>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</si>
  <si>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</si>
  <si>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</si>
  <si>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</si>
  <si>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</si>
  <si>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</si>
  <si>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</si>
  <si>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</si>
  <si>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</si>
  <si>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</si>
  <si>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</si>
  <si>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</si>
  <si>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</si>
  <si>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</si>
  <si>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</si>
  <si>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</si>
  <si>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</si>
  <si>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</si>
  <si>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</si>
  <si>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</si>
  <si>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</si>
  <si>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</si>
  <si>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</si>
  <si>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</si>
  <si>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</si>
  <si>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</si>
  <si>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</si>
  <si>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</si>
  <si>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</si>
  <si>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</si>
  <si>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</si>
  <si>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</si>
  <si>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</si>
  <si>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</si>
  <si>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</si>
  <si>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</si>
  <si>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</si>
  <si>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</si>
  <si>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</si>
  <si>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</si>
  <si>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</si>
  <si>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</si>
  <si>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</si>
  <si>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</si>
  <si>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</si>
  <si>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</si>
  <si>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</si>
  <si>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</si>
  <si>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</si>
  <si>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</si>
  <si>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</si>
  <si>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</si>
  <si>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</si>
  <si>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</si>
  <si>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</si>
  <si>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</si>
  <si>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</si>
  <si>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</si>
  <si>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</si>
  <si>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</si>
  <si>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</si>
  <si>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</si>
  <si>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</si>
  <si>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</si>
  <si>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</si>
  <si>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</si>
  <si>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</si>
  <si>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</si>
  <si>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</si>
  <si>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</si>
  <si>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</si>
  <si>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</si>
  <si>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</si>
  <si>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</si>
  <si>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</si>
  <si>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</si>
  <si>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</si>
  <si>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</si>
  <si>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</si>
  <si>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</si>
  <si>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</si>
  <si>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</si>
  <si>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</si>
  <si>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</si>
  <si>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</si>
  <si>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</si>
  <si>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</si>
  <si>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</si>
  <si>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</si>
  <si>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</si>
  <si>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</si>
  <si>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</si>
  <si>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</si>
  <si>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</si>
  <si>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</si>
  <si>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</si>
  <si>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</si>
  <si>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</si>
  <si>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</si>
  <si>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</si>
  <si>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</si>
  <si>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</si>
  <si>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</si>
  <si>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</si>
  <si>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</si>
  <si>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</si>
  <si>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</si>
  <si>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</si>
  <si>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</si>
  <si>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</si>
  <si>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</si>
  <si>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</si>
  <si>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</si>
  <si>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</si>
  <si>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</si>
  <si>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</si>
  <si>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</si>
  <si>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</si>
  <si>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</si>
  <si>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</si>
  <si>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</si>
  <si>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</si>
  <si>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</si>
  <si>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</si>
  <si>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</si>
  <si>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</si>
  <si>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</si>
  <si>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</si>
  <si>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</si>
  <si>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</si>
  <si>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</si>
  <si>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</si>
  <si>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</si>
  <si>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</si>
  <si>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</si>
  <si>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</si>
  <si>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</si>
  <si>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</si>
  <si>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</si>
  <si>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</si>
  <si>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</si>
  <si>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</si>
  <si>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</si>
  <si>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</si>
  <si>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</si>
  <si>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</si>
  <si>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</si>
  <si>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</si>
  <si>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</si>
  <si>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</si>
  <si>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</si>
  <si>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</si>
  <si>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</si>
  <si>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</si>
  <si>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</si>
  <si>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</si>
  <si>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</si>
  <si>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</si>
  <si>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</si>
  <si>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</si>
  <si>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</si>
  <si>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</si>
  <si>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</si>
  <si>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</si>
  <si>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</si>
  <si>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</si>
  <si>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</si>
  <si>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</si>
  <si>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</si>
  <si>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</si>
  <si>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</si>
  <si>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</si>
  <si>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</si>
  <si>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</si>
  <si>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</si>
  <si>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</si>
  <si>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</si>
  <si>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</si>
  <si>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</si>
  <si>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</si>
  <si>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</si>
  <si>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</si>
  <si>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</si>
  <si>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</si>
  <si>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</si>
  <si>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</si>
  <si>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</si>
  <si>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</si>
  <si>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</si>
  <si>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</si>
  <si>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</si>
  <si>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</si>
  <si>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</si>
  <si>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</si>
  <si>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</si>
  <si>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</si>
  <si>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</si>
  <si>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</si>
  <si>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</si>
  <si>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</si>
  <si>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</si>
  <si>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</si>
  <si>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</si>
  <si>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</si>
  <si>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</si>
  <si>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</si>
  <si>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</si>
  <si>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</si>
  <si>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</si>
  <si>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</si>
  <si>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</si>
  <si>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</si>
  <si>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</si>
  <si>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</si>
  <si>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</si>
  <si>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</si>
  <si>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</si>
  <si>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</si>
  <si>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</si>
  <si>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</si>
  <si>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</si>
  <si>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</si>
  <si>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</si>
  <si>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</si>
  <si>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</si>
  <si>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</si>
  <si>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</si>
  <si>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</si>
  <si>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</si>
  <si>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</si>
  <si>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</si>
  <si>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</si>
  <si>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</si>
  <si>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</si>
  <si>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</si>
  <si>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</si>
  <si>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</si>
  <si>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</si>
  <si>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</si>
  <si>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</si>
  <si>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</si>
  <si>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</si>
  <si>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</si>
  <si>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</si>
  <si>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</si>
  <si>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</si>
  <si>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</si>
  <si>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</si>
  <si>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</si>
  <si>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</si>
  <si>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</si>
  <si>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</si>
  <si>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</si>
  <si>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</si>
  <si>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</si>
  <si>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</si>
  <si>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</si>
  <si>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</si>
  <si>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</si>
  <si>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</si>
  <si>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</si>
  <si>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</si>
  <si>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</si>
  <si>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</si>
  <si>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</si>
  <si>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</si>
  <si>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</si>
  <si>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</si>
  <si>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</si>
  <si>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</si>
  <si>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</si>
  <si>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</si>
  <si>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</si>
  <si>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</si>
  <si>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</si>
  <si>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</si>
  <si>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</si>
  <si>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</si>
  <si>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</si>
  <si>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</si>
  <si>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</si>
  <si>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</si>
  <si>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</si>
  <si>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</si>
  <si>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</si>
  <si>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</si>
  <si>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</si>
  <si>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</si>
  <si>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</si>
  <si>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</si>
  <si>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</si>
  <si>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</si>
  <si>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</si>
  <si>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</si>
  <si>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</si>
  <si>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</si>
  <si>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</si>
  <si>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</si>
  <si>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</si>
  <si>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</si>
  <si>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</si>
  <si>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</si>
  <si>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</si>
  <si>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</si>
  <si>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</si>
  <si>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</si>
  <si>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</si>
  <si>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</si>
  <si>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</si>
  <si>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</si>
  <si>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</si>
  <si>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</si>
  <si>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</si>
  <si>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</si>
  <si>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</si>
  <si>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</si>
  <si>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</si>
  <si>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</si>
  <si>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</si>
  <si>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</si>
  <si>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</si>
  <si>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</si>
  <si>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</si>
  <si>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</si>
  <si>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</si>
  <si>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</si>
  <si>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</si>
  <si>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</si>
  <si>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</si>
  <si>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</si>
  <si>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</si>
  <si>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</si>
  <si>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</si>
  <si>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</si>
  <si>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</si>
  <si>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</si>
  <si>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</si>
  <si>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</si>
  <si>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</si>
  <si>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</si>
  <si>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</si>
  <si>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</si>
  <si>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</si>
  <si>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</si>
  <si>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</si>
  <si>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</si>
  <si>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</si>
  <si>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</si>
  <si>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</si>
  <si>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</si>
  <si>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</si>
  <si>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</si>
  <si>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</si>
  <si>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</si>
  <si>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</si>
  <si>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</si>
  <si>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</si>
  <si>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</si>
  <si>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</si>
  <si>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</si>
  <si>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</si>
  <si>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</si>
  <si>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</si>
  <si>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</si>
  <si>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</si>
  <si>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</si>
  <si>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</si>
  <si>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</si>
  <si>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</si>
  <si>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</si>
  <si>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</si>
  <si>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</si>
  <si>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</si>
  <si>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</si>
  <si>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</si>
  <si>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</si>
  <si>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</si>
  <si>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</si>
  <si>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</si>
  <si>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</si>
  <si>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</si>
  <si>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</si>
  <si>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</si>
  <si>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</si>
  <si>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</si>
  <si>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</si>
  <si>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</si>
  <si>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</si>
  <si>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</si>
  <si>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</si>
  <si>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</si>
  <si>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</si>
  <si>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</si>
  <si>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</si>
  <si>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</si>
  <si>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</si>
  <si>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</si>
  <si>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</si>
  <si>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</si>
  <si>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</si>
  <si>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</si>
  <si>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</si>
  <si>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</si>
  <si>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</si>
  <si>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</si>
  <si>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</si>
  <si>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</si>
  <si>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</si>
  <si>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</si>
  <si>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</si>
  <si>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</si>
  <si>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</si>
  <si>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</si>
  <si>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</si>
  <si>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</si>
  <si>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</si>
  <si>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</si>
  <si>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</si>
  <si>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</si>
  <si>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</si>
  <si>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</si>
  <si>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</si>
  <si>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</si>
  <si>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</si>
  <si>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</si>
  <si>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</si>
  <si>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</si>
  <si>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</si>
  <si>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</si>
  <si>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</si>
  <si>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</si>
  <si>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</si>
  <si>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</si>
  <si>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</si>
  <si>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</si>
  <si>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</si>
  <si>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</si>
  <si>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</si>
  <si>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</si>
  <si>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</si>
  <si>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</si>
  <si>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</si>
  <si>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</si>
  <si>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</si>
  <si>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</si>
  <si>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</si>
  <si>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</si>
  <si>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</si>
  <si>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</si>
  <si>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</si>
  <si>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</si>
  <si>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</si>
  <si>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</si>
  <si>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</si>
  <si>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</si>
  <si>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</si>
  <si>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</si>
  <si>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</si>
  <si>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</si>
  <si>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</si>
  <si>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</si>
  <si>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</si>
  <si>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</si>
  <si>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</si>
  <si>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</si>
  <si>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</si>
  <si>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</si>
  <si>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</si>
  <si>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</si>
  <si>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</si>
  <si>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</si>
  <si>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</si>
  <si>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</si>
  <si>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</si>
  <si>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</si>
  <si>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</si>
  <si>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</si>
  <si>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</si>
  <si>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</si>
  <si>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</si>
  <si>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</si>
  <si>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</si>
  <si>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</si>
  <si>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</si>
  <si>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</si>
  <si>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</si>
  <si>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</si>
  <si>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</si>
  <si>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</si>
  <si>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</si>
  <si>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</si>
  <si>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</si>
  <si>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</si>
  <si>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</si>
  <si>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</si>
  <si>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</si>
  <si>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</si>
  <si>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</si>
  <si>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</si>
  <si>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</si>
  <si>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</si>
  <si>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</si>
  <si>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</si>
  <si>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</si>
  <si>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</si>
  <si>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</si>
  <si>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</si>
  <si>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</si>
  <si>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</si>
  <si>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</si>
  <si>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</si>
  <si>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</si>
  <si>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</si>
  <si>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</si>
  <si>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</si>
  <si>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</si>
  <si>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</si>
  <si>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</si>
  <si>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</si>
  <si>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</si>
  <si>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</si>
  <si>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</si>
  <si>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</si>
  <si>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</si>
  <si>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</si>
  <si>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</si>
  <si>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</si>
  <si>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</si>
  <si>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</si>
  <si>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</si>
  <si>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</si>
  <si>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</si>
  <si>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</si>
  <si>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</si>
  <si>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</si>
  <si>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</si>
  <si>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</si>
  <si>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</si>
  <si>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</si>
  <si>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</si>
  <si>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</si>
  <si>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</si>
  <si>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</si>
  <si>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</si>
  <si>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</si>
  <si>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</si>
  <si>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</si>
  <si>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</si>
  <si>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</si>
  <si>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</si>
  <si>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</si>
  <si>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</si>
  <si>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</si>
  <si>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</si>
  <si>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</si>
  <si>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</si>
  <si>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</si>
  <si>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</si>
  <si>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</si>
  <si>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</si>
  <si>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</si>
  <si>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</si>
  <si>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</si>
  <si>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</si>
  <si>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</si>
  <si>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</si>
  <si>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</si>
  <si>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</si>
  <si>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</si>
  <si>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</si>
  <si>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</si>
  <si>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</si>
  <si>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</si>
  <si>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</si>
  <si>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</si>
  <si>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</si>
  <si>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</si>
  <si>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</si>
  <si>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</si>
  <si>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</si>
  <si>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</si>
  <si>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</si>
  <si>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</si>
  <si>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</si>
  <si>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</si>
  <si>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</si>
  <si>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</si>
  <si>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</si>
  <si>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</si>
  <si>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</si>
  <si>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</si>
  <si>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</si>
  <si>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</si>
  <si>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</si>
  <si>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</si>
  <si>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</si>
  <si>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</si>
  <si>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</si>
  <si>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</si>
  <si>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</si>
  <si>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</si>
  <si>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</si>
  <si>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</si>
  <si>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</si>
  <si>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</si>
  <si>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</si>
  <si>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</si>
  <si>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</si>
  <si>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</si>
  <si>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</si>
  <si>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</si>
  <si>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</si>
  <si>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</si>
  <si>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</si>
  <si>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</si>
  <si>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</si>
  <si>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</si>
  <si>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</si>
  <si>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</si>
  <si>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</si>
  <si>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</si>
  <si>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</si>
  <si>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</si>
  <si>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</si>
  <si>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</si>
  <si>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</si>
  <si>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</si>
  <si>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</si>
  <si>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</si>
  <si>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</si>
  <si>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</si>
  <si>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</si>
  <si>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</si>
  <si>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</si>
  <si>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</si>
  <si>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</si>
  <si>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</si>
  <si>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</si>
  <si>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</si>
  <si>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</si>
  <si>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</si>
  <si>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</si>
  <si>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</si>
  <si>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</si>
  <si>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</si>
  <si>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</si>
  <si>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</si>
  <si>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</si>
  <si>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</si>
  <si>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</si>
  <si>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</si>
  <si>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</si>
  <si>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</si>
  <si>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</si>
  <si>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</si>
  <si>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</si>
  <si>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</si>
  <si>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</si>
  <si>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</si>
  <si>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</si>
  <si>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</si>
  <si>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</si>
  <si>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</si>
  <si>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</si>
  <si>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</si>
  <si>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</si>
  <si>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</si>
  <si>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</si>
  <si>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</si>
  <si>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</si>
  <si>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</si>
  <si>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</si>
  <si>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</si>
  <si>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</si>
  <si>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</si>
  <si>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</si>
  <si>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</si>
  <si>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</si>
  <si>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</si>
  <si>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</si>
  <si>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</si>
  <si>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</si>
  <si>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</si>
  <si>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</si>
  <si>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</si>
  <si>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</si>
  <si>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</si>
  <si>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</si>
  <si>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</si>
  <si>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</si>
  <si>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</si>
  <si>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</si>
  <si>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</si>
  <si>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</si>
  <si>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</si>
  <si>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XAVIER MATEU</t>
  </si>
  <si>
    <t>09:06</t>
  </si>
  <si>
    <t>04:03</t>
  </si>
  <si>
    <t>03:59</t>
  </si>
  <si>
    <t>06:52</t>
  </si>
  <si>
    <t>ENDER OZBEK</t>
  </si>
  <si>
    <t>SERTAC DOSTEL</t>
  </si>
  <si>
    <t>GIZEM UNSAL</t>
  </si>
  <si>
    <t>Very good job! You had a problem In one of the first plays, but it didn't affect the development of the game.</t>
  </si>
  <si>
    <t>C:\Users\xavi.mateu\OneDrive - EUROLEAGUE\Desktop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</si>
</sst>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22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22_217_ULK_PAM_E2025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759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217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46038.864583333336</v>
      </c>
      <c r="C3" s="157"/>
      <c r="D3" s="39">
        <v>638</v>
      </c>
      <c r="E3" s="29"/>
      <c r="F3" s="26">
        <f>SUBTOTAL(3,I17:I106)</f>
        <v>7</v>
      </c>
      <c r="G3" s="27">
        <f>IF(OR(D3="",D3=0),"",F3/D3)</f>
        <v>1.0971786833855799E-2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Fenerbahce Beko Istanbul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ULK</v>
      </c>
      <c r="I4" s="5"/>
      <c r="J4" s="119" t="s">
        <v>714</v>
      </c>
      <c r="K4" s="54" t="s">
        <v>743</v>
      </c>
      <c r="L4" s="5"/>
      <c r="M4" s="167" t="s">
        <v>758</v>
      </c>
      <c r="N4" s="168"/>
      <c r="O4" s="2"/>
      <c r="P4" s="2"/>
      <c r="Q4" s="84" t="s">
        <v>175</v>
      </c>
      <c r="R4" s="94">
        <f>(IF(G3="",0,G3))</f>
        <v>1.0971786833855799E-2</v>
      </c>
      <c r="S4" s="61">
        <f>SUM(I13:M13)</f>
        <v>0</v>
      </c>
      <c r="T4" s="78"/>
      <c r="U4" s="61">
        <f>AC18</f>
        <v>0</v>
      </c>
      <c r="V4" s="61">
        <f>+AC22</f>
        <v>5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2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Valencia Basket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PAM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1.0971786833855799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5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735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755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11.097178683385581</v>
      </c>
      <c r="N7" s="58"/>
      <c r="O7" s="2"/>
      <c r="P7" s="2"/>
      <c r="Q7" s="86">
        <f>SUM(R5,S5,AC16)</f>
        <v>11.097178683385581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756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11.097178683385579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757</v>
      </c>
      <c r="E9" s="179"/>
      <c r="F9" s="179"/>
      <c r="G9" s="180"/>
      <c r="H9" s="130" t="str">
        <f>VLOOKUP($H$4,Teams!$B$3:$O$44,3,FALSE)</f>
        <v>CAN KUTLUATA</v>
      </c>
      <c r="I9" s="130" t="str">
        <f>VLOOKUP($H$4,Teams!$B$3:$O$44,3,FALSE)</f>
        <v>CAN KUTLUATA</v>
      </c>
      <c r="J9" s="130" t="str">
        <f>VLOOKUP($H$4,Teams!$B$3:$O$44,5,FALSE)</f>
        <v>SERTAC DSTEL</v>
      </c>
      <c r="K9" s="130" t="str">
        <f>VLOOKUP($H$4,Teams!$B$3:$O$44,6,FALSE)</f>
        <v>SERHAT LEVENT</v>
      </c>
      <c r="L9" s="130" t="str">
        <f>VLOOKUP($H$4,Teams!$B$3:$O$44,7,FALSE)</f>
        <v>AHMET ERKASAP</v>
      </c>
      <c r="M9" s="131" t="str">
        <f>VLOOKUP($H$4,Teams!$B$3:$O$44,8,FALSE)</f>
        <v>MURAT KUS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739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740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217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750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7</v>
      </c>
      <c r="J15" s="24">
        <f>SUBTOTAL(3,J17:J106)</f>
        <v>7</v>
      </c>
      <c r="K15" s="24">
        <f>SUBTOTAL(3,K17:K106)</f>
        <v>7</v>
      </c>
      <c r="L15" s="24">
        <f>SUBTOTAL(3,L17:L106)</f>
        <v>7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2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7</v>
      </c>
      <c r="Z16" s="90" t="s">
        <v>110</v>
      </c>
      <c r="AA16" s="75">
        <f>SUM(AA17:AA24)</f>
        <v>7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10</v>
      </c>
      <c r="AD16" s="75">
        <f>SUM(AD17:AD24)</f>
        <v>45</v>
      </c>
      <c r="AE16" s="76" t="s">
        <v>42</v>
      </c>
      <c r="AF16" s="75">
        <f>SUM(AF17:AF24)</f>
        <v>2</v>
      </c>
      <c r="AG16" s="75">
        <f>SUM(AG17:AG21)</f>
        <v>7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1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217</v>
      </c>
      <c r="D17" s="32" t="s">
        <v>751</v>
      </c>
      <c r="E17" s="33">
        <v>1</v>
      </c>
      <c r="F17" s="36">
        <v>2</v>
      </c>
      <c r="G17" s="36">
        <v>4</v>
      </c>
      <c r="H17" s="38" t="str">
        <f>IF(I17="","",$I$14)</f>
        <v>SCOUTING</v>
      </c>
      <c r="I17" s="34">
        <v>11</v>
      </c>
      <c r="J17" s="13" t="s">
        <v>4</v>
      </c>
      <c r="K17" s="13" t="s">
        <v>63</v>
      </c>
      <c r="L17" s="13" t="s">
        <v>6</v>
      </c>
      <c r="M17" s="13" t="s">
        <v>23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7</v>
      </c>
      <c r="Z17" s="105" t="s">
        <v>63</v>
      </c>
      <c r="AA17" s="62">
        <f>COUNTIF($K$17:$K$106,Z17)</f>
        <v>6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1</v>
      </c>
      <c r="AG17" s="62">
        <f>COUNTIF($E$17:$E$106,$AK17)</f>
        <v>6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217</v>
      </c>
      <c r="D18" s="32" t="s">
        <v>751</v>
      </c>
      <c r="E18" s="33">
        <v>1</v>
      </c>
      <c r="F18" s="36">
        <v>2</v>
      </c>
      <c r="G18" s="36">
        <v>4</v>
      </c>
      <c r="H18" s="38" t="str">
        <f t="shared" ref="H18:H81" si="8">IF(I18="","",$I$14)</f>
        <v>SCOUTING</v>
      </c>
      <c r="I18" s="34">
        <v>12</v>
      </c>
      <c r="J18" s="13" t="s">
        <v>4</v>
      </c>
      <c r="K18" s="13" t="s">
        <v>63</v>
      </c>
      <c r="L18" s="13" t="s">
        <v>6</v>
      </c>
      <c r="M18" s="13" t="s">
        <v>11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1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E2025</v>
      </c>
      <c r="C19" s="31">
        <f t="shared" si="3"/>
        <v>217</v>
      </c>
      <c r="D19" s="32" t="s">
        <v>751</v>
      </c>
      <c r="E19" s="33">
        <v>1</v>
      </c>
      <c r="F19" s="36">
        <v>2</v>
      </c>
      <c r="G19" s="36">
        <v>4</v>
      </c>
      <c r="H19" s="38" t="str">
        <f t="shared" si="8"/>
        <v>SCOUTING</v>
      </c>
      <c r="I19" s="34">
        <v>13</v>
      </c>
      <c r="J19" s="13" t="s">
        <v>4</v>
      </c>
      <c r="K19" s="13" t="s">
        <v>63</v>
      </c>
      <c r="L19" s="13" t="s">
        <v>6</v>
      </c>
      <c r="M19" s="13" t="s">
        <v>25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E2025</v>
      </c>
      <c r="C20" s="31">
        <f t="shared" si="3"/>
        <v>217</v>
      </c>
      <c r="D20" s="32" t="s">
        <v>751</v>
      </c>
      <c r="E20" s="33">
        <v>1</v>
      </c>
      <c r="F20" s="36">
        <v>2</v>
      </c>
      <c r="G20" s="36">
        <v>4</v>
      </c>
      <c r="H20" s="38" t="str">
        <f t="shared" si="8"/>
        <v>SCOUTING</v>
      </c>
      <c r="I20" s="34">
        <v>13</v>
      </c>
      <c r="J20" s="13" t="s">
        <v>4</v>
      </c>
      <c r="K20" s="13" t="s">
        <v>62</v>
      </c>
      <c r="L20" s="13" t="s">
        <v>7</v>
      </c>
      <c r="M20" s="13" t="s">
        <v>168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1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>E2025</v>
      </c>
      <c r="C21" s="31">
        <f t="shared" si="3"/>
        <v>217</v>
      </c>
      <c r="D21" s="32" t="s">
        <v>752</v>
      </c>
      <c r="E21" s="33">
        <v>1</v>
      </c>
      <c r="F21" s="36">
        <v>18</v>
      </c>
      <c r="G21" s="36">
        <v>18</v>
      </c>
      <c r="H21" s="38" t="str">
        <f t="shared" si="8"/>
        <v>SCOUTING</v>
      </c>
      <c r="I21" s="34">
        <v>82</v>
      </c>
      <c r="J21" s="13" t="s">
        <v>4</v>
      </c>
      <c r="K21" s="13" t="s">
        <v>63</v>
      </c>
      <c r="L21" s="13" t="s">
        <v>7</v>
      </c>
      <c r="M21" s="13" t="s">
        <v>30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1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>E2025</v>
      </c>
      <c r="C22" s="31">
        <f t="shared" si="3"/>
        <v>217</v>
      </c>
      <c r="D22" s="32" t="s">
        <v>753</v>
      </c>
      <c r="E22" s="33">
        <v>1</v>
      </c>
      <c r="F22" s="36">
        <v>18</v>
      </c>
      <c r="G22" s="36">
        <v>18</v>
      </c>
      <c r="H22" s="38" t="str">
        <f t="shared" si="8"/>
        <v>SCOUTING</v>
      </c>
      <c r="I22" s="34">
        <v>86</v>
      </c>
      <c r="J22" s="13" t="s">
        <v>4</v>
      </c>
      <c r="K22" s="13" t="s">
        <v>63</v>
      </c>
      <c r="L22" s="13" t="s">
        <v>6</v>
      </c>
      <c r="M22" s="13" t="s">
        <v>22</v>
      </c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5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>E2025</v>
      </c>
      <c r="C23" s="31">
        <f t="shared" si="3"/>
        <v>217</v>
      </c>
      <c r="D23" s="32" t="s">
        <v>754</v>
      </c>
      <c r="E23" s="33">
        <v>2</v>
      </c>
      <c r="F23" s="36">
        <v>30</v>
      </c>
      <c r="G23" s="36">
        <v>30</v>
      </c>
      <c r="H23" s="38" t="str">
        <f t="shared" si="8"/>
        <v>SCOUTING</v>
      </c>
      <c r="I23" s="34">
        <v>183</v>
      </c>
      <c r="J23" s="13" t="s">
        <v>4</v>
      </c>
      <c r="K23" s="13" t="s">
        <v>63</v>
      </c>
      <c r="L23" s="13" t="s">
        <v>6</v>
      </c>
      <c r="M23" s="13" t="s">
        <v>10</v>
      </c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2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1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1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1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1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1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REPORT_E2025217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"E2025217"</v>
      </c>
      <c r="F3" s="45" t="str">
        <f t="shared" ref="F3:F16" si="0">""""&amp;B3&amp;"""" &amp; " : " &amp;C3&amp;","</f>
        <v>"name" : "E2025217",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"E217"</v>
      </c>
      <c r="F4" s="45" t="str">
        <f t="shared" si="0"/>
        <v>"cod" : "E217",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217</v>
      </c>
      <c r="F6" s="45" t="str">
        <f t="shared" si="0"/>
        <v>"number" : 217,</v>
      </c>
    </row>
    <row r="7" spans="2:6" x14ac:dyDescent="0.25">
      <c r="B7" s="43" t="s">
        <v>116</v>
      </c>
      <c r="C7" s="43" t="str">
        <f ca="1">""""&amp;TEXT('SCOUT &amp; LOGISTICS'!B3,"dd/mm/aaaa")&amp;""""</f>
        <v>"16/01/Friday"</v>
      </c>
      <c r="F7" s="45" t="str">
        <f t="shared" ca="1" si="0"/>
        <v>"date" : "16/01/Friday",</v>
      </c>
    </row>
    <row r="8" spans="2:6" x14ac:dyDescent="0.25">
      <c r="B8" s="43" t="s">
        <v>125</v>
      </c>
      <c r="C8" s="43" t="str">
        <f>""""&amp;'SCOUT &amp; LOGISTICS'!D4 &amp;""""</f>
        <v>"Fenerbahce Beko Istanbul"</v>
      </c>
      <c r="F8" s="45" t="str">
        <f t="shared" si="0"/>
        <v>"home_team" : "Fenerbahce Beko Istanbul",</v>
      </c>
    </row>
    <row r="9" spans="2:6" x14ac:dyDescent="0.25">
      <c r="B9" s="43" t="s">
        <v>126</v>
      </c>
      <c r="C9" s="43" t="str">
        <f>""""&amp;'SCOUT &amp; LOGISTICS'!D5&amp;""""</f>
        <v>"Valencia Basket"</v>
      </c>
      <c r="F9" s="45" t="str">
        <f t="shared" si="0"/>
        <v>"away_team" : "Valencia Basket",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"CAN KUTLUATA"</v>
      </c>
      <c r="F10" s="45" t="str">
        <f t="shared" si="0"/>
        <v>"Data_entry" : "CAN KUTLUATA",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"ENDER OZBEK"</v>
      </c>
      <c r="F11" s="45" t="str">
        <f t="shared" si="0"/>
        <v>"Caller_1" : "ENDER OZBEK",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"SERTAC DOSTEL"</v>
      </c>
      <c r="F12" s="45" t="str">
        <f t="shared" si="0"/>
        <v>"Caller_2" : "SERTAC DOSTEL",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"GIZEM UNSAL"</v>
      </c>
      <c r="F13" s="45" t="str">
        <f t="shared" si="0"/>
        <v>"Timerkeeper" : "GIZEM UNSAL",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"AHMET ERKASAP"</v>
      </c>
      <c r="F14" s="45" t="str">
        <f t="shared" si="0"/>
        <v>"Shotclock" : "AHMET ERKASAP",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"MURAT KUS"</v>
      </c>
      <c r="F15" s="45" t="str">
        <f t="shared" si="0"/>
        <v>"IRS" : "MURAT KUS",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"XAVIER MATEU"</v>
      </c>
      <c r="F16" s="45" t="str">
        <f t="shared" si="0"/>
        <v>"Live_Game_Manager" : "XAVIER MATEU",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638</v>
      </c>
      <c r="F25" s="45" t="str">
        <f t="shared" ref="F25:F48" si="1">""""&amp;C25&amp;"""" &amp; " : " &amp;D25&amp;","</f>
        <v>"total_actions" : 638,</v>
      </c>
    </row>
    <row r="26" spans="2:6" x14ac:dyDescent="0.25">
      <c r="C26" s="43" t="s">
        <v>132</v>
      </c>
      <c r="D26" s="43">
        <f>'SCOUT &amp; LOGISTICS'!F3</f>
        <v>7</v>
      </c>
      <c r="F26" s="45" t="str">
        <f t="shared" si="1"/>
        <v>"total_correcions" : 7,</v>
      </c>
    </row>
    <row r="27" spans="2:6" x14ac:dyDescent="0.25">
      <c r="C27" s="43" t="s">
        <v>133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5">
      <c r="C28" s="43" t="s">
        <v>125</v>
      </c>
      <c r="D28" s="43">
        <f>IF('SCOUT &amp; LOGISTICS'!AA17="","",'SCOUT &amp; LOGISTICS'!AA17)</f>
        <v>6</v>
      </c>
      <c r="F28" s="45" t="str">
        <f t="shared" si="1"/>
        <v>"home_team" : 6,</v>
      </c>
    </row>
    <row r="29" spans="2:6" x14ac:dyDescent="0.25">
      <c r="C29" s="43" t="s">
        <v>134</v>
      </c>
      <c r="D29" s="43">
        <f>IF('SCOUT &amp; LOGISTICS'!AA18="","",'SCOUT &amp; LOGISTICS'!AA18)</f>
        <v>1</v>
      </c>
      <c r="F29" s="45" t="str">
        <f t="shared" si="1"/>
        <v>"no_team" : 1,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6</v>
      </c>
      <c r="F31" s="45" t="str">
        <f t="shared" si="1"/>
        <v>"q1" : 6,</v>
      </c>
    </row>
    <row r="32" spans="2:6" x14ac:dyDescent="0.25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7</v>
      </c>
      <c r="F37" s="45" t="str">
        <f t="shared" si="1"/>
        <v>"scoresheet_corrections" : 7,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1</v>
      </c>
      <c r="F41" s="45" t="str">
        <f t="shared" si="1"/>
        <v>"irs" : 1,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2</v>
      </c>
      <c r="F46" s="45" t="str">
        <f t="shared" si="1"/>
        <v>"part_of_a_sequence" : 2,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"Very good job! You had a problem In one of the first plays, but it didn't affect the development of the game."</v>
      </c>
      <c r="F51" s="45" t="str">
        <f>""""&amp;B51&amp;"""" &amp; " : " &amp;C51&amp;","</f>
        <v>"comments" : "Very good job! You had a problem In one of the first plays, but it didn't affect the development of the game.",</v>
      </c>
    </row>
    <row r="52" spans="2:6" x14ac:dyDescent="0.25">
      <c r="B52" s="43" t="s">
        <v>153</v>
      </c>
      <c r="C52" s="43" t="str">
        <f>TEXT('SCOUT &amp; LOGISTICS'!F1,"0,0")</f>
        <v>22_217_ULK_PAM_E2025</v>
      </c>
      <c r="F52" s="45" t="str">
        <f>""""&amp;B52&amp;"""" &amp; " : " &amp;C52</f>
        <v>"result" : 22_217_ULK_PAM_E2025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E217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16/01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Fenerbahce Beko Istanbul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Valencia Basket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CAN KUTLUATA</v>
      </c>
      <c r="C8" s="206"/>
      <c r="D8" s="206"/>
      <c r="E8" s="206"/>
      <c r="F8" s="206"/>
      <c r="G8" s="206" t="str">
        <f>IF('SCOUT &amp; LOGISTICS'!D7="","",'SCOUT &amp; LOGISTICS'!D7)</f>
        <v>ENDER OZBEK</v>
      </c>
      <c r="H8" s="206"/>
      <c r="I8" s="206"/>
      <c r="J8" s="206"/>
      <c r="K8" s="206"/>
      <c r="L8" s="206" t="str">
        <f>IF('SCOUT &amp; LOGISTICS'!D8="","",'SCOUT &amp; LOGISTICS'!D8)</f>
        <v>SERTAC DOSTEL</v>
      </c>
      <c r="M8" s="206"/>
      <c r="N8" s="206"/>
      <c r="O8" s="206"/>
      <c r="P8" s="206"/>
      <c r="Q8" s="206" t="str">
        <f>IF('SCOUT &amp; LOGISTICS'!D9="","",'SCOUT &amp; LOGISTICS'!D9)</f>
        <v>GIZEM UNSAL</v>
      </c>
      <c r="R8" s="206"/>
      <c r="S8" s="206"/>
      <c r="T8" s="206"/>
      <c r="U8" s="206"/>
      <c r="V8" s="206" t="str">
        <f>IF('SCOUT &amp; LOGISTICS'!D10="","",'SCOUT &amp; LOGISTICS'!D10)</f>
        <v>AHMET ERKASAP</v>
      </c>
      <c r="W8" s="206"/>
      <c r="X8" s="206"/>
      <c r="Y8" s="206"/>
      <c r="Z8" s="206"/>
      <c r="AA8" s="206" t="str">
        <f>IF('SCOUT &amp; LOGISTICS'!D11="","",'SCOUT &amp; LOGISTICS'!D11)</f>
        <v>MURAT KUS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XAVIER MATEU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638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7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1.0971786833855799E-2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6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1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6</v>
      </c>
      <c r="C22" s="197"/>
      <c r="D22" s="197"/>
      <c r="E22" s="197"/>
      <c r="F22" s="197"/>
      <c r="G22" s="197"/>
      <c r="H22" s="197">
        <f>'SCOUT &amp; LOGISTICS'!AG18</f>
        <v>1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7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0</v>
      </c>
      <c r="C27" s="197"/>
      <c r="D27" s="197"/>
      <c r="E27" s="197"/>
      <c r="F27" s="197"/>
      <c r="G27" s="197">
        <f>'SCOUT &amp; LOGISTICS'!AC22</f>
        <v>5</v>
      </c>
      <c r="H27" s="197"/>
      <c r="I27" s="197"/>
      <c r="J27" s="197"/>
      <c r="K27" s="197"/>
      <c r="L27" s="197">
        <f>'SCOUT &amp; LOGISTICS'!AC23</f>
        <v>2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Very good job! You had a problem In one of the first plays, but it didn't affect the development of the game.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11.097178683385581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de36969f4ed48e290014b5fd8755fec7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499fb8b56df7ec750a6b01bb270a1e23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B03ABE8-D8C8-4C61-ACC6-FE4C8E9BDC5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94b618-8e81-416b-aa01-0d9b54a17456"/>
    <ds:schemaRef ds:uri="54eaeb27-407e-4594-8513-05236ac1c6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Xavi Mateu</cp:lastModifiedBy>
  <cp:lastPrinted>2026-01-16T20:14:03Z</cp:lastPrinted>
  <dcterms:created xsi:type="dcterms:W3CDTF">2023-09-19T19:50:35Z</dcterms:created>
  <dcterms:modified xsi:type="dcterms:W3CDTF">2026-01-16T20:14:07Z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