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13_ncr:1_{E09D0A17-3AE4-404D-98CA-309F934EA095}" xr6:coauthVersionLast="47" xr6:coauthVersionMax="47" xr10:uidLastSave="{00000000-0000-0000-0000-000000000000}"/>
  <bookViews>
    <workbookView xWindow="-12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<sst xmlns="http://schemas.openxmlformats.org/spreadsheetml/2006/main" count="3260" uniqueCount="761">
  <si>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</si>
  <si>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</si>
  <si>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</si>
  <si>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</si>
  <si>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</si>
  <si>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</si>
  <si>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</si>
  <si>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</si>
  <si>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</si>
  <si>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</si>
  <si>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</si>
  <si>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</si>
  <si>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</si>
  <si>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</si>
  <si>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</si>
  <si>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</si>
  <si>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</si>
  <si>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</si>
  <si>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</si>
  <si>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</si>
  <si>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</si>
  <si>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</si>
  <si>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</si>
  <si>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</si>
  <si>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</si>
  <si>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</si>
  <si>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</si>
  <si>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</si>
  <si>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</si>
  <si>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</si>
  <si>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</si>
  <si>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</si>
  <si>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</si>
  <si>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</si>
  <si>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</si>
  <si>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</si>
  <si>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</si>
  <si>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</si>
  <si>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</si>
  <si>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</si>
  <si>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</si>
  <si>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</si>
  <si>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</si>
  <si>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</si>
  <si>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</si>
  <si>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</si>
  <si>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</si>
  <si>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</si>
  <si>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</si>
  <si>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</si>
  <si>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</si>
  <si>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</si>
  <si>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</si>
  <si>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</si>
  <si>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</si>
  <si>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</si>
  <si>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</si>
  <si>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</si>
  <si>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</si>
  <si>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</si>
  <si>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</si>
  <si>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</si>
  <si>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</si>
  <si>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</si>
  <si>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</si>
  <si>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</si>
  <si>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</si>
  <si>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</si>
  <si>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</si>
  <si>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</si>
  <si>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</si>
  <si>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</si>
  <si>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</si>
  <si>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</si>
  <si>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</si>
  <si>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</si>
  <si>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</si>
  <si>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</si>
  <si>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</si>
  <si>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</si>
  <si>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</si>
  <si>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</si>
  <si>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</si>
  <si>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</si>
  <si>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</si>
  <si>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</si>
  <si>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</si>
  <si>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</si>
  <si>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</si>
  <si>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</si>
  <si>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</si>
  <si>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</si>
  <si>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</si>
  <si>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</si>
  <si>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</si>
  <si>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</si>
  <si>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</si>
  <si>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</si>
  <si>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</si>
  <si>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</si>
  <si>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</si>
  <si>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</si>
  <si>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</si>
  <si>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</si>
  <si>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</si>
  <si>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</si>
  <si>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</si>
  <si>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</si>
  <si>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</si>
  <si>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</si>
  <si>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</si>
  <si>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</si>
  <si>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</si>
  <si>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</si>
  <si>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</si>
  <si>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</si>
  <si>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</si>
  <si>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</si>
  <si>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</si>
  <si>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</si>
  <si>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</si>
  <si>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</si>
  <si>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</si>
  <si>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</si>
  <si>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</si>
  <si>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</si>
  <si>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</si>
  <si>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</si>
  <si>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</si>
  <si>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</si>
  <si>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</si>
  <si>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</si>
  <si>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</si>
  <si>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</si>
  <si>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</si>
  <si>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</si>
  <si>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</si>
  <si>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</si>
  <si>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</si>
  <si>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</si>
  <si>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</si>
  <si>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</si>
  <si>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</si>
  <si>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</si>
  <si>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</si>
  <si>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</si>
  <si>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</si>
  <si>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</si>
  <si>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</si>
  <si>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</si>
  <si>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</si>
  <si>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</si>
  <si>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</si>
  <si>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</si>
  <si>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</si>
  <si>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</si>
  <si>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</si>
  <si>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</si>
  <si>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</si>
  <si>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</si>
  <si>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</si>
  <si>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</si>
  <si>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</si>
  <si>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</si>
  <si>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</si>
  <si>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</si>
  <si>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</si>
  <si>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</si>
  <si>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</si>
  <si>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</si>
  <si>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</si>
  <si>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</si>
  <si>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</si>
  <si>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</si>
  <si>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</si>
  <si>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</si>
  <si>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</si>
  <si>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</si>
  <si>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</si>
  <si>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</si>
  <si>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</si>
  <si>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</si>
  <si>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</si>
  <si>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</si>
  <si>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</si>
  <si>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</si>
  <si>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</si>
  <si>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</si>
  <si>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</si>
  <si>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</si>
  <si>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</si>
  <si>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</si>
  <si>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</si>
  <si>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</si>
  <si>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</si>
  <si>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</si>
  <si>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</si>
  <si>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</si>
  <si>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</si>
  <si>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</si>
  <si>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</si>
  <si>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</si>
  <si>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</si>
  <si>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</si>
  <si>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</si>
  <si>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</si>
  <si>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</si>
  <si>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</si>
  <si>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</si>
  <si>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</si>
  <si>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</si>
  <si>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</si>
  <si>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</si>
  <si>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</si>
  <si>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</si>
  <si>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</si>
  <si>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</si>
  <si>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</si>
  <si>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</si>
  <si>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</si>
  <si>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</si>
  <si>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</si>
  <si>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</si>
  <si>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</si>
  <si>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</si>
  <si>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</si>
  <si>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</si>
  <si>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</si>
  <si>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</si>
  <si>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</si>
  <si>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</si>
  <si>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</si>
  <si>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</si>
  <si>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</si>
  <si>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</si>
  <si>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</si>
  <si>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</si>
  <si>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</si>
  <si>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</si>
  <si>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</si>
  <si>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</si>
  <si>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</si>
  <si>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</si>
  <si>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</si>
  <si>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</si>
  <si>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</si>
  <si>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</si>
  <si>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</si>
  <si>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</si>
  <si>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</si>
  <si>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</si>
  <si>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</si>
  <si>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</si>
  <si>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</si>
  <si>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</si>
  <si>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</si>
  <si>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</si>
  <si>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</si>
  <si>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</si>
  <si>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</si>
  <si>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</si>
  <si>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</si>
  <si>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</si>
  <si>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</si>
  <si>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</si>
  <si>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</si>
  <si>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</si>
  <si>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</si>
  <si>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</si>
  <si>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</si>
  <si>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</si>
  <si>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</si>
  <si>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</si>
  <si>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</si>
  <si>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</si>
  <si>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</si>
  <si>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</si>
  <si>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</si>
  <si>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</si>
  <si>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</si>
  <si>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</si>
  <si>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</si>
  <si>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</si>
  <si>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</si>
  <si>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</si>
  <si>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</si>
  <si>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</si>
  <si>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</si>
  <si>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</si>
  <si>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</si>
  <si>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</si>
  <si>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</si>
  <si>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</si>
  <si>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</si>
  <si>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</si>
  <si>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</si>
  <si>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</si>
  <si>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</si>
  <si>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</si>
  <si>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</si>
  <si>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</si>
  <si>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</si>
  <si>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</si>
  <si>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</si>
  <si>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</si>
  <si>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</si>
  <si>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</si>
  <si>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</si>
  <si>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</si>
  <si>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</si>
  <si>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</si>
  <si>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</si>
  <si>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</si>
  <si>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</si>
  <si>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</si>
  <si>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</si>
  <si>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</si>
  <si>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</si>
  <si>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</si>
  <si>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</si>
  <si>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</si>
  <si>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</si>
  <si>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</si>
  <si>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</si>
  <si>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</si>
  <si>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</si>
  <si>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</si>
  <si>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</si>
  <si>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</si>
  <si>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</si>
  <si>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</si>
  <si>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</si>
  <si>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</si>
  <si>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</si>
  <si>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</si>
  <si>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</si>
  <si>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</si>
  <si>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</si>
  <si>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</si>
  <si>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</si>
  <si>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</si>
  <si>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</si>
  <si>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</si>
  <si>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</si>
  <si>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</si>
  <si>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</si>
  <si>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</si>
  <si>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</si>
  <si>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</si>
  <si>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</si>
  <si>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</si>
  <si>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</si>
  <si>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</si>
  <si>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</si>
  <si>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</si>
  <si>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</si>
  <si>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</si>
  <si>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</si>
  <si>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</si>
  <si>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</si>
  <si>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</si>
  <si>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</si>
  <si>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</si>
  <si>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</si>
  <si>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</si>
  <si>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</si>
  <si>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</si>
  <si>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</si>
  <si>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</si>
  <si>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</si>
  <si>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</si>
  <si>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</si>
  <si>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</si>
  <si>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</si>
  <si>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</si>
  <si>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</si>
  <si>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</si>
  <si>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</si>
  <si>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</si>
  <si>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</si>
  <si>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</si>
  <si>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</si>
  <si>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</si>
  <si>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</si>
  <si>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</si>
  <si>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</si>
  <si>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</si>
  <si>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</si>
  <si>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</si>
  <si>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</si>
  <si>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</si>
  <si>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</si>
  <si>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</si>
  <si>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</si>
  <si>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</si>
  <si>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</si>
  <si>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</si>
  <si>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</si>
  <si>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</si>
  <si>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</si>
  <si>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</si>
  <si>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</si>
  <si>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</si>
  <si>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</si>
  <si>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</si>
  <si>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</si>
  <si>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</si>
  <si>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</si>
  <si>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</si>
  <si>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</si>
  <si>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</si>
  <si>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</si>
  <si>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</si>
  <si>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</si>
  <si>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</si>
  <si>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</si>
  <si>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</si>
  <si>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</si>
  <si>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</si>
  <si>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</si>
  <si>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</si>
  <si>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</si>
  <si>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</si>
  <si>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</si>
  <si>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</si>
  <si>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</si>
  <si>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</si>
  <si>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</si>
  <si>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</si>
  <si>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</si>
  <si>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</si>
  <si>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</si>
  <si>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</si>
  <si>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</si>
  <si>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</si>
  <si>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</si>
  <si>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</si>
  <si>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</si>
  <si>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</si>
  <si>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</si>
  <si>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</si>
  <si>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</si>
  <si>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</si>
  <si>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</si>
  <si>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</si>
  <si>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</si>
  <si>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</si>
  <si>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</si>
  <si>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</si>
  <si>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</si>
  <si>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</si>
  <si>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</si>
  <si>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</si>
  <si>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</si>
  <si>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</si>
  <si>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</si>
  <si>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</si>
  <si>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</si>
  <si>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</si>
  <si>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</si>
  <si>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</si>
  <si>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</si>
  <si>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</si>
  <si>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</si>
  <si>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</si>
  <si>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</si>
  <si>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</si>
  <si>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</si>
  <si>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</si>
  <si>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</si>
  <si>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</si>
  <si>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</si>
  <si>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</si>
  <si>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</si>
  <si>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</si>
  <si>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</si>
  <si>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</si>
  <si>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</si>
  <si>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</si>
  <si>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</si>
  <si>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</si>
  <si>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</si>
  <si>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</si>
  <si>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</si>
  <si>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</si>
  <si>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</si>
  <si>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</si>
  <si>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</si>
  <si>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</si>
  <si>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</si>
  <si>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</si>
  <si>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</si>
  <si>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</si>
  <si>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</si>
  <si>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</si>
  <si>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</si>
  <si>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</si>
  <si>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</si>
  <si>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</si>
  <si>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</si>
  <si>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</si>
  <si>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</si>
  <si>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</si>
  <si>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</si>
  <si>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</si>
  <si>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</si>
  <si>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</si>
  <si>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</si>
  <si>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</si>
  <si>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</si>
  <si>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</si>
  <si>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</si>
  <si>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</si>
  <si>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</si>
  <si>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</si>
  <si>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</si>
  <si>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</si>
  <si>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</si>
  <si>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</si>
  <si>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</si>
  <si>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</si>
  <si>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</si>
  <si>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</si>
  <si>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</si>
  <si>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</si>
  <si>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</si>
  <si>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</si>
  <si>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</si>
  <si>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</si>
  <si>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</si>
  <si>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</si>
  <si>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</si>
  <si>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</si>
  <si>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</si>
  <si>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</si>
  <si>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</si>
  <si>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</si>
  <si>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</si>
  <si>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</si>
  <si>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</si>
  <si>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</si>
  <si>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</si>
  <si>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</si>
  <si>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</si>
  <si>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</si>
  <si>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</si>
  <si>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</si>
  <si>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</si>
  <si>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</si>
  <si>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</si>
  <si>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</si>
  <si>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</si>
  <si>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</si>
  <si>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</si>
  <si>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</si>
  <si>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</si>
  <si>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</si>
  <si>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</si>
  <si>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</si>
  <si>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</si>
  <si>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</si>
  <si>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</si>
  <si>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</si>
  <si>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</si>
  <si>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</si>
  <si>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</si>
  <si>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</si>
  <si>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</si>
  <si>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</si>
  <si>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</si>
  <si>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</si>
  <si>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</si>
  <si>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</si>
  <si>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</si>
  <si>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</si>
  <si>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</si>
  <si>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</si>
  <si>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</si>
  <si>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</si>
  <si>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</si>
  <si>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</si>
  <si>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</si>
  <si>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</si>
  <si>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</si>
  <si>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</si>
  <si>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</si>
  <si>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</si>
  <si>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</si>
  <si>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</si>
  <si>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</si>
  <si>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</si>
  <si>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</si>
  <si>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</si>
  <si>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</si>
  <si>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</si>
  <si>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</si>
  <si>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</si>
  <si>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</si>
  <si>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</si>
  <si>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</si>
  <si>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</si>
  <si>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</si>
  <si>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</si>
  <si>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</si>
  <si>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</si>
  <si>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</si>
  <si>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</si>
  <si>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</si>
  <si>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</si>
  <si>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</si>
  <si>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</si>
  <si>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</si>
  <si>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</si>
  <si>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</si>
  <si>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</si>
  <si>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</si>
  <si>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</si>
  <si>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</si>
  <si>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</si>
  <si>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</si>
  <si>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</si>
  <si>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</si>
  <si>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</si>
  <si>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</si>
  <si>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</si>
  <si>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</si>
  <si>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</si>
  <si>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</si>
  <si>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</si>
  <si>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</si>
  <si>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</si>
  <si>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</si>
  <si>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</si>
  <si>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</si>
  <si>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</si>
  <si>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</si>
  <si>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</si>
  <si>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</si>
  <si>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</si>
  <si>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</si>
  <si>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</si>
  <si>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</si>
  <si>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</si>
  <si>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</si>
  <si>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</si>
  <si>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</si>
  <si>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</si>
  <si>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</si>
  <si>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</si>
  <si>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</si>
  <si>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</si>
  <si>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</si>
  <si>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</si>
  <si>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</si>
  <si>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</si>
  <si>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</si>
  <si>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</si>
  <si>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</si>
  <si>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</si>
  <si>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</si>
  <si>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</si>
  <si>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</si>
  <si>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</si>
  <si>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</si>
  <si>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</si>
  <si>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</si>
  <si>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</si>
  <si>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</si>
  <si>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</si>
  <si>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</si>
  <si>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</si>
  <si>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</si>
  <si>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</si>
  <si>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</si>
  <si>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</si>
  <si>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</si>
  <si>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</si>
  <si>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</si>
  <si>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</si>
  <si>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</si>
  <si>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</si>
  <si>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</si>
  <si>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</si>
  <si>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</si>
  <si>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</si>
  <si>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</si>
  <si>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</si>
  <si>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</si>
  <si>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</si>
  <si>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</si>
  <si>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</si>
  <si>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</si>
  <si>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</si>
  <si>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</si>
  <si>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</si>
  <si>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</si>
  <si>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</si>
  <si>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</si>
  <si>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</si>
  <si>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</si>
  <si>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</si>
  <si>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</si>
  <si>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</si>
  <si>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</si>
  <si>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</si>
  <si>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</si>
  <si>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</si>
  <si>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</si>
  <si>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</si>
  <si>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</si>
  <si>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</si>
  <si>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</si>
  <si>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</si>
  <si>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</si>
  <si>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</si>
  <si>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</si>
  <si>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</si>
  <si>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</si>
  <si>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</si>
  <si>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</si>
  <si>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</si>
  <si>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</si>
  <si>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</si>
  <si>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</si>
  <si>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</si>
  <si>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</si>
  <si>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</si>
  <si>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</si>
  <si>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</si>
  <si>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</si>
  <si>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</si>
  <si>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</si>
  <si>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</si>
  <si>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</si>
  <si>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</si>
  <si>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</si>
  <si>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</si>
  <si>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</si>
  <si>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</si>
  <si>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</si>
  <si>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</si>
  <si>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</si>
  <si>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</si>
  <si>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</si>
  <si>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</si>
  <si>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</si>
  <si>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</si>
  <si>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</si>
  <si>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</si>
  <si>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</si>
  <si>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OSCAR CUESTA</t>
  </si>
  <si>
    <t>7:42</t>
  </si>
  <si>
    <t>1.36</t>
  </si>
  <si>
    <t>3:58</t>
  </si>
  <si>
    <t>Good game!</t>
  </si>
  <si>
    <t>STEPHANE FITOUSSI</t>
  </si>
  <si>
    <t>JEAN-MARC MORENTE</t>
  </si>
  <si>
    <t>OLIVIER JAUFFRES</t>
  </si>
  <si>
    <t>ANGELINE BLOT</t>
  </si>
  <si>
    <t>SOPHIE GAUDIN</t>
  </si>
  <si>
    <t>KADER SI-TAYEB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</si>
</sst>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" x14ac:dyDescent="0.25"/>
  <cols>
    <col min="1" max="1" width="1.5546875" customWidth="1"/>
    <col min="2" max="3" width="6.88671875" style="3" customWidth="1"/>
    <col min="4" max="7" width="7.88671875" style="3" customWidth="1"/>
    <col min="8" max="8" width="12.44140625" style="4" customWidth="1"/>
    <col min="9" max="9" width="11.88671875" style="3" bestFit="1" customWidth="1"/>
    <col min="10" max="13" width="22" style="3" customWidth="1"/>
    <col min="14" max="14" width="41.109375" style="3" bestFit="1" customWidth="1"/>
    <col min="15" max="15" width="13.5546875" hidden="1" customWidth="1"/>
    <col min="16" max="16" width="5.44140625" hidden="1" customWidth="1"/>
    <col min="17" max="17" width="21.109375" style="87" hidden="1" customWidth="1"/>
    <col min="18" max="18" width="2.6640625" hidden="1" customWidth="1"/>
    <col min="19" max="20" width="2.6640625" style="91" hidden="1" customWidth="1"/>
    <col min="21" max="21" width="2.6640625" style="97" hidden="1" customWidth="1"/>
    <col min="22" max="24" width="2.6640625" style="91" hidden="1" customWidth="1"/>
    <col min="25" max="25" width="2.6640625" style="98" hidden="1" customWidth="1"/>
    <col min="26" max="26" width="9.5546875" style="87" hidden="1" customWidth="1"/>
    <col min="27" max="27" width="2.6640625" style="91" hidden="1" customWidth="1"/>
    <col min="28" max="28" width="2.6640625" style="97" hidden="1" customWidth="1"/>
    <col min="29" max="29" width="2.6640625" style="99" hidden="1" customWidth="1"/>
    <col min="30" max="30" width="2.6640625" style="91" hidden="1" customWidth="1"/>
    <col min="31" max="31" width="2.6640625" style="97" hidden="1" customWidth="1"/>
    <col min="32" max="46" width="2.6640625" style="91" hidden="1" customWidth="1"/>
    <col min="47" max="47" width="2.6640625" style="99" hidden="1" customWidth="1"/>
    <col min="48" max="48" width="2.6640625" style="91" hidden="1" customWidth="1"/>
    <col min="49" max="52" width="2.6640625" style="99" hidden="1" customWidth="1"/>
    <col min="53" max="53" width="2.6640625" style="91" hidden="1" customWidth="1"/>
    <col min="54" max="54" width="2.6640625" style="99" hidden="1" customWidth="1"/>
    <col min="55" max="71" width="2.6640625" style="91" hidden="1" customWidth="1"/>
    <col min="72" max="16384" width="2.6640625" style="64" hidden="1"/>
  </cols>
  <sheetData>
    <row r="1" spans="1:108" s="63" customFormat="1" ht="32.25" customHeight="1" thickBot="1" x14ac:dyDescent="0.25">
      <c r="A1" s="42"/>
      <c r="B1" s="53" t="s">
        <v>160</v>
      </c>
      <c r="C1" s="114" t="str">
        <f>TEXT(IF(C2/10=INT(C2/10),INT(C2/10),INT(C2/10)+1),"00")</f>
        <v>22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22_218_ASV_HTA_E2025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" thickBot="1" x14ac:dyDescent="0.35">
      <c r="A2" s="1"/>
      <c r="B2" s="117" t="str">
        <f>D1&amp;E1</f>
        <v>E2025</v>
      </c>
      <c r="C2" s="123">
        <v>218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4.4" thickBot="1" x14ac:dyDescent="0.35">
      <c r="A3" s="1"/>
      <c r="B3" s="156">
        <f ca="1">IF(ISERROR(VLOOKUP($B$2&amp;TEXT($C$2,"000"),GAMES!$A$3:$I$562,8,FALSE)),NOW(),VLOOKUP($B$2&amp;TEXT($C$2,"000"),GAMES!$A$3:$I$562,8,FALSE))</f>
        <v>46038.833333333336</v>
      </c>
      <c r="C3" s="157"/>
      <c r="D3" s="39">
        <v>562</v>
      </c>
      <c r="E3" s="29"/>
      <c r="F3" s="26">
        <f>SUBTOTAL(3,I17:I106)</f>
        <v>3</v>
      </c>
      <c r="G3" s="27">
        <f>IF(OR(D3="",D3=0),"",F3/D3)</f>
        <v>5.3380782918149468E-3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.8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LDLC ASVEL Villeurbanne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ASV</v>
      </c>
      <c r="I4" s="5"/>
      <c r="J4" s="119" t="s">
        <v>714</v>
      </c>
      <c r="K4" s="54" t="s">
        <v>743</v>
      </c>
      <c r="L4" s="5"/>
      <c r="M4" s="167" t="s">
        <v>754</v>
      </c>
      <c r="N4" s="168"/>
      <c r="O4" s="2"/>
      <c r="P4" s="2"/>
      <c r="Q4" s="84" t="s">
        <v>175</v>
      </c>
      <c r="R4" s="94">
        <f>(IF(G3="",0,G3))</f>
        <v>5.3380782918149468E-3</v>
      </c>
      <c r="S4" s="61">
        <f>SUM(I13:M13)</f>
        <v>0</v>
      </c>
      <c r="T4" s="78"/>
      <c r="U4" s="61">
        <f>AC18</f>
        <v>3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4.4" thickBot="1" x14ac:dyDescent="0.3">
      <c r="A5" s="2"/>
      <c r="B5" s="165" t="s">
        <v>87</v>
      </c>
      <c r="C5" s="166"/>
      <c r="D5" s="173" t="str">
        <f>IF(ISERROR(VLOOKUP(H5,Teams!$B$2:$C$44,2,FALSE)),"Visitor Team",VLOOKUP(H5,Teams!$B$2:$C$44,2,FALSE))</f>
        <v>Hapoel IBI Tel Aviv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HTA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0.53380782918149472</v>
      </c>
      <c r="S5" s="70">
        <f t="shared" ref="S5" si="0">S4*S3</f>
        <v>0</v>
      </c>
      <c r="T5" s="92"/>
      <c r="U5" s="70">
        <f t="shared" ref="U5:AG5" si="1">U4*U3</f>
        <v>1.5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4.4" thickBot="1" x14ac:dyDescent="0.3">
      <c r="A6" s="2"/>
      <c r="B6" s="163" t="s">
        <v>95</v>
      </c>
      <c r="C6" s="164"/>
      <c r="D6" s="178" t="s">
        <v>755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.8" x14ac:dyDescent="0.25">
      <c r="A7" s="2"/>
      <c r="B7" s="187" t="s">
        <v>96</v>
      </c>
      <c r="C7" s="188"/>
      <c r="D7" s="178" t="s">
        <v>756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2.0338078291814945</v>
      </c>
      <c r="N7" s="58"/>
      <c r="O7" s="2"/>
      <c r="P7" s="2"/>
      <c r="Q7" s="86">
        <f>SUM(R5,S5,AC16)</f>
        <v>2.0338078291814945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4.4" thickBot="1" x14ac:dyDescent="0.3">
      <c r="A8" s="2"/>
      <c r="B8" s="165" t="s">
        <v>97</v>
      </c>
      <c r="C8" s="189"/>
      <c r="D8" s="181" t="s">
        <v>757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2.0338078291814945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4.4" thickBot="1" x14ac:dyDescent="0.3">
      <c r="A9" s="2"/>
      <c r="B9" s="163" t="s">
        <v>98</v>
      </c>
      <c r="C9" s="190"/>
      <c r="D9" s="178" t="s">
        <v>758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4.4" thickBot="1" x14ac:dyDescent="0.35">
      <c r="A10" s="1"/>
      <c r="B10" s="165" t="s">
        <v>99</v>
      </c>
      <c r="C10" s="189"/>
      <c r="D10" s="181" t="s">
        <v>759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0.8" thickBot="1" x14ac:dyDescent="0.25">
      <c r="A11" s="17"/>
      <c r="B11" s="176" t="s">
        <v>108</v>
      </c>
      <c r="C11" s="177"/>
      <c r="D11" s="191" t="s">
        <v>760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4.4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218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25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4.4" thickBot="1" x14ac:dyDescent="0.35">
      <c r="A14" s="1"/>
      <c r="B14" s="176" t="s">
        <v>162</v>
      </c>
      <c r="C14" s="177"/>
      <c r="D14" s="184" t="s">
        <v>750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25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3</v>
      </c>
      <c r="J15" s="24">
        <f>SUBTOTAL(3,J17:J106)</f>
        <v>3</v>
      </c>
      <c r="K15" s="24">
        <f>SUBTOTAL(3,K17:K106)</f>
        <v>3</v>
      </c>
      <c r="L15" s="24">
        <f>SUBTOTAL(3,L17:L106)</f>
        <v>3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3</v>
      </c>
      <c r="Z16" s="90" t="s">
        <v>110</v>
      </c>
      <c r="AA16" s="75">
        <f>SUM(AA17:AA24)</f>
        <v>3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1.5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3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199999999999999" x14ac:dyDescent="0.2">
      <c r="A17" s="20"/>
      <c r="B17" s="31" t="str">
        <f t="shared" ref="B17:B48" si="2">IF(C17="","",$B$2)</f>
        <v>E2025</v>
      </c>
      <c r="C17" s="31">
        <f t="shared" ref="C17:C48" si="3">IF(I17="","",$C$2)</f>
        <v>218</v>
      </c>
      <c r="D17" s="32" t="s">
        <v>751</v>
      </c>
      <c r="E17" s="33">
        <v>1</v>
      </c>
      <c r="F17" s="36">
        <v>3</v>
      </c>
      <c r="G17" s="36">
        <v>0</v>
      </c>
      <c r="H17" s="38" t="str">
        <f>IF(I17="","",$I$14)</f>
        <v>SCOUTING</v>
      </c>
      <c r="I17" s="34">
        <v>31</v>
      </c>
      <c r="J17" s="13" t="s">
        <v>4</v>
      </c>
      <c r="K17" s="13" t="s">
        <v>62</v>
      </c>
      <c r="L17" s="13" t="s">
        <v>5</v>
      </c>
      <c r="M17" s="13" t="s">
        <v>10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3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2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199999999999999" x14ac:dyDescent="0.2">
      <c r="A18" s="20"/>
      <c r="B18" s="31" t="str">
        <f t="shared" si="2"/>
        <v>E2025</v>
      </c>
      <c r="C18" s="31">
        <f t="shared" si="3"/>
        <v>218</v>
      </c>
      <c r="D18" s="32" t="s">
        <v>752</v>
      </c>
      <c r="E18" s="33">
        <v>3</v>
      </c>
      <c r="F18" s="36">
        <v>55</v>
      </c>
      <c r="G18" s="36">
        <v>52</v>
      </c>
      <c r="H18" s="38" t="str">
        <f t="shared" ref="H18:H81" si="8">IF(I18="","",$I$14)</f>
        <v>SCOUTING</v>
      </c>
      <c r="I18" s="34">
        <v>407</v>
      </c>
      <c r="J18" s="13" t="s">
        <v>4</v>
      </c>
      <c r="K18" s="13" t="s">
        <v>62</v>
      </c>
      <c r="L18" s="13" t="s">
        <v>5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2</v>
      </c>
      <c r="AB18" s="66" t="s">
        <v>5</v>
      </c>
      <c r="AC18" s="61">
        <f t="shared" si="5"/>
        <v>3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199999999999999" x14ac:dyDescent="0.2">
      <c r="A19" s="20"/>
      <c r="B19" s="31" t="str">
        <f t="shared" si="2"/>
        <v>E2025</v>
      </c>
      <c r="C19" s="31">
        <f t="shared" si="3"/>
        <v>218</v>
      </c>
      <c r="D19" s="32" t="s">
        <v>753</v>
      </c>
      <c r="E19" s="33">
        <v>4</v>
      </c>
      <c r="F19" s="36">
        <v>68</v>
      </c>
      <c r="G19" s="36">
        <v>74</v>
      </c>
      <c r="H19" s="38" t="str">
        <f t="shared" si="8"/>
        <v>SCOUTING</v>
      </c>
      <c r="I19" s="34">
        <v>498</v>
      </c>
      <c r="J19" s="13" t="s">
        <v>4</v>
      </c>
      <c r="K19" s="13" t="s">
        <v>63</v>
      </c>
      <c r="L19" s="13" t="s">
        <v>5</v>
      </c>
      <c r="M19" s="13" t="s">
        <v>11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199999999999999" x14ac:dyDescent="0.2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199999999999999" x14ac:dyDescent="0.2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199999999999999" x14ac:dyDescent="0.2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199999999999999" x14ac:dyDescent="0.2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199999999999999" x14ac:dyDescent="0.2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199999999999999" x14ac:dyDescent="0.2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199999999999999" x14ac:dyDescent="0.2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199999999999999" x14ac:dyDescent="0.2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199999999999999" x14ac:dyDescent="0.2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199999999999999" x14ac:dyDescent="0.2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199999999999999" x14ac:dyDescent="0.2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199999999999999" x14ac:dyDescent="0.2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199999999999999" x14ac:dyDescent="0.2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199999999999999" x14ac:dyDescent="0.2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199999999999999" x14ac:dyDescent="0.2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199999999999999" x14ac:dyDescent="0.2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199999999999999" x14ac:dyDescent="0.2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199999999999999" x14ac:dyDescent="0.2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199999999999999" x14ac:dyDescent="0.2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199999999999999" x14ac:dyDescent="0.2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199999999999999" x14ac:dyDescent="0.2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199999999999999" x14ac:dyDescent="0.2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199999999999999" x14ac:dyDescent="0.2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199999999999999" x14ac:dyDescent="0.2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199999999999999" x14ac:dyDescent="0.2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199999999999999" x14ac:dyDescent="0.2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199999999999999" x14ac:dyDescent="0.2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199999999999999" x14ac:dyDescent="0.2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199999999999999" x14ac:dyDescent="0.2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199999999999999" x14ac:dyDescent="0.2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199999999999999" x14ac:dyDescent="0.2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199999999999999" x14ac:dyDescent="0.2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199999999999999" x14ac:dyDescent="0.2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199999999999999" x14ac:dyDescent="0.2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199999999999999" x14ac:dyDescent="0.2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199999999999999" x14ac:dyDescent="0.2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199999999999999" x14ac:dyDescent="0.2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199999999999999" x14ac:dyDescent="0.2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199999999999999" x14ac:dyDescent="0.2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199999999999999" x14ac:dyDescent="0.2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199999999999999" x14ac:dyDescent="0.2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199999999999999" x14ac:dyDescent="0.2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199999999999999" x14ac:dyDescent="0.2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199999999999999" x14ac:dyDescent="0.2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199999999999999" x14ac:dyDescent="0.2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199999999999999" x14ac:dyDescent="0.2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199999999999999" x14ac:dyDescent="0.2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199999999999999" x14ac:dyDescent="0.2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199999999999999" x14ac:dyDescent="0.2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199999999999999" x14ac:dyDescent="0.2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199999999999999" x14ac:dyDescent="0.2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199999999999999" x14ac:dyDescent="0.2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199999999999999" x14ac:dyDescent="0.2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199999999999999" x14ac:dyDescent="0.2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199999999999999" x14ac:dyDescent="0.2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199999999999999" x14ac:dyDescent="0.2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199999999999999" x14ac:dyDescent="0.2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199999999999999" x14ac:dyDescent="0.2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199999999999999" x14ac:dyDescent="0.2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199999999999999" x14ac:dyDescent="0.2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199999999999999" x14ac:dyDescent="0.2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199999999999999" x14ac:dyDescent="0.2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199999999999999" x14ac:dyDescent="0.2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199999999999999" x14ac:dyDescent="0.2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199999999999999" x14ac:dyDescent="0.2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199999999999999" x14ac:dyDescent="0.2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199999999999999" x14ac:dyDescent="0.2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199999999999999" x14ac:dyDescent="0.2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199999999999999" x14ac:dyDescent="0.2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199999999999999" x14ac:dyDescent="0.2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199999999999999" x14ac:dyDescent="0.2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199999999999999" x14ac:dyDescent="0.2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199999999999999" x14ac:dyDescent="0.2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199999999999999" x14ac:dyDescent="0.2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199999999999999" x14ac:dyDescent="0.2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199999999999999" x14ac:dyDescent="0.2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199999999999999" x14ac:dyDescent="0.2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199999999999999" x14ac:dyDescent="0.2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199999999999999" x14ac:dyDescent="0.2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199999999999999" x14ac:dyDescent="0.2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199999999999999" x14ac:dyDescent="0.2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199999999999999" x14ac:dyDescent="0.2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199999999999999" x14ac:dyDescent="0.2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199999999999999" x14ac:dyDescent="0.2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199999999999999" x14ac:dyDescent="0.2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199999999999999" x14ac:dyDescent="0.2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199999999999999" x14ac:dyDescent="0.2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199999999999999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199999999999999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5">
      <c r="W109" s="96"/>
    </row>
    <row r="110" spans="1:71" x14ac:dyDescent="0.25">
      <c r="W110" s="4"/>
    </row>
    <row r="111" spans="1:71" x14ac:dyDescent="0.2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88671875" defaultRowHeight="13.2" x14ac:dyDescent="0.25"/>
  <cols>
    <col min="1" max="1" width="0.6640625" customWidth="1"/>
    <col min="2" max="2" width="3.6640625" style="150" customWidth="1"/>
    <col min="3" max="3" width="23.5546875" style="150" bestFit="1" customWidth="1"/>
    <col min="4" max="15" width="14" style="25" customWidth="1"/>
  </cols>
  <sheetData>
    <row r="1" spans="2:15" ht="13.8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.8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.8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.8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.8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88671875" defaultRowHeight="13.2" x14ac:dyDescent="0.25"/>
  <cols>
    <col min="2" max="2" width="11.88671875" bestFit="1" customWidth="1"/>
    <col min="3" max="3" width="6.109375" bestFit="1" customWidth="1"/>
    <col min="4" max="4" width="3.44140625" bestFit="1" customWidth="1"/>
    <col min="5" max="5" width="15.33203125" bestFit="1" customWidth="1"/>
    <col min="6" max="7" width="14.109375" bestFit="1" customWidth="1"/>
    <col min="8" max="8" width="14.88671875" bestFit="1" customWidth="1"/>
    <col min="9" max="9" width="20.88671875" bestFit="1" customWidth="1"/>
  </cols>
  <sheetData>
    <row r="2" spans="1:9" ht="14.4" x14ac:dyDescent="0.3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4" x14ac:dyDescent="0.3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4" x14ac:dyDescent="0.3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4" x14ac:dyDescent="0.3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4" x14ac:dyDescent="0.3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4" x14ac:dyDescent="0.3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4" x14ac:dyDescent="0.3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4" x14ac:dyDescent="0.3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4" x14ac:dyDescent="0.3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4" x14ac:dyDescent="0.3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4" x14ac:dyDescent="0.3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4" x14ac:dyDescent="0.3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4" x14ac:dyDescent="0.3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4" x14ac:dyDescent="0.3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4" x14ac:dyDescent="0.3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4" x14ac:dyDescent="0.3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4" x14ac:dyDescent="0.3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4" x14ac:dyDescent="0.3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4" x14ac:dyDescent="0.3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4" x14ac:dyDescent="0.3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4" x14ac:dyDescent="0.3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4" x14ac:dyDescent="0.3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4" x14ac:dyDescent="0.3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4" x14ac:dyDescent="0.3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4" x14ac:dyDescent="0.3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4" x14ac:dyDescent="0.3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4" x14ac:dyDescent="0.3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4" x14ac:dyDescent="0.3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4" x14ac:dyDescent="0.3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4" x14ac:dyDescent="0.3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4" x14ac:dyDescent="0.3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4" x14ac:dyDescent="0.3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4" x14ac:dyDescent="0.3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4" x14ac:dyDescent="0.3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4" x14ac:dyDescent="0.3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4" x14ac:dyDescent="0.3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4" x14ac:dyDescent="0.3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4" x14ac:dyDescent="0.3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4" x14ac:dyDescent="0.3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4" x14ac:dyDescent="0.3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4" x14ac:dyDescent="0.3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4" x14ac:dyDescent="0.3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4" x14ac:dyDescent="0.3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4" x14ac:dyDescent="0.3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4" x14ac:dyDescent="0.3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4" x14ac:dyDescent="0.3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4" x14ac:dyDescent="0.3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4" x14ac:dyDescent="0.3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4" x14ac:dyDescent="0.3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4" x14ac:dyDescent="0.3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4" x14ac:dyDescent="0.3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4" x14ac:dyDescent="0.3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4" x14ac:dyDescent="0.3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4" x14ac:dyDescent="0.3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4" x14ac:dyDescent="0.3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4" x14ac:dyDescent="0.3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4" x14ac:dyDescent="0.3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4" x14ac:dyDescent="0.3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4" x14ac:dyDescent="0.3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4" x14ac:dyDescent="0.3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4" x14ac:dyDescent="0.3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4" x14ac:dyDescent="0.3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4" x14ac:dyDescent="0.3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4" x14ac:dyDescent="0.3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4" x14ac:dyDescent="0.3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4" x14ac:dyDescent="0.3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4" x14ac:dyDescent="0.3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4" x14ac:dyDescent="0.3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4" x14ac:dyDescent="0.3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4" x14ac:dyDescent="0.3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4" x14ac:dyDescent="0.3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4" x14ac:dyDescent="0.3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4" x14ac:dyDescent="0.3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4" x14ac:dyDescent="0.3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4" x14ac:dyDescent="0.3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4" x14ac:dyDescent="0.3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4" x14ac:dyDescent="0.3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4" x14ac:dyDescent="0.3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4" x14ac:dyDescent="0.3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4" x14ac:dyDescent="0.3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4" x14ac:dyDescent="0.3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4" x14ac:dyDescent="0.3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4" x14ac:dyDescent="0.3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4" x14ac:dyDescent="0.3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4" x14ac:dyDescent="0.3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4" x14ac:dyDescent="0.3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4" x14ac:dyDescent="0.3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4" x14ac:dyDescent="0.3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4" x14ac:dyDescent="0.3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4" x14ac:dyDescent="0.3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4" x14ac:dyDescent="0.3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4" x14ac:dyDescent="0.3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4" x14ac:dyDescent="0.3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4" x14ac:dyDescent="0.3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4" x14ac:dyDescent="0.3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4" x14ac:dyDescent="0.3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4" x14ac:dyDescent="0.3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4" x14ac:dyDescent="0.3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4" x14ac:dyDescent="0.3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4" x14ac:dyDescent="0.3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4" x14ac:dyDescent="0.3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4" x14ac:dyDescent="0.3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4" x14ac:dyDescent="0.3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4" x14ac:dyDescent="0.3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4" x14ac:dyDescent="0.3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4" x14ac:dyDescent="0.3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4" x14ac:dyDescent="0.3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4" x14ac:dyDescent="0.3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4" x14ac:dyDescent="0.3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4" x14ac:dyDescent="0.3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4" x14ac:dyDescent="0.3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4" x14ac:dyDescent="0.3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4" x14ac:dyDescent="0.3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4" x14ac:dyDescent="0.3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4" x14ac:dyDescent="0.3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4" x14ac:dyDescent="0.3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4" x14ac:dyDescent="0.3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4" x14ac:dyDescent="0.3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4" x14ac:dyDescent="0.3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4" x14ac:dyDescent="0.3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4" x14ac:dyDescent="0.3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4" x14ac:dyDescent="0.3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4" x14ac:dyDescent="0.3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4" x14ac:dyDescent="0.3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4" x14ac:dyDescent="0.3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4" x14ac:dyDescent="0.3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4" x14ac:dyDescent="0.3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4" x14ac:dyDescent="0.3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4" x14ac:dyDescent="0.3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4" x14ac:dyDescent="0.3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4" x14ac:dyDescent="0.3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4" x14ac:dyDescent="0.3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4" x14ac:dyDescent="0.3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4" x14ac:dyDescent="0.3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4" x14ac:dyDescent="0.3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4" x14ac:dyDescent="0.3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4" x14ac:dyDescent="0.3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4" x14ac:dyDescent="0.3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4" x14ac:dyDescent="0.3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4" x14ac:dyDescent="0.3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4" x14ac:dyDescent="0.3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4" x14ac:dyDescent="0.3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4" x14ac:dyDescent="0.3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4" x14ac:dyDescent="0.3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4" x14ac:dyDescent="0.3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4" x14ac:dyDescent="0.3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4" x14ac:dyDescent="0.3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4" x14ac:dyDescent="0.3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4" x14ac:dyDescent="0.3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4" x14ac:dyDescent="0.3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4" x14ac:dyDescent="0.3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4" x14ac:dyDescent="0.3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4" x14ac:dyDescent="0.3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4" x14ac:dyDescent="0.3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4" x14ac:dyDescent="0.3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4" x14ac:dyDescent="0.3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4" x14ac:dyDescent="0.3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4" x14ac:dyDescent="0.3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4" x14ac:dyDescent="0.3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4" x14ac:dyDescent="0.3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4" x14ac:dyDescent="0.3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4" x14ac:dyDescent="0.3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4" x14ac:dyDescent="0.3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4" x14ac:dyDescent="0.3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4" x14ac:dyDescent="0.3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4" x14ac:dyDescent="0.3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4" x14ac:dyDescent="0.3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4" x14ac:dyDescent="0.3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4" x14ac:dyDescent="0.3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4" x14ac:dyDescent="0.3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4" x14ac:dyDescent="0.3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4" x14ac:dyDescent="0.3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4" x14ac:dyDescent="0.3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4" x14ac:dyDescent="0.3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4" x14ac:dyDescent="0.3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4" x14ac:dyDescent="0.3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4" x14ac:dyDescent="0.3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4" x14ac:dyDescent="0.3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4" x14ac:dyDescent="0.3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4" x14ac:dyDescent="0.3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4" x14ac:dyDescent="0.3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4" x14ac:dyDescent="0.3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4" x14ac:dyDescent="0.3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4" x14ac:dyDescent="0.3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4" x14ac:dyDescent="0.3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4" x14ac:dyDescent="0.3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4" x14ac:dyDescent="0.3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4" x14ac:dyDescent="0.3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4" x14ac:dyDescent="0.3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4" x14ac:dyDescent="0.3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4" x14ac:dyDescent="0.3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4" x14ac:dyDescent="0.3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4" x14ac:dyDescent="0.3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4" x14ac:dyDescent="0.3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4" x14ac:dyDescent="0.3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4" x14ac:dyDescent="0.3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4" x14ac:dyDescent="0.3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4" x14ac:dyDescent="0.3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4" x14ac:dyDescent="0.3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4" x14ac:dyDescent="0.3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4" x14ac:dyDescent="0.3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4" x14ac:dyDescent="0.3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4" x14ac:dyDescent="0.3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4" x14ac:dyDescent="0.3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4" x14ac:dyDescent="0.3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4" x14ac:dyDescent="0.3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4" x14ac:dyDescent="0.3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4" x14ac:dyDescent="0.3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4" x14ac:dyDescent="0.3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4" x14ac:dyDescent="0.3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4" x14ac:dyDescent="0.3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4" x14ac:dyDescent="0.3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4" x14ac:dyDescent="0.3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4" x14ac:dyDescent="0.3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4" x14ac:dyDescent="0.3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4" x14ac:dyDescent="0.3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4" x14ac:dyDescent="0.3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4" x14ac:dyDescent="0.3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4" x14ac:dyDescent="0.3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4" x14ac:dyDescent="0.3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4" x14ac:dyDescent="0.3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4" x14ac:dyDescent="0.3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4" x14ac:dyDescent="0.3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4" x14ac:dyDescent="0.3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4" x14ac:dyDescent="0.3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4" x14ac:dyDescent="0.3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4" x14ac:dyDescent="0.3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4" x14ac:dyDescent="0.3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4" x14ac:dyDescent="0.3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4" x14ac:dyDescent="0.3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4" x14ac:dyDescent="0.3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4" x14ac:dyDescent="0.3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4" x14ac:dyDescent="0.3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4" x14ac:dyDescent="0.3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4" x14ac:dyDescent="0.3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4" x14ac:dyDescent="0.3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4" x14ac:dyDescent="0.3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4" x14ac:dyDescent="0.3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4" x14ac:dyDescent="0.3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4" x14ac:dyDescent="0.3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4" x14ac:dyDescent="0.3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4" x14ac:dyDescent="0.3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4" x14ac:dyDescent="0.3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4" x14ac:dyDescent="0.3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4" x14ac:dyDescent="0.3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4" x14ac:dyDescent="0.3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4" x14ac:dyDescent="0.3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4" x14ac:dyDescent="0.3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4" x14ac:dyDescent="0.3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4" x14ac:dyDescent="0.3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4" x14ac:dyDescent="0.3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4" x14ac:dyDescent="0.3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4" x14ac:dyDescent="0.3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4" x14ac:dyDescent="0.3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4" x14ac:dyDescent="0.3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4" x14ac:dyDescent="0.3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4" x14ac:dyDescent="0.3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4" x14ac:dyDescent="0.3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4" x14ac:dyDescent="0.3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4" x14ac:dyDescent="0.3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4" x14ac:dyDescent="0.3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4" x14ac:dyDescent="0.3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4" x14ac:dyDescent="0.3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4" x14ac:dyDescent="0.3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4" x14ac:dyDescent="0.3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4" x14ac:dyDescent="0.3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4" x14ac:dyDescent="0.3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4" x14ac:dyDescent="0.3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4" x14ac:dyDescent="0.3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4" x14ac:dyDescent="0.3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4" x14ac:dyDescent="0.3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4" x14ac:dyDescent="0.3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4" x14ac:dyDescent="0.3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4" x14ac:dyDescent="0.3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4" x14ac:dyDescent="0.3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4" x14ac:dyDescent="0.3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4" x14ac:dyDescent="0.3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4" x14ac:dyDescent="0.3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4" x14ac:dyDescent="0.3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4" x14ac:dyDescent="0.3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4" x14ac:dyDescent="0.3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4" x14ac:dyDescent="0.3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4" x14ac:dyDescent="0.3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4" x14ac:dyDescent="0.3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4" x14ac:dyDescent="0.3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4" x14ac:dyDescent="0.3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4" x14ac:dyDescent="0.3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4" x14ac:dyDescent="0.3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4" x14ac:dyDescent="0.3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4" x14ac:dyDescent="0.3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4" x14ac:dyDescent="0.3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4" x14ac:dyDescent="0.3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4" x14ac:dyDescent="0.3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4" x14ac:dyDescent="0.3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4" x14ac:dyDescent="0.3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4" x14ac:dyDescent="0.3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4" x14ac:dyDescent="0.3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4" x14ac:dyDescent="0.3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4" x14ac:dyDescent="0.3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4" x14ac:dyDescent="0.3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4" x14ac:dyDescent="0.3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4" x14ac:dyDescent="0.3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4" x14ac:dyDescent="0.3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4" x14ac:dyDescent="0.3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4" x14ac:dyDescent="0.3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4" x14ac:dyDescent="0.3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4" x14ac:dyDescent="0.3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4" x14ac:dyDescent="0.3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4" x14ac:dyDescent="0.3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4" x14ac:dyDescent="0.3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4" x14ac:dyDescent="0.3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4" x14ac:dyDescent="0.3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4" x14ac:dyDescent="0.3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4" x14ac:dyDescent="0.3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4" x14ac:dyDescent="0.3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4" x14ac:dyDescent="0.3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4" x14ac:dyDescent="0.3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4" x14ac:dyDescent="0.3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4" x14ac:dyDescent="0.3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4" x14ac:dyDescent="0.3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4" x14ac:dyDescent="0.3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4" x14ac:dyDescent="0.3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4" x14ac:dyDescent="0.3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4" x14ac:dyDescent="0.3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4" x14ac:dyDescent="0.3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4" x14ac:dyDescent="0.3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4" x14ac:dyDescent="0.3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4" x14ac:dyDescent="0.3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4" x14ac:dyDescent="0.3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4" x14ac:dyDescent="0.3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4" x14ac:dyDescent="0.3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4" x14ac:dyDescent="0.3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4" x14ac:dyDescent="0.3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4" x14ac:dyDescent="0.3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4" x14ac:dyDescent="0.3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4" x14ac:dyDescent="0.3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4" x14ac:dyDescent="0.3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4" x14ac:dyDescent="0.3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4" x14ac:dyDescent="0.3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4" x14ac:dyDescent="0.3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4" x14ac:dyDescent="0.3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4" x14ac:dyDescent="0.3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4" x14ac:dyDescent="0.3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4" x14ac:dyDescent="0.3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4" x14ac:dyDescent="0.3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4" x14ac:dyDescent="0.3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4" x14ac:dyDescent="0.3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4" x14ac:dyDescent="0.3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4" x14ac:dyDescent="0.3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4" x14ac:dyDescent="0.3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4" x14ac:dyDescent="0.3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4" x14ac:dyDescent="0.3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4" x14ac:dyDescent="0.3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4" x14ac:dyDescent="0.3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4" x14ac:dyDescent="0.3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4" x14ac:dyDescent="0.3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4" x14ac:dyDescent="0.3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4" x14ac:dyDescent="0.3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4" x14ac:dyDescent="0.3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4" x14ac:dyDescent="0.3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4" x14ac:dyDescent="0.3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4" x14ac:dyDescent="0.3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4" x14ac:dyDescent="0.3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4" x14ac:dyDescent="0.3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4" x14ac:dyDescent="0.3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4" x14ac:dyDescent="0.3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4" x14ac:dyDescent="0.3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4" x14ac:dyDescent="0.3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4" x14ac:dyDescent="0.3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4" x14ac:dyDescent="0.3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4" x14ac:dyDescent="0.3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4" x14ac:dyDescent="0.3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4" x14ac:dyDescent="0.3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4" x14ac:dyDescent="0.3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4" x14ac:dyDescent="0.3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4" x14ac:dyDescent="0.3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4" x14ac:dyDescent="0.3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4" x14ac:dyDescent="0.3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4" x14ac:dyDescent="0.3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4" x14ac:dyDescent="0.3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4" x14ac:dyDescent="0.3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4" x14ac:dyDescent="0.3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4" x14ac:dyDescent="0.3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4" x14ac:dyDescent="0.3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4" x14ac:dyDescent="0.3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4" x14ac:dyDescent="0.3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4" x14ac:dyDescent="0.3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4" x14ac:dyDescent="0.3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4" x14ac:dyDescent="0.3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4" x14ac:dyDescent="0.3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4" x14ac:dyDescent="0.3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4" x14ac:dyDescent="0.3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4" x14ac:dyDescent="0.3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4" x14ac:dyDescent="0.3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4" x14ac:dyDescent="0.3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4" x14ac:dyDescent="0.3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4" x14ac:dyDescent="0.3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4" x14ac:dyDescent="0.3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4" x14ac:dyDescent="0.3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4" x14ac:dyDescent="0.3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4" x14ac:dyDescent="0.3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4" x14ac:dyDescent="0.3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4" x14ac:dyDescent="0.3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4" x14ac:dyDescent="0.3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4" x14ac:dyDescent="0.3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4" x14ac:dyDescent="0.3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4" x14ac:dyDescent="0.3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4" x14ac:dyDescent="0.3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4" x14ac:dyDescent="0.3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4" x14ac:dyDescent="0.3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4" x14ac:dyDescent="0.3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4" x14ac:dyDescent="0.3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4" x14ac:dyDescent="0.3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4" x14ac:dyDescent="0.3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4" x14ac:dyDescent="0.3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4" x14ac:dyDescent="0.3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4" x14ac:dyDescent="0.3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4" x14ac:dyDescent="0.3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4" x14ac:dyDescent="0.3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4" x14ac:dyDescent="0.3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4" x14ac:dyDescent="0.3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4" x14ac:dyDescent="0.3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4" x14ac:dyDescent="0.3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4" x14ac:dyDescent="0.3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4" x14ac:dyDescent="0.3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4" x14ac:dyDescent="0.3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4" x14ac:dyDescent="0.3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4" x14ac:dyDescent="0.3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4" x14ac:dyDescent="0.3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4" x14ac:dyDescent="0.3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4" x14ac:dyDescent="0.3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4" x14ac:dyDescent="0.3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4" x14ac:dyDescent="0.3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4" x14ac:dyDescent="0.3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4" x14ac:dyDescent="0.3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4" x14ac:dyDescent="0.3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4" x14ac:dyDescent="0.3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4" x14ac:dyDescent="0.3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4" x14ac:dyDescent="0.3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4" x14ac:dyDescent="0.3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4" x14ac:dyDescent="0.3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4" x14ac:dyDescent="0.3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4" x14ac:dyDescent="0.3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4" x14ac:dyDescent="0.3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4" x14ac:dyDescent="0.3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4" x14ac:dyDescent="0.3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4" x14ac:dyDescent="0.3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4" x14ac:dyDescent="0.3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4" x14ac:dyDescent="0.3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4" x14ac:dyDescent="0.3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4" x14ac:dyDescent="0.3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4" x14ac:dyDescent="0.3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4" x14ac:dyDescent="0.3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4" x14ac:dyDescent="0.3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4" x14ac:dyDescent="0.3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4" x14ac:dyDescent="0.3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4" x14ac:dyDescent="0.3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4" x14ac:dyDescent="0.3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4" x14ac:dyDescent="0.3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4" x14ac:dyDescent="0.3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4" x14ac:dyDescent="0.3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4" x14ac:dyDescent="0.3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4" x14ac:dyDescent="0.3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4" x14ac:dyDescent="0.3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4" x14ac:dyDescent="0.3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4" x14ac:dyDescent="0.3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4" x14ac:dyDescent="0.3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4" x14ac:dyDescent="0.3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4" x14ac:dyDescent="0.3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4" x14ac:dyDescent="0.3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4" x14ac:dyDescent="0.3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4" x14ac:dyDescent="0.3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4" x14ac:dyDescent="0.3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4" x14ac:dyDescent="0.3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4" x14ac:dyDescent="0.3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4" x14ac:dyDescent="0.3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4" x14ac:dyDescent="0.3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4" x14ac:dyDescent="0.3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4" x14ac:dyDescent="0.3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4" x14ac:dyDescent="0.3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4" x14ac:dyDescent="0.3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4" x14ac:dyDescent="0.3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4" x14ac:dyDescent="0.3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4" x14ac:dyDescent="0.3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4" x14ac:dyDescent="0.3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4" x14ac:dyDescent="0.3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4" x14ac:dyDescent="0.3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4" x14ac:dyDescent="0.3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4" x14ac:dyDescent="0.3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4" x14ac:dyDescent="0.3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4" x14ac:dyDescent="0.3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4" x14ac:dyDescent="0.3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4" x14ac:dyDescent="0.3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4" x14ac:dyDescent="0.3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4" x14ac:dyDescent="0.3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4" x14ac:dyDescent="0.3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4" x14ac:dyDescent="0.3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4" x14ac:dyDescent="0.3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4" x14ac:dyDescent="0.3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4" x14ac:dyDescent="0.3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4" x14ac:dyDescent="0.3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4" x14ac:dyDescent="0.3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4" x14ac:dyDescent="0.3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4" x14ac:dyDescent="0.3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4" x14ac:dyDescent="0.3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4" x14ac:dyDescent="0.3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4" x14ac:dyDescent="0.3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4" x14ac:dyDescent="0.3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4" x14ac:dyDescent="0.3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4" x14ac:dyDescent="0.3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4" x14ac:dyDescent="0.3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4" x14ac:dyDescent="0.3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4" x14ac:dyDescent="0.3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4" x14ac:dyDescent="0.3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4" x14ac:dyDescent="0.3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4" x14ac:dyDescent="0.3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4" x14ac:dyDescent="0.3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4" x14ac:dyDescent="0.3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4" x14ac:dyDescent="0.3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4" x14ac:dyDescent="0.3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4" x14ac:dyDescent="0.3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4" x14ac:dyDescent="0.3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4" x14ac:dyDescent="0.3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4" x14ac:dyDescent="0.3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4" x14ac:dyDescent="0.3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4" x14ac:dyDescent="0.3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4" x14ac:dyDescent="0.3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4" x14ac:dyDescent="0.3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4" x14ac:dyDescent="0.3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4" x14ac:dyDescent="0.3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4" x14ac:dyDescent="0.3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4" x14ac:dyDescent="0.3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4" x14ac:dyDescent="0.3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4" x14ac:dyDescent="0.3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4" x14ac:dyDescent="0.3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4" x14ac:dyDescent="0.3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4" x14ac:dyDescent="0.3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4" x14ac:dyDescent="0.3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4" x14ac:dyDescent="0.3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4" x14ac:dyDescent="0.3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4" x14ac:dyDescent="0.3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4" x14ac:dyDescent="0.3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4" x14ac:dyDescent="0.3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4" x14ac:dyDescent="0.3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4" x14ac:dyDescent="0.3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4" x14ac:dyDescent="0.3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4" x14ac:dyDescent="0.3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4" x14ac:dyDescent="0.3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4" x14ac:dyDescent="0.3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4" x14ac:dyDescent="0.3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4" x14ac:dyDescent="0.3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4" x14ac:dyDescent="0.3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4" x14ac:dyDescent="0.3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4" x14ac:dyDescent="0.3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4" x14ac:dyDescent="0.3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4" x14ac:dyDescent="0.3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4" x14ac:dyDescent="0.3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4" x14ac:dyDescent="0.3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4" x14ac:dyDescent="0.3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4" x14ac:dyDescent="0.3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4" x14ac:dyDescent="0.3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.199999999999999" zeroHeight="1" x14ac:dyDescent="0.25"/>
  <cols>
    <col min="1" max="1" width="3.109375" style="43" customWidth="1"/>
    <col min="2" max="2" width="13.88671875" style="43" bestFit="1" customWidth="1"/>
    <col min="3" max="3" width="24.88671875" style="43" bestFit="1" customWidth="1"/>
    <col min="4" max="4" width="6.44140625" style="43" bestFit="1" customWidth="1"/>
    <col min="5" max="5" width="1.44140625" style="43" customWidth="1"/>
    <col min="6" max="6" width="34.44140625" style="43" bestFit="1" customWidth="1"/>
    <col min="7" max="7" width="1.44140625" style="43" customWidth="1"/>
    <col min="8" max="16382" width="10.88671875" style="43" hidden="1"/>
    <col min="16383" max="16384" width="52.5546875" style="43" hidden="1" customWidth="1"/>
  </cols>
  <sheetData>
    <row r="1" spans="2:6" x14ac:dyDescent="0.25">
      <c r="F1" s="44" t="str">
        <f>"REPORT_"&amp;'SCOUT &amp; LOGISTICS'!B2&amp;TEXT('SCOUT &amp; LOGISTICS'!C2,"000")</f>
        <v>REPORT_E2025218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"E2025218"</v>
      </c>
      <c r="F3" s="45" t="str">
        <f t="shared" ref="F3:F16" si="0">""""&amp;B3&amp;"""" &amp; " : " &amp;C3&amp;","</f>
        <v>"name" : "E2025218",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"E218"</v>
      </c>
      <c r="F4" s="45" t="str">
        <f t="shared" si="0"/>
        <v>"cod" : "E218",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218</v>
      </c>
      <c r="F6" s="45" t="str">
        <f t="shared" si="0"/>
        <v>"number" : 218,</v>
      </c>
    </row>
    <row r="7" spans="2:6" x14ac:dyDescent="0.25">
      <c r="B7" s="43" t="s">
        <v>116</v>
      </c>
      <c r="C7" s="43" t="str">
        <f ca="1">""""&amp;TEXT('SCOUT &amp; LOGISTICS'!B3,"dd/mm/aaaa")&amp;""""</f>
        <v>"16/01/2026"</v>
      </c>
      <c r="F7" s="45" t="str">
        <f t="shared" ca="1" si="0"/>
        <v>"date" : "16/01/2026",</v>
      </c>
    </row>
    <row r="8" spans="2:6" x14ac:dyDescent="0.25">
      <c r="B8" s="43" t="s">
        <v>125</v>
      </c>
      <c r="C8" s="43" t="str">
        <f>""""&amp;'SCOUT &amp; LOGISTICS'!D4 &amp;""""</f>
        <v>"LDLC ASVEL Villeurbanne"</v>
      </c>
      <c r="F8" s="45" t="str">
        <f t="shared" si="0"/>
        <v>"home_team" : "LDLC ASVEL Villeurbanne",</v>
      </c>
    </row>
    <row r="9" spans="2:6" x14ac:dyDescent="0.25">
      <c r="B9" s="43" t="s">
        <v>126</v>
      </c>
      <c r="C9" s="43" t="str">
        <f>""""&amp;'SCOUT &amp; LOGISTICS'!D5&amp;""""</f>
        <v>"Hapoel IBI Tel Aviv"</v>
      </c>
      <c r="F9" s="45" t="str">
        <f t="shared" si="0"/>
        <v>"away_team" : "Hapoel IBI Tel Aviv",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"STEPHANE FITOUSSI"</v>
      </c>
      <c r="F10" s="45" t="str">
        <f t="shared" si="0"/>
        <v>"Data_entry" : "STEPHANE FITOUSSI",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"JEAN-MARC MORENTE"</v>
      </c>
      <c r="F11" s="45" t="str">
        <f t="shared" si="0"/>
        <v>"Caller_1" : "JEAN-MARC MORENTE",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"OLIVIER JAUFFRES"</v>
      </c>
      <c r="F12" s="45" t="str">
        <f t="shared" si="0"/>
        <v>"Caller_2" : "OLIVIER JAUFFRES",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"ANGELINE BLOT"</v>
      </c>
      <c r="F13" s="45" t="str">
        <f t="shared" si="0"/>
        <v>"Timerkeeper" : "ANGELINE BLOT",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"SOPHIE GAUDIN"</v>
      </c>
      <c r="F14" s="45" t="str">
        <f t="shared" si="0"/>
        <v>"Shotclock" : "SOPHIE GAUDIN",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"KADER SI-TAYEB"</v>
      </c>
      <c r="F15" s="45" t="str">
        <f t="shared" si="0"/>
        <v>"IRS" : "KADER SI-TAYEB",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"OSCAR CUESTA"</v>
      </c>
      <c r="F16" s="45" t="str">
        <f t="shared" si="0"/>
        <v>"Live_Game_Manager" : "OSCAR CUESTA",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562</v>
      </c>
      <c r="F25" s="45" t="str">
        <f t="shared" ref="F25:F48" si="1">""""&amp;C25&amp;"""" &amp; " : " &amp;D25&amp;","</f>
        <v>"total_actions" : 562,</v>
      </c>
    </row>
    <row r="26" spans="2:6" x14ac:dyDescent="0.25">
      <c r="C26" s="43" t="s">
        <v>132</v>
      </c>
      <c r="D26" s="43">
        <f>'SCOUT &amp; LOGISTICS'!F3</f>
        <v>3</v>
      </c>
      <c r="F26" s="45" t="str">
        <f t="shared" si="1"/>
        <v>"total_correcions" : 3,</v>
      </c>
    </row>
    <row r="27" spans="2:6" x14ac:dyDescent="0.25">
      <c r="C27" s="43" t="s">
        <v>133</v>
      </c>
      <c r="D27" s="43" t="str">
        <f>""""&amp;IF(OR(D25="",D25=0),"",TEXT(D26/D25,"0,0%"))&amp;""""</f>
        <v>"0,5%"</v>
      </c>
      <c r="F27" s="45" t="str">
        <f t="shared" si="1"/>
        <v>"%_corrections" : "0,5%",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2</v>
      </c>
      <c r="F29" s="45" t="str">
        <f t="shared" si="1"/>
        <v>"no_team" : 2,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3</v>
      </c>
      <c r="F37" s="45" t="str">
        <f t="shared" si="1"/>
        <v>"scoresheet_corrections" : 3,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3</v>
      </c>
      <c r="F39" s="45" t="str">
        <f t="shared" si="1"/>
        <v>"missidentity" : 3,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"Good game!"</v>
      </c>
      <c r="F51" s="45" t="str">
        <f>""""&amp;B51&amp;"""" &amp; " : " &amp;C51&amp;","</f>
        <v>"comments" : "Good game!",</v>
      </c>
    </row>
    <row r="52" spans="2:6" x14ac:dyDescent="0.25">
      <c r="B52" s="43" t="s">
        <v>153</v>
      </c>
      <c r="C52" s="43" t="str">
        <f>TEXT('SCOUT &amp; LOGISTICS'!F1,"0,0")</f>
        <v>22_218_ASV_HTA_E2025</v>
      </c>
      <c r="F52" s="45" t="str">
        <f>""""&amp;B52&amp;"""" &amp; " : " &amp;C52</f>
        <v>"result" : 22_218_ASV_HTA_E2025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6" zeroHeight="1" x14ac:dyDescent="0.2"/>
  <cols>
    <col min="1" max="1" width="5.109375" style="47" customWidth="1"/>
    <col min="2" max="2" width="2.88671875" style="47" customWidth="1"/>
    <col min="3" max="31" width="3.109375" style="47" customWidth="1"/>
    <col min="32" max="32" width="5.5546875" style="47" customWidth="1"/>
    <col min="33" max="16384" width="6.5546875" style="47" hidden="1"/>
  </cols>
  <sheetData>
    <row r="1" spans="1:33" s="48" customFormat="1" ht="11.1" customHeight="1" x14ac:dyDescent="0.2"/>
    <row r="2" spans="1:33" ht="42.6" customHeight="1" thickBot="1" x14ac:dyDescent="0.2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25">
      <c r="A3" s="48"/>
      <c r="B3" s="208" t="str">
        <f>"GAME: "&amp; LEFT('SCOUT &amp; LOGISTICS'!B2,1) &amp; TEXT('SCOUT &amp; LOGISTICS'!C2,"000") &amp; " " &amp; IF(LEFT('SCOUT &amp; LOGISTICS'!B2,1)="U","(EUROCUP)","(EUROLEAGUE)")</f>
        <v>GAME: E218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25">
      <c r="A4" s="48"/>
      <c r="B4" s="194" t="str">
        <f ca="1">"DATE: " &amp; TEXT('SCOUT &amp; LOGISTICS'!B3,"dd/mm")</f>
        <v>DATE: 16/01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2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25">
      <c r="A6" s="48"/>
      <c r="B6" s="212" t="str">
        <f>PROPER('SCOUT &amp; LOGISTICS'!D4)</f>
        <v>Ldlc Asvel Villeurbanne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Hapoel Ibi Tel Aviv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2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25">
      <c r="A8" s="48"/>
      <c r="B8" s="206" t="str">
        <f>IF('SCOUT &amp; LOGISTICS'!D6="","",'SCOUT &amp; LOGISTICS'!D6)</f>
        <v>STEPHANE FITOUSSI</v>
      </c>
      <c r="C8" s="206"/>
      <c r="D8" s="206"/>
      <c r="E8" s="206"/>
      <c r="F8" s="206"/>
      <c r="G8" s="206" t="str">
        <f>IF('SCOUT &amp; LOGISTICS'!D7="","",'SCOUT &amp; LOGISTICS'!D7)</f>
        <v>JEAN-MARC MORENTE</v>
      </c>
      <c r="H8" s="206"/>
      <c r="I8" s="206"/>
      <c r="J8" s="206"/>
      <c r="K8" s="206"/>
      <c r="L8" s="206" t="str">
        <f>IF('SCOUT &amp; LOGISTICS'!D8="","",'SCOUT &amp; LOGISTICS'!D8)</f>
        <v>OLIVIER JAUFFRES</v>
      </c>
      <c r="M8" s="206"/>
      <c r="N8" s="206"/>
      <c r="O8" s="206"/>
      <c r="P8" s="206"/>
      <c r="Q8" s="206" t="str">
        <f>IF('SCOUT &amp; LOGISTICS'!D9="","",'SCOUT &amp; LOGISTICS'!D9)</f>
        <v>ANGELINE BLOT</v>
      </c>
      <c r="R8" s="206"/>
      <c r="S8" s="206"/>
      <c r="T8" s="206"/>
      <c r="U8" s="206"/>
      <c r="V8" s="206" t="str">
        <f>IF('SCOUT &amp; LOGISTICS'!D10="","",'SCOUT &amp; LOGISTICS'!D10)</f>
        <v>SOPHIE GAUDIN</v>
      </c>
      <c r="W8" s="206"/>
      <c r="X8" s="206"/>
      <c r="Y8" s="206"/>
      <c r="Z8" s="206"/>
      <c r="AA8" s="206" t="str">
        <f>IF('SCOUT &amp; LOGISTICS'!D11="","",'SCOUT &amp; LOGISTICS'!D11)</f>
        <v>KADER SI-TAYEB</v>
      </c>
      <c r="AB8" s="206"/>
      <c r="AC8" s="206"/>
      <c r="AD8" s="206"/>
      <c r="AE8" s="206"/>
      <c r="AF8" s="48"/>
    </row>
    <row r="9" spans="1:33" ht="13.2" thickBot="1" x14ac:dyDescent="0.25">
      <c r="A9" s="48"/>
      <c r="B9" s="200" t="str">
        <f>IF(OR('SCOUT &amp; LOGISTICS'!D14="",'SCOUT &amp; LOGISTICS'!D14=0),"",'SCOUT &amp; LOGISTICS'!B14 &amp; ": " &amp; 'SCOUT &amp; LOGISTICS'!D14) &amp; "     "</f>
        <v xml:space="preserve">L G M: : OSCAR CUESTA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.2" thickBot="1" x14ac:dyDescent="0.2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2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2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25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.2" thickBot="1" x14ac:dyDescent="0.2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2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2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25">
      <c r="A17" s="48"/>
      <c r="B17" s="204">
        <f>'SCOUT &amp; LOGISTICS'!D3</f>
        <v>562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3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5.3380782918149468E-3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.2" thickBot="1" x14ac:dyDescent="0.2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2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25">
      <c r="A20" s="48"/>
      <c r="B20" s="197">
        <f>IF('SCOUT &amp; LOGISTICS'!AA17="","",'SCOUT &amp; LOGISTICS'!AA17)</f>
        <v>1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2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2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25">
      <c r="A22" s="48"/>
      <c r="B22" s="197">
        <f>'SCOUT &amp; LOGISTICS'!AG17</f>
        <v>1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1</v>
      </c>
      <c r="O22" s="197"/>
      <c r="P22" s="197"/>
      <c r="Q22" s="197"/>
      <c r="R22" s="197"/>
      <c r="S22" s="197"/>
      <c r="T22" s="197">
        <f>'SCOUT &amp; LOGISTICS'!AG20</f>
        <v>1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.2" thickBot="1" x14ac:dyDescent="0.2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2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25">
      <c r="A25" s="48"/>
      <c r="B25" s="197">
        <f>'SCOUT &amp; LOGISTICS'!Y17</f>
        <v>3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2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25">
      <c r="A27" s="48"/>
      <c r="B27" s="197">
        <f>'SCOUT &amp; LOGISTICS'!AC18</f>
        <v>3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2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25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.2" thickBot="1" x14ac:dyDescent="0.2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2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25">
      <c r="A32" s="48"/>
      <c r="B32" s="195" t="str">
        <f>IF('SCOUT &amp; LOGISTICS'!M4="","",'SCOUT &amp; LOGISTICS'!M4)</f>
        <v>Good game!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2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2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25">
      <c r="A35" s="48"/>
      <c r="B35" s="196">
        <f>'SCOUT &amp; LOGISTICS'!M7</f>
        <v>2.0338078291814945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2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9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E3C3764-6256-4B13-AB60-9F430C063B1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Oscar Cuesta</cp:lastModifiedBy>
  <cp:lastPrinted>2026-01-16T21:24:53Z</cp:lastPrinted>
  <dcterms:created xsi:type="dcterms:W3CDTF">2023-09-19T19:50:35Z</dcterms:created>
  <dcterms:modified xsi:type="dcterms:W3CDTF">2026-01-16T21:25:02Z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