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5" documentId="8_{D09C08EF-2513-4ABF-86C7-E94B09290F41}" xr6:coauthVersionLast="47" xr6:coauthVersionMax="47" xr10:uidLastSave="{253710C3-1B1A-4E7E-AB63-5C8E0EA5233A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<sst xmlns="http://schemas.openxmlformats.org/spreadsheetml/2006/main" count="3245" uniqueCount="758">
  <si>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</si>
  <si>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</si>
  <si>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</si>
  <si>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</si>
  <si>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</si>
  <si>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</si>
  <si>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</si>
  <si>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</si>
  <si>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</si>
  <si>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</si>
  <si>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</si>
  <si>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</si>
  <si>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</si>
  <si>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</si>
  <si>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</si>
  <si>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</si>
  <si>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</si>
  <si>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</si>
  <si>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</si>
  <si>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</si>
  <si>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</si>
  <si>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</si>
  <si>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</si>
  <si>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</si>
  <si>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</si>
  <si>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</si>
  <si>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</si>
  <si>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</si>
  <si>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</si>
  <si>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</si>
  <si>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</si>
  <si>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</si>
  <si>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</si>
  <si>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</si>
  <si>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</si>
  <si>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</si>
  <si>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</si>
  <si>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</si>
  <si>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</si>
  <si>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</si>
  <si>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</si>
  <si>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</si>
  <si>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</si>
  <si>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</si>
  <si>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</si>
  <si>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</si>
  <si>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</si>
  <si>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</si>
  <si>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</si>
  <si>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</si>
  <si>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</si>
  <si>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</si>
  <si>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</si>
  <si>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</si>
  <si>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</si>
  <si>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</si>
  <si>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</si>
  <si>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</si>
  <si>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</si>
  <si>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</si>
  <si>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</si>
  <si>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</si>
  <si>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</si>
  <si>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</si>
  <si>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</si>
  <si>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</si>
  <si>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</si>
  <si>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</si>
  <si>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</si>
  <si>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</si>
  <si>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</si>
  <si>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</si>
  <si>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</si>
  <si>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</si>
  <si>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</si>
  <si>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</si>
  <si>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</si>
  <si>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</si>
  <si>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</si>
  <si>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</si>
  <si>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</si>
  <si>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</si>
  <si>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</si>
  <si>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</si>
  <si>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</si>
  <si>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</si>
  <si>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</si>
  <si>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</si>
  <si>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</si>
  <si>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</si>
  <si>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</si>
  <si>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</si>
  <si>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</si>
  <si>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</si>
  <si>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</si>
  <si>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</si>
  <si>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</si>
  <si>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</si>
  <si>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</si>
  <si>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</si>
  <si>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</si>
  <si>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</si>
  <si>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</si>
  <si>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</si>
  <si>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</si>
  <si>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</si>
  <si>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</si>
  <si>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</si>
  <si>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</si>
  <si>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</si>
  <si>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</si>
  <si>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</si>
  <si>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</si>
  <si>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</si>
  <si>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</si>
  <si>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</si>
  <si>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</si>
  <si>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</si>
  <si>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</si>
  <si>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</si>
  <si>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</si>
  <si>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</si>
  <si>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</si>
  <si>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</si>
  <si>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</si>
  <si>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</si>
  <si>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</si>
  <si>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</si>
  <si>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</si>
  <si>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</si>
  <si>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</si>
  <si>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</si>
  <si>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</si>
  <si>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</si>
  <si>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</si>
  <si>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</si>
  <si>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</si>
  <si>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</si>
  <si>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</si>
  <si>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</si>
  <si>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</si>
  <si>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</si>
  <si>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</si>
  <si>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</si>
  <si>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</si>
  <si>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</si>
  <si>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</si>
  <si>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</si>
  <si>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</si>
  <si>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</si>
  <si>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</si>
  <si>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</si>
  <si>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</si>
  <si>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</si>
  <si>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</si>
  <si>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</si>
  <si>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</si>
  <si>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</si>
  <si>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</si>
  <si>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</si>
  <si>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</si>
  <si>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</si>
  <si>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</si>
  <si>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</si>
  <si>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</si>
  <si>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</si>
  <si>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</si>
  <si>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</si>
  <si>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</si>
  <si>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</si>
  <si>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</si>
  <si>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</si>
  <si>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</si>
  <si>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</si>
  <si>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</si>
  <si>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</si>
  <si>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</si>
  <si>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</si>
  <si>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</si>
  <si>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</si>
  <si>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</si>
  <si>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</si>
  <si>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</si>
  <si>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</si>
  <si>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</si>
  <si>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</si>
  <si>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</si>
  <si>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</si>
  <si>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</si>
  <si>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</si>
  <si>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</si>
  <si>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</si>
  <si>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</si>
  <si>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</si>
  <si>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</si>
  <si>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</si>
  <si>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</si>
  <si>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</si>
  <si>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</si>
  <si>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</si>
  <si>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</si>
  <si>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</si>
  <si>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</si>
  <si>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</si>
  <si>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</si>
  <si>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</si>
  <si>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</si>
  <si>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</si>
  <si>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</si>
  <si>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</si>
  <si>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</si>
  <si>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</si>
  <si>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</si>
  <si>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</si>
  <si>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</si>
  <si>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</si>
  <si>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</si>
  <si>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</si>
  <si>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</si>
  <si>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</si>
  <si>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</si>
  <si>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</si>
  <si>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</si>
  <si>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</si>
  <si>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</si>
  <si>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</si>
  <si>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</si>
  <si>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</si>
  <si>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</si>
  <si>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</si>
  <si>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</si>
  <si>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</si>
  <si>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</si>
  <si>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</si>
  <si>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</si>
  <si>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</si>
  <si>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</si>
  <si>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</si>
  <si>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</si>
  <si>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</si>
  <si>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</si>
  <si>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</si>
  <si>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</si>
  <si>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</si>
  <si>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</si>
  <si>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</si>
  <si>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</si>
  <si>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</si>
  <si>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</si>
  <si>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</si>
  <si>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</si>
  <si>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</si>
  <si>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</si>
  <si>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</si>
  <si>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</si>
  <si>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</si>
  <si>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</si>
  <si>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</si>
  <si>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</si>
  <si>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</si>
  <si>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</si>
  <si>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</si>
  <si>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</si>
  <si>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</si>
  <si>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</si>
  <si>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</si>
  <si>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</si>
  <si>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</si>
  <si>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</si>
  <si>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</si>
  <si>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</si>
  <si>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</si>
  <si>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</si>
  <si>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</si>
  <si>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</si>
  <si>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</si>
  <si>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</si>
  <si>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</si>
  <si>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</si>
  <si>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</si>
  <si>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</si>
  <si>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</si>
  <si>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</si>
  <si>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</si>
  <si>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</si>
  <si>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</si>
  <si>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</si>
  <si>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</si>
  <si>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</si>
  <si>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</si>
  <si>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</si>
  <si>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</si>
  <si>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</si>
  <si>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</si>
  <si>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</si>
  <si>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</si>
  <si>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</si>
  <si>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</si>
  <si>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</si>
  <si>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</si>
  <si>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</si>
  <si>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</si>
  <si>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</si>
  <si>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</si>
  <si>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</si>
  <si>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</si>
  <si>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</si>
  <si>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</si>
  <si>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</si>
  <si>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</si>
  <si>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</si>
  <si>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</si>
  <si>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</si>
  <si>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</si>
  <si>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</si>
  <si>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</si>
  <si>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</si>
  <si>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</si>
  <si>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</si>
  <si>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</si>
  <si>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</si>
  <si>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</si>
  <si>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</si>
  <si>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</si>
  <si>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</si>
  <si>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</si>
  <si>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</si>
  <si>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</si>
  <si>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</si>
  <si>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</si>
  <si>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</si>
  <si>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</si>
  <si>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</si>
  <si>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</si>
  <si>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</si>
  <si>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</si>
  <si>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</si>
  <si>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</si>
  <si>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</si>
  <si>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</si>
  <si>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</si>
  <si>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</si>
  <si>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</si>
  <si>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</si>
  <si>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</si>
  <si>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</si>
  <si>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</si>
  <si>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</si>
  <si>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</si>
  <si>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</si>
  <si>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</si>
  <si>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</si>
  <si>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</si>
  <si>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</si>
  <si>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</si>
  <si>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</si>
  <si>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</si>
  <si>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</si>
  <si>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</si>
  <si>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</si>
  <si>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</si>
  <si>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</si>
  <si>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</si>
  <si>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</si>
  <si>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</si>
  <si>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</si>
  <si>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</si>
  <si>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</si>
  <si>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</si>
  <si>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</si>
  <si>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</si>
  <si>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</si>
  <si>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</si>
  <si>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</si>
  <si>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</si>
  <si>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</si>
  <si>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</si>
  <si>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</si>
  <si>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</si>
  <si>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</si>
  <si>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</si>
  <si>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</si>
  <si>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</si>
  <si>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</si>
  <si>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</si>
  <si>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</si>
  <si>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</si>
  <si>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</si>
  <si>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</si>
  <si>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</si>
  <si>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</si>
  <si>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</si>
  <si>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</si>
  <si>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</si>
  <si>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</si>
  <si>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</si>
  <si>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</si>
  <si>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</si>
  <si>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</si>
  <si>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</si>
  <si>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</si>
  <si>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</si>
  <si>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</si>
  <si>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</si>
  <si>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</si>
  <si>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</si>
  <si>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</si>
  <si>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</si>
  <si>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</si>
  <si>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</si>
  <si>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</si>
  <si>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</si>
  <si>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</si>
  <si>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</si>
  <si>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</si>
  <si>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</si>
  <si>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</si>
  <si>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</si>
  <si>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</si>
  <si>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</si>
  <si>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</si>
  <si>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</si>
  <si>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</si>
  <si>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</si>
  <si>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</si>
  <si>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</si>
  <si>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</si>
  <si>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</si>
  <si>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</si>
  <si>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</si>
  <si>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</si>
  <si>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</si>
  <si>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</si>
  <si>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</si>
  <si>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</si>
  <si>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</si>
  <si>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</si>
  <si>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</si>
  <si>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</si>
  <si>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</si>
  <si>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</si>
  <si>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</si>
  <si>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</si>
  <si>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</si>
  <si>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</si>
  <si>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</si>
  <si>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</si>
  <si>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</si>
  <si>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</si>
  <si>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</si>
  <si>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</si>
  <si>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</si>
  <si>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</si>
  <si>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</si>
  <si>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</si>
  <si>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</si>
  <si>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</si>
  <si>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</si>
  <si>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</si>
  <si>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</si>
  <si>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</si>
  <si>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</si>
  <si>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</si>
  <si>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</si>
  <si>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</si>
  <si>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</si>
  <si>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</si>
  <si>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</si>
  <si>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</si>
  <si>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</si>
  <si>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</si>
  <si>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</si>
  <si>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</si>
  <si>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</si>
  <si>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</si>
  <si>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</si>
  <si>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</si>
  <si>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</si>
  <si>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</si>
  <si>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</si>
  <si>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</si>
  <si>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</si>
  <si>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</si>
  <si>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</si>
  <si>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</si>
  <si>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</si>
  <si>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</si>
  <si>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</si>
  <si>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</si>
  <si>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</si>
  <si>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</si>
  <si>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</si>
  <si>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</si>
  <si>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</si>
  <si>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</si>
  <si>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</si>
  <si>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</si>
  <si>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</si>
  <si>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</si>
  <si>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</si>
  <si>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</si>
  <si>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</si>
  <si>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</si>
  <si>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</si>
  <si>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</si>
  <si>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</si>
  <si>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</si>
  <si>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</si>
  <si>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</si>
  <si>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</si>
  <si>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</si>
  <si>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</si>
  <si>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</si>
  <si>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</si>
  <si>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</si>
  <si>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</si>
  <si>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</si>
  <si>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</si>
  <si>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</si>
  <si>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</si>
  <si>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</si>
  <si>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</si>
  <si>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</si>
  <si>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</si>
  <si>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</si>
  <si>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</si>
  <si>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</si>
  <si>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</si>
  <si>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</si>
  <si>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</si>
  <si>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</si>
  <si>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</si>
  <si>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</si>
  <si>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</si>
  <si>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</si>
  <si>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</si>
  <si>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</si>
  <si>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</si>
  <si>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</si>
  <si>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</si>
  <si>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</si>
  <si>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</si>
  <si>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</si>
  <si>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</si>
  <si>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</si>
  <si>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</si>
  <si>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</si>
  <si>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</si>
  <si>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</si>
  <si>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</si>
  <si>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</si>
  <si>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</si>
  <si>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</si>
  <si>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</si>
  <si>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</si>
  <si>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</si>
  <si>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</si>
  <si>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</si>
  <si>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</si>
  <si>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</si>
  <si>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</si>
  <si>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</si>
  <si>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</si>
  <si>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</si>
  <si>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</si>
  <si>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</si>
  <si>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</si>
  <si>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</si>
  <si>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</si>
  <si>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</si>
  <si>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</si>
  <si>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</si>
  <si>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</si>
  <si>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</si>
  <si>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</si>
  <si>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</si>
  <si>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</si>
  <si>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</si>
  <si>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</si>
  <si>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</si>
  <si>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</si>
  <si>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</si>
  <si>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</si>
  <si>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</si>
  <si>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</si>
  <si>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</si>
  <si>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</si>
  <si>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</si>
  <si>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</si>
  <si>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</si>
  <si>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</si>
  <si>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</si>
  <si>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</si>
  <si>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</si>
  <si>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</si>
  <si>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</si>
  <si>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</si>
  <si>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</si>
  <si>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</si>
  <si>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</si>
  <si>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</si>
  <si>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</si>
  <si>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</si>
  <si>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</si>
  <si>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</si>
  <si>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</si>
  <si>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</si>
  <si>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</si>
  <si>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</si>
  <si>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</si>
  <si>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</si>
  <si>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</si>
  <si>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</si>
  <si>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</si>
  <si>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</si>
  <si>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</si>
  <si>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</si>
  <si>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</si>
  <si>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</si>
  <si>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</si>
  <si>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</si>
  <si>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</si>
  <si>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</si>
  <si>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</si>
  <si>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</si>
  <si>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</si>
  <si>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</si>
  <si>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</si>
  <si>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</si>
  <si>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</si>
  <si>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</si>
  <si>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</si>
  <si>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</si>
  <si>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</si>
  <si>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</si>
  <si>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</si>
  <si>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</si>
  <si>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</si>
  <si>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</si>
  <si>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</si>
  <si>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</si>
  <si>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</si>
  <si>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</si>
  <si>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</si>
  <si>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</si>
  <si>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</si>
  <si>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</si>
  <si>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</si>
  <si>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</si>
  <si>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</si>
  <si>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</si>
  <si>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</si>
  <si>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</si>
  <si>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</si>
  <si>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</si>
  <si>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</si>
  <si>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</si>
  <si>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</si>
  <si>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</si>
  <si>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</si>
  <si>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</si>
  <si>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</si>
  <si>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</si>
  <si>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</si>
  <si>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</si>
  <si>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</si>
  <si>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</si>
  <si>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</si>
  <si>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</si>
  <si>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</si>
  <si>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</si>
  <si>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</si>
  <si>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</si>
  <si>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</si>
  <si>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</si>
  <si>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</si>
  <si>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</si>
  <si>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</si>
  <si>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</si>
  <si>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</si>
  <si>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</si>
  <si>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</si>
  <si>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</si>
  <si>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</si>
  <si>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</si>
  <si>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</si>
  <si>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</si>
  <si>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</si>
  <si>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</si>
  <si>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</si>
  <si>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</si>
  <si>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</si>
  <si>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</si>
  <si>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</si>
  <si>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</si>
  <si>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</si>
  <si>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</si>
  <si>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</si>
  <si>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</si>
  <si>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</si>
  <si>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</si>
  <si>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</si>
  <si>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</si>
  <si>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</si>
  <si>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</si>
  <si>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</si>
  <si>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</si>
  <si>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</si>
  <si>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</si>
  <si>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</si>
  <si>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</si>
  <si>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</si>
  <si>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</si>
  <si>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</si>
  <si>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</si>
  <si>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</si>
  <si>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</si>
  <si>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</si>
  <si>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</si>
  <si>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</si>
  <si>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</si>
  <si>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</si>
  <si>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</si>
  <si>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</si>
  <si>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</si>
  <si>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</si>
  <si>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</si>
  <si>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</si>
  <si>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</si>
  <si>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</si>
  <si>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</si>
  <si>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</si>
  <si>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</si>
  <si>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</si>
  <si>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</si>
  <si>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</si>
  <si>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</si>
  <si>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</si>
  <si>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</si>
  <si>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</si>
  <si>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</si>
  <si>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</si>
  <si>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</si>
  <si>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</si>
  <si>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</si>
  <si>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</si>
  <si>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</si>
  <si>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</si>
  <si>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</si>
  <si>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</si>
  <si>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C:\Users\nerea.fraile\EUROLEAGUE\EB STATS - Documents\General\SEASON 2025-26\Reports\Euroleague\PDF</t>
  </si>
  <si>
    <t>C:\Users\nerea.fraile\EUROLEAGUE\EB STATS - Documents\General\SEASON 2025-26\Reports\Euroleague</t>
  </si>
  <si>
    <t>ANA ANDREJIC</t>
  </si>
  <si>
    <t>MARKO KRSTIC</t>
  </si>
  <si>
    <t>SONJA STANKOVIC</t>
  </si>
  <si>
    <t>SANJA RSOVAC</t>
  </si>
  <si>
    <t>JOVANA KRIVOKUCA-MILOVANOVIC</t>
  </si>
  <si>
    <t>Excellent job! You have resolved sucessfully several refereeing mistakes in the marking of fouls. Congratulations for the job!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</si>
</sst>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22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22_219_PAR_OLY_E2025</v>
      </c>
      <c r="G1" s="5"/>
      <c r="H1" s="5"/>
      <c r="I1" s="5"/>
      <c r="J1" s="8" t="s">
        <v>707</v>
      </c>
      <c r="K1" s="121" t="s">
        <v>751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219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46036.854166666664</v>
      </c>
      <c r="C3" s="157"/>
      <c r="D3" s="39">
        <v>545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Partizan Mozzart 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742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Olympiacos Piraeus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219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REPORT_E2025219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"E2025219"</v>
      </c>
      <c r="F3" s="45" t="str">
        <f t="shared" ref="F3:F16" si="0">""""&amp;B3&amp;"""" &amp; " : " &amp;C3&amp;","</f>
        <v>"name" : "E2025219",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"E219"</v>
      </c>
      <c r="F4" s="45" t="str">
        <f t="shared" si="0"/>
        <v>"cod" : "E219",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219</v>
      </c>
      <c r="F6" s="45" t="str">
        <f t="shared" si="0"/>
        <v>"number" : 219,</v>
      </c>
    </row>
    <row r="7" spans="2:6" x14ac:dyDescent="0.25">
      <c r="B7" s="43" t="s">
        <v>116</v>
      </c>
      <c r="C7" s="43" t="str">
        <f ca="1">""""&amp;TEXT('SCOUT &amp; LOGISTICS'!B3,"dd/mm/aaaa")&amp;""""</f>
        <v>"14/01/Wednesday"</v>
      </c>
      <c r="F7" s="45" t="str">
        <f t="shared" ca="1" si="0"/>
        <v>"date" : "14/01/Wednesday",</v>
      </c>
    </row>
    <row r="8" spans="2:6" x14ac:dyDescent="0.25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"ANA ANDREJIC"</v>
      </c>
      <c r="F11" s="45" t="str">
        <f t="shared" si="0"/>
        <v>"Caller_1" : "ANA ANDREJIC",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"MARKO KRSTIC"</v>
      </c>
      <c r="F12" s="45" t="str">
        <f t="shared" si="0"/>
        <v>"Caller_2" : "MARKO KRSTIC",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"SONJA STANKOVIC"</v>
      </c>
      <c r="F13" s="45" t="str">
        <f t="shared" si="0"/>
        <v>"Timerkeeper" : "SONJA STANKOVIC",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"SANJA RSOVAC"</v>
      </c>
      <c r="F14" s="45" t="str">
        <f t="shared" si="0"/>
        <v>"Shotclock" : "SANJA RSOVAC",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KRIVOKUCA-MILOVANOVIC"</v>
      </c>
      <c r="F15" s="45" t="str">
        <f t="shared" si="0"/>
        <v>"IRS" : "JOVANA KRIVOKUCA-MILOVANOVIC",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545</v>
      </c>
      <c r="F25" s="45" t="str">
        <f t="shared" ref="F25:F48" si="1">""""&amp;C25&amp;"""" &amp; " : " &amp;D25&amp;","</f>
        <v>"total_actions" : 545,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 You have resolved sucessfully several refereeing mistakes in the marking of fouls. Congratulations for the job!"</v>
      </c>
      <c r="F51" s="45" t="str">
        <f>""""&amp;B51&amp;"""" &amp; " : " &amp;C51&amp;","</f>
        <v>"comments" : "Excellent job! You have resolved sucessfully several refereeing mistakes in the marking of fouls. Congratulations for the job!",</v>
      </c>
    </row>
    <row r="52" spans="2:6" x14ac:dyDescent="0.25">
      <c r="B52" s="43" t="s">
        <v>153</v>
      </c>
      <c r="C52" s="43" t="str">
        <f>TEXT('SCOUT &amp; LOGISTICS'!F1,"0,0")</f>
        <v>22_219_PAR_OLY_E2025</v>
      </c>
      <c r="F52" s="45" t="str">
        <f>""""&amp;B52&amp;"""" &amp; " : " &amp;C52</f>
        <v>"result" : 22_219_PAR_OLY_E2025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E219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14/01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Partizan Mozzart 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Olympiacos Piraeus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PETAR VASILJEVIC</v>
      </c>
      <c r="C8" s="206"/>
      <c r="D8" s="206"/>
      <c r="E8" s="206"/>
      <c r="F8" s="206"/>
      <c r="G8" s="206" t="str">
        <f>IF('SCOUT &amp; LOGISTICS'!D7="","",'SCOUT &amp; LOGISTICS'!D7)</f>
        <v>ANA ANDREJIC</v>
      </c>
      <c r="H8" s="206"/>
      <c r="I8" s="206"/>
      <c r="J8" s="206"/>
      <c r="K8" s="206"/>
      <c r="L8" s="206" t="str">
        <f>IF('SCOUT &amp; LOGISTICS'!D8="","",'SCOUT &amp; LOGISTICS'!D8)</f>
        <v>MARKO KRSTIC</v>
      </c>
      <c r="M8" s="206"/>
      <c r="N8" s="206"/>
      <c r="O8" s="206"/>
      <c r="P8" s="206"/>
      <c r="Q8" s="206" t="str">
        <f>IF('SCOUT &amp; LOGISTICS'!D9="","",'SCOUT &amp; LOGISTICS'!D9)</f>
        <v>SONJA STANKOVIC</v>
      </c>
      <c r="R8" s="206"/>
      <c r="S8" s="206"/>
      <c r="T8" s="206"/>
      <c r="U8" s="206"/>
      <c r="V8" s="206" t="str">
        <f>IF('SCOUT &amp; LOGISTICS'!D10="","",'SCOUT &amp; LOGISTICS'!D10)</f>
        <v>SANJA RSOVAC</v>
      </c>
      <c r="W8" s="206"/>
      <c r="X8" s="206"/>
      <c r="Y8" s="206"/>
      <c r="Z8" s="206"/>
      <c r="AA8" s="206" t="str">
        <f>IF('SCOUT &amp; LOGISTICS'!D11="","",'SCOUT &amp; LOGISTICS'!D11)</f>
        <v>JOVANA KRIVOKUCA-MILOVANOVIC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545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Excellent job! You have resolved sucessfully several refereeing mistakes in the marking of fouls. Congratulations for the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361B9AD-B067-4F6C-9BD9-8017691A13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2026-01-14T20:44:43Z</cp:lastPrinted>
  <dcterms:created xsi:type="dcterms:W3CDTF">2023-09-19T19:50:35Z</dcterms:created>
  <dcterms:modified xsi:type="dcterms:W3CDTF">2026-01-14T20:44:47Z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