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8" documentId="8_{95AA3DA1-BB7A-4ED2-86A9-C2BAF3B80718}" xr6:coauthVersionLast="47" xr6:coauthVersionMax="47" xr10:uidLastSave="{59344BFF-1DD3-48FE-AD99-071B325145A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<sst xmlns="http://schemas.openxmlformats.org/spreadsheetml/2006/main" count="3280" uniqueCount="766">
  <si>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</si>
  <si>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</si>
  <si>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</si>
  <si>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</si>
  <si>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</si>
  <si>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</si>
  <si>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</si>
  <si>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</si>
  <si>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</si>
  <si>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</si>
  <si>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</si>
  <si>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</si>
  <si>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</si>
  <si>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</si>
  <si>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</si>
  <si>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</si>
  <si>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</si>
  <si>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</si>
  <si>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</si>
  <si>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</si>
  <si>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</si>
  <si>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</si>
  <si>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</si>
  <si>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</si>
  <si>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</si>
  <si>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</si>
  <si>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</si>
  <si>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</si>
  <si>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</si>
  <si>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</si>
  <si>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</si>
  <si>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</si>
  <si>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</si>
  <si>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</si>
  <si>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</si>
  <si>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</si>
  <si>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</si>
  <si>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</si>
  <si>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</si>
  <si>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</si>
  <si>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</si>
  <si>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</si>
  <si>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</si>
  <si>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</si>
  <si>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</si>
  <si>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</si>
  <si>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</si>
  <si>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</si>
  <si>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</si>
  <si>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</si>
  <si>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</si>
  <si>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</si>
  <si>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</si>
  <si>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</si>
  <si>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</si>
  <si>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</si>
  <si>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</si>
  <si>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</si>
  <si>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</si>
  <si>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</si>
  <si>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</si>
  <si>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</si>
  <si>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</si>
  <si>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</si>
  <si>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</si>
  <si>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</si>
  <si>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</si>
  <si>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</si>
  <si>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</si>
  <si>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</si>
  <si>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</si>
  <si>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</si>
  <si>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</si>
  <si>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</si>
  <si>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</si>
  <si>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</si>
  <si>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</si>
  <si>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</si>
  <si>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</si>
  <si>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</si>
  <si>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</si>
  <si>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</si>
  <si>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</si>
  <si>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</si>
  <si>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</si>
  <si>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</si>
  <si>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</si>
  <si>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</si>
  <si>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</si>
  <si>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</si>
  <si>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</si>
  <si>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</si>
  <si>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</si>
  <si>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</si>
  <si>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</si>
  <si>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</si>
  <si>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</si>
  <si>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</si>
  <si>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</si>
  <si>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</si>
  <si>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</si>
  <si>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</si>
  <si>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</si>
  <si>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</si>
  <si>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</si>
  <si>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</si>
  <si>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</si>
  <si>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</si>
  <si>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</si>
  <si>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</si>
  <si>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</si>
  <si>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</si>
  <si>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</si>
  <si>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</si>
  <si>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</si>
  <si>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</si>
  <si>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</si>
  <si>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</si>
  <si>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</si>
  <si>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</si>
  <si>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</si>
  <si>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</si>
  <si>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</si>
  <si>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</si>
  <si>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</si>
  <si>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</si>
  <si>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</si>
  <si>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</si>
  <si>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</si>
  <si>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</si>
  <si>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</si>
  <si>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</si>
  <si>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</si>
  <si>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</si>
  <si>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</si>
  <si>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</si>
  <si>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</si>
  <si>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</si>
  <si>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</si>
  <si>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</si>
  <si>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</si>
  <si>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</si>
  <si>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</si>
  <si>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</si>
  <si>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</si>
  <si>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</si>
  <si>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</si>
  <si>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</si>
  <si>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</si>
  <si>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</si>
  <si>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</si>
  <si>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</si>
  <si>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</si>
  <si>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</si>
  <si>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</si>
  <si>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</si>
  <si>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</si>
  <si>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</si>
  <si>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</si>
  <si>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</si>
  <si>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</si>
  <si>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</si>
  <si>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</si>
  <si>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</si>
  <si>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</si>
  <si>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</si>
  <si>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</si>
  <si>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</si>
  <si>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</si>
  <si>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</si>
  <si>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</si>
  <si>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</si>
  <si>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</si>
  <si>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</si>
  <si>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</si>
  <si>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</si>
  <si>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</si>
  <si>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</si>
  <si>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</si>
  <si>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</si>
  <si>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</si>
  <si>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</si>
  <si>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</si>
  <si>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</si>
  <si>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</si>
  <si>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</si>
  <si>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</si>
  <si>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</si>
  <si>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</si>
  <si>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</si>
  <si>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</si>
  <si>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</si>
  <si>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</si>
  <si>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</si>
  <si>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</si>
  <si>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</si>
  <si>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</si>
  <si>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</si>
  <si>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</si>
  <si>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</si>
  <si>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</si>
  <si>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</si>
  <si>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</si>
  <si>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</si>
  <si>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</si>
  <si>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</si>
  <si>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</si>
  <si>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</si>
  <si>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</si>
  <si>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</si>
  <si>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</si>
  <si>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</si>
  <si>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</si>
  <si>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</si>
  <si>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</si>
  <si>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</si>
  <si>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</si>
  <si>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</si>
  <si>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</si>
  <si>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</si>
  <si>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</si>
  <si>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</si>
  <si>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</si>
  <si>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</si>
  <si>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</si>
  <si>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</si>
  <si>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</si>
  <si>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</si>
  <si>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</si>
  <si>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</si>
  <si>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</si>
  <si>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</si>
  <si>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</si>
  <si>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</si>
  <si>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</si>
  <si>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</si>
  <si>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</si>
  <si>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</si>
  <si>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</si>
  <si>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</si>
  <si>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</si>
  <si>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</si>
  <si>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</si>
  <si>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</si>
  <si>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</si>
  <si>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</si>
  <si>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</si>
  <si>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</si>
  <si>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</si>
  <si>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</si>
  <si>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</si>
  <si>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</si>
  <si>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</si>
  <si>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</si>
  <si>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</si>
  <si>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</si>
  <si>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</si>
  <si>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</si>
  <si>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</si>
  <si>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</si>
  <si>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</si>
  <si>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</si>
  <si>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</si>
  <si>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</si>
  <si>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</si>
  <si>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</si>
  <si>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</si>
  <si>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</si>
  <si>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</si>
  <si>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</si>
  <si>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</si>
  <si>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</si>
  <si>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</si>
  <si>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</si>
  <si>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</si>
  <si>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</si>
  <si>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</si>
  <si>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</si>
  <si>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</si>
  <si>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</si>
  <si>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</si>
  <si>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</si>
  <si>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</si>
  <si>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</si>
  <si>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</si>
  <si>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</si>
  <si>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</si>
  <si>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</si>
  <si>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</si>
  <si>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</si>
  <si>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</si>
  <si>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</si>
  <si>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</si>
  <si>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</si>
  <si>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</si>
  <si>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</si>
  <si>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</si>
  <si>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</si>
  <si>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</si>
  <si>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</si>
  <si>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</si>
  <si>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</si>
  <si>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</si>
  <si>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</si>
  <si>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</si>
  <si>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</si>
  <si>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</si>
  <si>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</si>
  <si>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</si>
  <si>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</si>
  <si>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</si>
  <si>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</si>
  <si>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</si>
  <si>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</si>
  <si>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</si>
  <si>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</si>
  <si>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</si>
  <si>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</si>
  <si>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</si>
  <si>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</si>
  <si>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</si>
  <si>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</si>
  <si>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</si>
  <si>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</si>
  <si>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</si>
  <si>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</si>
  <si>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</si>
  <si>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</si>
  <si>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</si>
  <si>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</si>
  <si>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</si>
  <si>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</si>
  <si>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</si>
  <si>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</si>
  <si>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</si>
  <si>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</si>
  <si>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</si>
  <si>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</si>
  <si>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</si>
  <si>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</si>
  <si>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</si>
  <si>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</si>
  <si>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</si>
  <si>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</si>
  <si>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</si>
  <si>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</si>
  <si>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</si>
  <si>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</si>
  <si>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</si>
  <si>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</si>
  <si>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</si>
  <si>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</si>
  <si>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</si>
  <si>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</si>
  <si>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</si>
  <si>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</si>
  <si>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</si>
  <si>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</si>
  <si>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</si>
  <si>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</si>
  <si>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</si>
  <si>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</si>
  <si>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</si>
  <si>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</si>
  <si>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</si>
  <si>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</si>
  <si>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</si>
  <si>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</si>
  <si>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</si>
  <si>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</si>
  <si>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</si>
  <si>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</si>
  <si>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</si>
  <si>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</si>
  <si>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</si>
  <si>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</si>
  <si>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</si>
  <si>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</si>
  <si>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</si>
  <si>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</si>
  <si>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</si>
  <si>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</si>
  <si>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</si>
  <si>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</si>
  <si>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</si>
  <si>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</si>
  <si>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</si>
  <si>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</si>
  <si>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</si>
  <si>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</si>
  <si>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</si>
  <si>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</si>
  <si>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</si>
  <si>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</si>
  <si>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</si>
  <si>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</si>
  <si>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</si>
  <si>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</si>
  <si>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</si>
  <si>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</si>
  <si>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</si>
  <si>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</si>
  <si>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</si>
  <si>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</si>
  <si>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</si>
  <si>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</si>
  <si>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</si>
  <si>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</si>
  <si>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</si>
  <si>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</si>
  <si>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</si>
  <si>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</si>
  <si>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</si>
  <si>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</si>
  <si>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</si>
  <si>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</si>
  <si>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</si>
  <si>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</si>
  <si>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</si>
  <si>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</si>
  <si>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</si>
  <si>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</si>
  <si>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</si>
  <si>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</si>
  <si>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</si>
  <si>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</si>
  <si>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</si>
  <si>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</si>
  <si>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</si>
  <si>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</si>
  <si>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</si>
  <si>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</si>
  <si>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</si>
  <si>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</si>
  <si>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</si>
  <si>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</si>
  <si>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</si>
  <si>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</si>
  <si>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</si>
  <si>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</si>
  <si>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</si>
  <si>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</si>
  <si>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</si>
  <si>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</si>
  <si>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</si>
  <si>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</si>
  <si>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</si>
  <si>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</si>
  <si>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</si>
  <si>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</si>
  <si>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</si>
  <si>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</si>
  <si>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</si>
  <si>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</si>
  <si>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</si>
  <si>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</si>
  <si>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</si>
  <si>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</si>
  <si>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</si>
  <si>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</si>
  <si>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</si>
  <si>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</si>
  <si>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</si>
  <si>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</si>
  <si>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</si>
  <si>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</si>
  <si>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</si>
  <si>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</si>
  <si>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</si>
  <si>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</si>
  <si>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</si>
  <si>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</si>
  <si>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</si>
  <si>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</si>
  <si>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</si>
  <si>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</si>
  <si>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</si>
  <si>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</si>
  <si>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</si>
  <si>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</si>
  <si>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</si>
  <si>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</si>
  <si>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</si>
  <si>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</si>
  <si>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</si>
  <si>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</si>
  <si>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</si>
  <si>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</si>
  <si>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</si>
  <si>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</si>
  <si>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</si>
  <si>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</si>
  <si>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</si>
  <si>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</si>
  <si>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</si>
  <si>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</si>
  <si>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</si>
  <si>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</si>
  <si>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</si>
  <si>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</si>
  <si>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</si>
  <si>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</si>
  <si>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</si>
  <si>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</si>
  <si>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</si>
  <si>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</si>
  <si>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</si>
  <si>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</si>
  <si>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</si>
  <si>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</si>
  <si>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</si>
  <si>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</si>
  <si>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</si>
  <si>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</si>
  <si>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</si>
  <si>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</si>
  <si>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</si>
  <si>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</si>
  <si>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</si>
  <si>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</si>
  <si>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</si>
  <si>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</si>
  <si>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</si>
  <si>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</si>
  <si>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</si>
  <si>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</si>
  <si>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</si>
  <si>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</si>
  <si>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</si>
  <si>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</si>
  <si>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</si>
  <si>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</si>
  <si>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</si>
  <si>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</si>
  <si>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</si>
  <si>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</si>
  <si>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</si>
  <si>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</si>
  <si>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</si>
  <si>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</si>
  <si>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</si>
  <si>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</si>
  <si>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</si>
  <si>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</si>
  <si>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</si>
  <si>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</si>
  <si>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</si>
  <si>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</si>
  <si>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</si>
  <si>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</si>
  <si>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</si>
  <si>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</si>
  <si>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</si>
  <si>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</si>
  <si>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</si>
  <si>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</si>
  <si>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</si>
  <si>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</si>
  <si>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</si>
  <si>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</si>
  <si>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</si>
  <si>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</si>
  <si>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</si>
  <si>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</si>
  <si>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</si>
  <si>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</si>
  <si>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</si>
  <si>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</si>
  <si>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</si>
  <si>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</si>
  <si>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</si>
  <si>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</si>
  <si>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</si>
  <si>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</si>
  <si>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</si>
  <si>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</si>
  <si>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</si>
  <si>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</si>
  <si>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</si>
  <si>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</si>
  <si>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</si>
  <si>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</si>
  <si>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</si>
  <si>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</si>
  <si>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</si>
  <si>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</si>
  <si>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</si>
  <si>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</si>
  <si>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</si>
  <si>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</si>
  <si>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</si>
  <si>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</si>
  <si>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</si>
  <si>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</si>
  <si>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</si>
  <si>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</si>
  <si>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</si>
  <si>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</si>
  <si>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</si>
  <si>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</si>
  <si>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</si>
  <si>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</si>
  <si>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</si>
  <si>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</si>
  <si>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</si>
  <si>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</si>
  <si>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</si>
  <si>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</si>
  <si>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</si>
  <si>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</si>
  <si>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</si>
  <si>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</si>
  <si>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</si>
  <si>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</si>
  <si>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</si>
  <si>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</si>
  <si>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</si>
  <si>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</si>
  <si>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</si>
  <si>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</si>
  <si>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</si>
  <si>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</si>
  <si>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</si>
  <si>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</si>
  <si>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</si>
  <si>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</si>
  <si>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</si>
  <si>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</si>
  <si>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</si>
  <si>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</si>
  <si>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</si>
  <si>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</si>
  <si>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</si>
  <si>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</si>
  <si>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</si>
  <si>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</si>
  <si>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</si>
  <si>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</si>
  <si>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</si>
  <si>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</si>
  <si>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</si>
  <si>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</si>
  <si>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</si>
  <si>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</si>
  <si>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</si>
  <si>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</si>
  <si>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</si>
  <si>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</si>
  <si>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</si>
  <si>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</si>
  <si>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</si>
  <si>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</si>
  <si>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</si>
  <si>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</si>
  <si>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</si>
  <si>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</si>
  <si>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</si>
  <si>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</si>
  <si>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</si>
  <si>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</si>
  <si>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</si>
  <si>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</si>
  <si>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</si>
  <si>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</si>
  <si>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</si>
  <si>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</si>
  <si>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</si>
  <si>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</si>
  <si>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</si>
  <si>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</si>
  <si>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</si>
  <si>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</si>
  <si>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</si>
  <si>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</si>
  <si>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</si>
  <si>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</si>
  <si>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</si>
  <si>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</si>
  <si>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</si>
  <si>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</si>
  <si>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</si>
  <si>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</si>
  <si>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</si>
  <si>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</si>
  <si>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</si>
  <si>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</si>
  <si>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</si>
  <si>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</si>
  <si>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</si>
  <si>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</si>
  <si>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</si>
  <si>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</si>
  <si>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</si>
  <si>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</si>
  <si>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</si>
  <si>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</si>
  <si>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</si>
  <si>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</si>
  <si>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</si>
  <si>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</si>
  <si>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</si>
  <si>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</si>
  <si>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</si>
  <si>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</si>
  <si>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</si>
  <si>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</si>
  <si>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</si>
  <si>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</si>
  <si>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</si>
  <si>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</si>
  <si>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</si>
  <si>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</si>
  <si>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</si>
  <si>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</si>
  <si>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</si>
  <si>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</si>
  <si>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</si>
  <si>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</si>
  <si>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</si>
  <si>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</si>
  <si>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</si>
  <si>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</si>
  <si>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</si>
  <si>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</si>
  <si>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</si>
  <si>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</si>
  <si>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</si>
  <si>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</si>
  <si>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</si>
  <si>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</si>
  <si>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</si>
  <si>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</si>
  <si>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</si>
  <si>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</si>
  <si>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</si>
  <si>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</si>
  <si>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</si>
  <si>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</si>
  <si>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</si>
  <si>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</si>
  <si>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</si>
  <si>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</si>
  <si>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</si>
  <si>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</si>
  <si>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</si>
  <si>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</si>
  <si>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</si>
  <si>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</si>
  <si>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</si>
  <si>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LUIS CALLEJA</t>
  </si>
  <si>
    <t>JAIME LAQUIDAIN</t>
  </si>
  <si>
    <t>MIGUEL PENALBA</t>
  </si>
  <si>
    <t>NOA GARCIA</t>
  </si>
  <si>
    <t>ANDRES DE LA COBA</t>
  </si>
  <si>
    <t>ALVARO PENALBA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</si>
  <si>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</si>
  <si>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</si>
  <si>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</si>
  <si>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8:21</t>
  </si>
  <si>
    <t>3:45</t>
  </si>
  <si>
    <t>5:17</t>
  </si>
  <si>
    <t>0:55</t>
  </si>
  <si>
    <t>7:21</t>
  </si>
  <si>
    <t>2:51</t>
  </si>
  <si>
    <t>2:19</t>
  </si>
  <si>
    <t>Remember to review the criteria manual.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</si>
</sst>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22_220_MAD_BAR_E2025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220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46038.864583333336</v>
      </c>
      <c r="C3" s="178"/>
      <c r="D3" s="39">
        <v>554</v>
      </c>
      <c r="E3" s="29"/>
      <c r="F3" s="26">
        <f>SUBTOTAL(3,I17:I106)</f>
        <v>7</v>
      </c>
      <c r="G3" s="27">
        <f>IF(OR(D3="",D3=0),"",F3/D3)</f>
        <v>1.263537906137184E-2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742</v>
      </c>
      <c r="L4" s="5"/>
      <c r="M4" s="185" t="s">
        <v>765</v>
      </c>
      <c r="N4" s="186"/>
      <c r="O4" s="2"/>
      <c r="P4" s="2"/>
      <c r="Q4" s="84" t="s">
        <v>175</v>
      </c>
      <c r="R4" s="94">
        <f>(IF(G3="",0,G3))</f>
        <v>1.263537906137184E-2</v>
      </c>
      <c r="S4" s="61">
        <f>SUM(I13:M13)</f>
        <v>0</v>
      </c>
      <c r="T4" s="78"/>
      <c r="U4" s="61">
        <f>AC18</f>
        <v>7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1.2635379061371841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4.7635379061371843</v>
      </c>
      <c r="N7" s="58"/>
      <c r="O7" s="2"/>
      <c r="P7" s="2"/>
      <c r="Q7" s="86">
        <f>SUM(R5,S5,AC16)</f>
        <v>4.7635379061371843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4.7635379061371843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220</v>
      </c>
      <c r="D17" s="32" t="s">
        <v>758</v>
      </c>
      <c r="E17" s="33">
        <v>2</v>
      </c>
      <c r="F17" s="36">
        <v>26</v>
      </c>
      <c r="G17" s="36">
        <v>17</v>
      </c>
      <c r="H17" s="38" t="str">
        <f>IF(I17="","",$I$14)</f>
        <v>SCOUTING</v>
      </c>
      <c r="I17" s="34">
        <v>147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220</v>
      </c>
      <c r="D18" s="32" t="s">
        <v>759</v>
      </c>
      <c r="E18" s="33">
        <v>2</v>
      </c>
      <c r="F18" s="36">
        <v>34</v>
      </c>
      <c r="G18" s="36">
        <v>29</v>
      </c>
      <c r="H18" s="38" t="str">
        <f t="shared" ref="H18:H81" si="8">IF(I18="","",$I$14)</f>
        <v>SCOUTING</v>
      </c>
      <c r="I18" s="34">
        <v>212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220</v>
      </c>
      <c r="D19" s="32" t="s">
        <v>760</v>
      </c>
      <c r="E19" s="33">
        <v>3</v>
      </c>
      <c r="F19" s="36">
        <v>49</v>
      </c>
      <c r="G19" s="36">
        <v>40</v>
      </c>
      <c r="H19" s="38" t="str">
        <f t="shared" si="8"/>
        <v>SCOUTING</v>
      </c>
      <c r="I19" s="34">
        <v>331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220</v>
      </c>
      <c r="D20" s="32" t="s">
        <v>761</v>
      </c>
      <c r="E20" s="33">
        <v>3</v>
      </c>
      <c r="F20" s="36">
        <v>61</v>
      </c>
      <c r="G20" s="36">
        <v>47</v>
      </c>
      <c r="H20" s="38" t="str">
        <f t="shared" si="8"/>
        <v>SCOUTING</v>
      </c>
      <c r="I20" s="34">
        <v>413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220</v>
      </c>
      <c r="D21" s="32" t="s">
        <v>762</v>
      </c>
      <c r="E21" s="33">
        <v>4</v>
      </c>
      <c r="F21" s="36">
        <v>70</v>
      </c>
      <c r="G21" s="36">
        <v>54</v>
      </c>
      <c r="H21" s="38" t="str">
        <f t="shared" si="8"/>
        <v>SCOUTING</v>
      </c>
      <c r="I21" s="34">
        <v>454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220</v>
      </c>
      <c r="D22" s="32" t="s">
        <v>763</v>
      </c>
      <c r="E22" s="33">
        <v>4</v>
      </c>
      <c r="F22" s="36">
        <v>78</v>
      </c>
      <c r="G22" s="36">
        <v>57</v>
      </c>
      <c r="H22" s="38" t="str">
        <f t="shared" si="8"/>
        <v>SCOUTING</v>
      </c>
      <c r="I22" s="34">
        <v>519</v>
      </c>
      <c r="J22" s="13" t="s">
        <v>4</v>
      </c>
      <c r="K22" s="13" t="s">
        <v>62</v>
      </c>
      <c r="L22" s="13" t="s">
        <v>5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220</v>
      </c>
      <c r="D23" s="32" t="s">
        <v>764</v>
      </c>
      <c r="E23" s="33">
        <v>4</v>
      </c>
      <c r="F23" s="36">
        <v>78</v>
      </c>
      <c r="G23" s="36">
        <v>57</v>
      </c>
      <c r="H23" s="38" t="str">
        <f t="shared" si="8"/>
        <v>SCOUTING</v>
      </c>
      <c r="I23" s="34">
        <v>529</v>
      </c>
      <c r="J23" s="13" t="s">
        <v>4</v>
      </c>
      <c r="K23" s="13" t="s">
        <v>63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REPORT_E2025220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"E2025220"</v>
      </c>
      <c r="F3" s="45" t="str">
        <f t="shared" ref="F3:F16" si="0">""""&amp;B3&amp;"""" &amp; " : " &amp;C3&amp;","</f>
        <v>"name" : "E2025220",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"E220"</v>
      </c>
      <c r="F4" s="45" t="str">
        <f t="shared" si="0"/>
        <v>"cod" : "E220",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220</v>
      </c>
      <c r="F6" s="45" t="str">
        <f t="shared" si="0"/>
        <v>"number" : 220,</v>
      </c>
    </row>
    <row r="7" spans="2:6" x14ac:dyDescent="0.25">
      <c r="B7" s="43" t="s">
        <v>116</v>
      </c>
      <c r="C7" s="43" t="str">
        <f ca="1">""""&amp;TEXT('SCOUT &amp; LOGISTICS'!B3,"dd/mm/aaaa")&amp;""""</f>
        <v>"16/01/Friday"</v>
      </c>
      <c r="F7" s="45" t="str">
        <f t="shared" ca="1" si="0"/>
        <v>"date" : "16/01/Friday",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"LUIS CALLEJA"</v>
      </c>
      <c r="F10" s="45" t="str">
        <f t="shared" si="0"/>
        <v>"Data_entry" : "LUIS CALLEJA",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"JAIME LAQUIDAIN"</v>
      </c>
      <c r="F11" s="45" t="str">
        <f t="shared" si="0"/>
        <v>"Caller_1" : "JAIME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"MIGUEL PENALBA"</v>
      </c>
      <c r="F12" s="45" t="str">
        <f t="shared" si="0"/>
        <v>"Caller_2" : "MIGUEL PENALBA",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"NOA GARCIA"</v>
      </c>
      <c r="F13" s="45" t="str">
        <f t="shared" si="0"/>
        <v>"Timerkeeper" : "NOA GARCIA",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"ANDRES DE LA COBA"</v>
      </c>
      <c r="F14" s="45" t="str">
        <f t="shared" si="0"/>
        <v>"Shotclock" : "ANDRES DE LA COBA",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"ALVARO PENALBA"</v>
      </c>
      <c r="F15" s="45" t="str">
        <f t="shared" si="0"/>
        <v>"IRS" : "ALVARO PENALBA",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554</v>
      </c>
      <c r="F25" s="45" t="str">
        <f t="shared" ref="F25:F48" si="1">""""&amp;C25&amp;"""" &amp; " : " &amp;D25&amp;","</f>
        <v>"total_actions" : 554,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"Remember to review the criteria manual. Keep it up!"</v>
      </c>
      <c r="F51" s="45" t="str">
        <f>""""&amp;B51&amp;"""" &amp; " : " &amp;C51&amp;","</f>
        <v>"comments" : "Remember to review the criteria manual. Keep it up!",</v>
      </c>
    </row>
    <row r="52" spans="2:6" x14ac:dyDescent="0.25">
      <c r="B52" s="43" t="s">
        <v>153</v>
      </c>
      <c r="C52" s="43" t="str">
        <f>TEXT('SCOUT &amp; LOGISTICS'!F1,"0,0")</f>
        <v>22_220_MAD_BAR_E2025</v>
      </c>
      <c r="F52" s="45" t="str">
        <f>""""&amp;B52&amp;"""" &amp; " : " &amp;C52</f>
        <v>"result" : 22_220_MAD_BAR_E2025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E220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LUIS CALLEJA</v>
      </c>
      <c r="C8" s="201"/>
      <c r="D8" s="201"/>
      <c r="E8" s="201"/>
      <c r="F8" s="201"/>
      <c r="G8" s="201" t="str">
        <f>IF('SCOUT &amp; LOGISTICS'!D7="","",'SCOUT &amp; LOGISTICS'!D7)</f>
        <v>JAIME LAQUIDAIN</v>
      </c>
      <c r="H8" s="201"/>
      <c r="I8" s="201"/>
      <c r="J8" s="201"/>
      <c r="K8" s="201"/>
      <c r="L8" s="201" t="str">
        <f>IF('SCOUT &amp; LOGISTICS'!D8="","",'SCOUT &amp; LOGISTICS'!D8)</f>
        <v>MIGUEL PENALBA</v>
      </c>
      <c r="M8" s="201"/>
      <c r="N8" s="201"/>
      <c r="O8" s="201"/>
      <c r="P8" s="201"/>
      <c r="Q8" s="201" t="str">
        <f>IF('SCOUT &amp; LOGISTICS'!D9="","",'SCOUT &amp; LOGISTICS'!D9)</f>
        <v>NOA GARCIA</v>
      </c>
      <c r="R8" s="201"/>
      <c r="S8" s="201"/>
      <c r="T8" s="201"/>
      <c r="U8" s="201"/>
      <c r="V8" s="201" t="str">
        <f>IF('SCOUT &amp; LOGISTICS'!D10="","",'SCOUT &amp; LOGISTICS'!D10)</f>
        <v>ANDRES DE LA COBA</v>
      </c>
      <c r="W8" s="201"/>
      <c r="X8" s="201"/>
      <c r="Y8" s="201"/>
      <c r="Z8" s="201"/>
      <c r="AA8" s="201" t="str">
        <f>IF('SCOUT &amp; LOGISTICS'!D11="","",'SCOUT &amp; LOGISTICS'!D11)</f>
        <v>ALVARO PENALBA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1.263537906137184E-2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2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Remember to review the criteria manual.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4.7635379061371843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96E15F1F-7043-43E0-A534-AF665A16D1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2026-01-20T16:27:50Z</cp:lastPrinted>
  <dcterms:created xsi:type="dcterms:W3CDTF">2023-09-19T19:50:35Z</dcterms:created>
  <dcterms:modified xsi:type="dcterms:W3CDTF">2026-01-20T16:28:03Z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