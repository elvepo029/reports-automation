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3" documentId="8_{57F31D9A-0289-47D8-8890-8A7346AAB8AC}" xr6:coauthVersionLast="47" xr6:coauthVersionMax="47" xr10:uidLastSave="{F26684EB-8BCE-49EC-8D36-E7F863CA5DEA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<sst xmlns="http://schemas.openxmlformats.org/spreadsheetml/2006/main" count="3270" uniqueCount="764">
  <si>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</si>
  <si>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</si>
  <si>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</si>
  <si>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</si>
  <si>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</si>
  <si>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</si>
  <si>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</si>
  <si>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</si>
  <si>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</si>
  <si>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</si>
  <si>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</si>
  <si>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</si>
  <si>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</si>
  <si>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</si>
  <si>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</si>
  <si>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</si>
  <si>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</si>
  <si>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</si>
  <si>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</si>
  <si>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</si>
  <si>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</si>
  <si>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</si>
  <si>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</si>
  <si>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</si>
  <si>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</si>
  <si>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</si>
  <si>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</si>
  <si>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</si>
  <si>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</si>
  <si>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</si>
  <si>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</si>
  <si>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</si>
  <si>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</si>
  <si>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</si>
  <si>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</si>
  <si>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</si>
  <si>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</si>
  <si>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</si>
  <si>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</si>
  <si>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</si>
  <si>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</si>
  <si>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</si>
  <si>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</si>
  <si>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</si>
  <si>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</si>
  <si>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</si>
  <si>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</si>
  <si>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</si>
  <si>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</si>
  <si>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</si>
  <si>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</si>
  <si>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</si>
  <si>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</si>
  <si>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</si>
  <si>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</si>
  <si>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</si>
  <si>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</si>
  <si>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</si>
  <si>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</si>
  <si>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</si>
  <si>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</si>
  <si>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</si>
  <si>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</si>
  <si>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</si>
  <si>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</si>
  <si>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</si>
  <si>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</si>
  <si>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</si>
  <si>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</si>
  <si>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</si>
  <si>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</si>
  <si>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</si>
  <si>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</si>
  <si>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</si>
  <si>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</si>
  <si>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</si>
  <si>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</si>
  <si>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</si>
  <si>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</si>
  <si>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</si>
  <si>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</si>
  <si>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</si>
  <si>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</si>
  <si>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</si>
  <si>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</si>
  <si>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</si>
  <si>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</si>
  <si>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</si>
  <si>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</si>
  <si>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</si>
  <si>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</si>
  <si>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</si>
  <si>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</si>
  <si>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</si>
  <si>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</si>
  <si>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</si>
  <si>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</si>
  <si>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</si>
  <si>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</si>
  <si>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</si>
  <si>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</si>
  <si>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</si>
  <si>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</si>
  <si>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</si>
  <si>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</si>
  <si>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</si>
  <si>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</si>
  <si>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</si>
  <si>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</si>
  <si>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</si>
  <si>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</si>
  <si>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</si>
  <si>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</si>
  <si>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</si>
  <si>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</si>
  <si>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</si>
  <si>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</si>
  <si>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</si>
  <si>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</si>
  <si>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</si>
  <si>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</si>
  <si>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</si>
  <si>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</si>
  <si>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</si>
  <si>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</si>
  <si>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</si>
  <si>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</si>
  <si>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</si>
  <si>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</si>
  <si>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</si>
  <si>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</si>
  <si>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</si>
  <si>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</si>
  <si>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</si>
  <si>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</si>
  <si>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</si>
  <si>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</si>
  <si>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</si>
  <si>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</si>
  <si>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</si>
  <si>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</si>
  <si>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</si>
  <si>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</si>
  <si>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</si>
  <si>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</si>
  <si>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</si>
  <si>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</si>
  <si>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</si>
  <si>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</si>
  <si>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</si>
  <si>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</si>
  <si>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</si>
  <si>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</si>
  <si>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</si>
  <si>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</si>
  <si>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</si>
  <si>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</si>
  <si>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</si>
  <si>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</si>
  <si>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</si>
  <si>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</si>
  <si>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</si>
  <si>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</si>
  <si>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</si>
  <si>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</si>
  <si>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</si>
  <si>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</si>
  <si>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</si>
  <si>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</si>
  <si>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</si>
  <si>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</si>
  <si>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</si>
  <si>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</si>
  <si>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</si>
  <si>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</si>
  <si>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</si>
  <si>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</si>
  <si>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</si>
  <si>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</si>
  <si>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</si>
  <si>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</si>
  <si>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</si>
  <si>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</si>
  <si>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</si>
  <si>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</si>
  <si>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</si>
  <si>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</si>
  <si>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</si>
  <si>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</si>
  <si>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</si>
  <si>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</si>
  <si>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</si>
  <si>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</si>
  <si>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</si>
  <si>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</si>
  <si>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</si>
  <si>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</si>
  <si>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</si>
  <si>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</si>
  <si>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</si>
  <si>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</si>
  <si>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</si>
  <si>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</si>
  <si>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</si>
  <si>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</si>
  <si>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</si>
  <si>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</si>
  <si>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</si>
  <si>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</si>
  <si>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</si>
  <si>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</si>
  <si>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</si>
  <si>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</si>
  <si>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</si>
  <si>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</si>
  <si>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</si>
  <si>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</si>
  <si>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</si>
  <si>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</si>
  <si>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</si>
  <si>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</si>
  <si>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</si>
  <si>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</si>
  <si>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</si>
  <si>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</si>
  <si>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</si>
  <si>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</si>
  <si>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</si>
  <si>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</si>
  <si>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</si>
  <si>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</si>
  <si>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</si>
  <si>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</si>
  <si>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</si>
  <si>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</si>
  <si>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</si>
  <si>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</si>
  <si>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</si>
  <si>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</si>
  <si>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</si>
  <si>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</si>
  <si>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</si>
  <si>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</si>
  <si>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</si>
  <si>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</si>
  <si>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</si>
  <si>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</si>
  <si>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</si>
  <si>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</si>
  <si>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</si>
  <si>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</si>
  <si>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</si>
  <si>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</si>
  <si>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</si>
  <si>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</si>
  <si>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</si>
  <si>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</si>
  <si>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</si>
  <si>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</si>
  <si>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</si>
  <si>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</si>
  <si>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</si>
  <si>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</si>
  <si>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</si>
  <si>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</si>
  <si>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</si>
  <si>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</si>
  <si>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</si>
  <si>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</si>
  <si>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</si>
  <si>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</si>
  <si>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</si>
  <si>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</si>
  <si>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</si>
  <si>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</si>
  <si>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</si>
  <si>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</si>
  <si>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</si>
  <si>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</si>
  <si>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</si>
  <si>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</si>
  <si>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</si>
  <si>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</si>
  <si>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</si>
  <si>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</si>
  <si>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</si>
  <si>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</si>
  <si>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</si>
  <si>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</si>
  <si>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</si>
  <si>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</si>
  <si>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</si>
  <si>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</si>
  <si>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</si>
  <si>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</si>
  <si>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</si>
  <si>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</si>
  <si>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</si>
  <si>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</si>
  <si>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</si>
  <si>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</si>
  <si>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</si>
  <si>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</si>
  <si>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</si>
  <si>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</si>
  <si>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</si>
  <si>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</si>
  <si>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</si>
  <si>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</si>
  <si>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</si>
  <si>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</si>
  <si>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</si>
  <si>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</si>
  <si>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</si>
  <si>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</si>
  <si>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</si>
  <si>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</si>
  <si>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</si>
  <si>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</si>
  <si>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</si>
  <si>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</si>
  <si>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</si>
  <si>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</si>
  <si>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</si>
  <si>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</si>
  <si>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</si>
  <si>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</si>
  <si>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</si>
  <si>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</si>
  <si>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</si>
  <si>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</si>
  <si>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</si>
  <si>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</si>
  <si>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</si>
  <si>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</si>
  <si>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</si>
  <si>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</si>
  <si>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</si>
  <si>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</si>
  <si>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</si>
  <si>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</si>
  <si>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</si>
  <si>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</si>
  <si>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</si>
  <si>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</si>
  <si>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</si>
  <si>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</si>
  <si>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</si>
  <si>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</si>
  <si>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</si>
  <si>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</si>
  <si>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</si>
  <si>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</si>
  <si>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</si>
  <si>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</si>
  <si>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</si>
  <si>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</si>
  <si>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</si>
  <si>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</si>
  <si>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</si>
  <si>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</si>
  <si>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</si>
  <si>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</si>
  <si>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</si>
  <si>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</si>
  <si>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</si>
  <si>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</si>
  <si>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</si>
  <si>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</si>
  <si>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</si>
  <si>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</si>
  <si>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</si>
  <si>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</si>
  <si>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</si>
  <si>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</si>
  <si>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</si>
  <si>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</si>
  <si>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</si>
  <si>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</si>
  <si>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</si>
  <si>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</si>
  <si>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</si>
  <si>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</si>
  <si>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</si>
  <si>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</si>
  <si>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</si>
  <si>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</si>
  <si>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</si>
  <si>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</si>
  <si>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</si>
  <si>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</si>
  <si>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</si>
  <si>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</si>
  <si>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</si>
  <si>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</si>
  <si>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</si>
  <si>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</si>
  <si>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</si>
  <si>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</si>
  <si>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</si>
  <si>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</si>
  <si>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</si>
  <si>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</si>
  <si>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</si>
  <si>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</si>
  <si>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</si>
  <si>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</si>
  <si>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</si>
  <si>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</si>
  <si>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</si>
  <si>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</si>
  <si>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</si>
  <si>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</si>
  <si>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</si>
  <si>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</si>
  <si>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</si>
  <si>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</si>
  <si>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</si>
  <si>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</si>
  <si>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</si>
  <si>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</si>
  <si>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</si>
  <si>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</si>
  <si>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</si>
  <si>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</si>
  <si>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</si>
  <si>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</si>
  <si>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</si>
  <si>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</si>
  <si>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</si>
  <si>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</si>
  <si>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</si>
  <si>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</si>
  <si>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</si>
  <si>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</si>
  <si>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</si>
  <si>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</si>
  <si>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</si>
  <si>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</si>
  <si>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</si>
  <si>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</si>
  <si>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</si>
  <si>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</si>
  <si>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</si>
  <si>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</si>
  <si>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</si>
  <si>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</si>
  <si>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</si>
  <si>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</si>
  <si>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</si>
  <si>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</si>
  <si>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</si>
  <si>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</si>
  <si>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</si>
  <si>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</si>
  <si>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</si>
  <si>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</si>
  <si>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</si>
  <si>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</si>
  <si>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</si>
  <si>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</si>
  <si>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</si>
  <si>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</si>
  <si>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</si>
  <si>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</si>
  <si>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</si>
  <si>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</si>
  <si>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</si>
  <si>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</si>
  <si>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</si>
  <si>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</si>
  <si>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</si>
  <si>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</si>
  <si>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</si>
  <si>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</si>
  <si>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</si>
  <si>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</si>
  <si>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</si>
  <si>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</si>
  <si>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</si>
  <si>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</si>
  <si>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</si>
  <si>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</si>
  <si>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</si>
  <si>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</si>
  <si>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</si>
  <si>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</si>
  <si>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</si>
  <si>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</si>
  <si>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</si>
  <si>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</si>
  <si>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</si>
  <si>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</si>
  <si>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</si>
  <si>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</si>
  <si>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</si>
  <si>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</si>
  <si>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</si>
  <si>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</si>
  <si>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</si>
  <si>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</si>
  <si>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</si>
  <si>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</si>
  <si>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</si>
  <si>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</si>
  <si>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</si>
  <si>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</si>
  <si>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</si>
  <si>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</si>
  <si>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</si>
  <si>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</si>
  <si>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</si>
  <si>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</si>
  <si>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</si>
  <si>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</si>
  <si>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</si>
  <si>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</si>
  <si>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</si>
  <si>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</si>
  <si>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</si>
  <si>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</si>
  <si>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</si>
  <si>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</si>
  <si>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</si>
  <si>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</si>
  <si>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</si>
  <si>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</si>
  <si>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</si>
  <si>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</si>
  <si>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</si>
  <si>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</si>
  <si>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</si>
  <si>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</si>
  <si>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</si>
  <si>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</si>
  <si>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</si>
  <si>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</si>
  <si>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</si>
  <si>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</si>
  <si>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</si>
  <si>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</si>
  <si>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</si>
  <si>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</si>
  <si>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</si>
  <si>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</si>
  <si>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</si>
  <si>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</si>
  <si>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</si>
  <si>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</si>
  <si>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</si>
  <si>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</si>
  <si>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</si>
  <si>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</si>
  <si>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</si>
  <si>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</si>
  <si>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</si>
  <si>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</si>
  <si>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</si>
  <si>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</si>
  <si>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</si>
  <si>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</si>
  <si>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</si>
  <si>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</si>
  <si>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</si>
  <si>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</si>
  <si>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</si>
  <si>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</si>
  <si>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</si>
  <si>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</si>
  <si>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</si>
  <si>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</si>
  <si>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</si>
  <si>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</si>
  <si>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</si>
  <si>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</si>
  <si>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</si>
  <si>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</si>
  <si>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</si>
  <si>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</si>
  <si>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</si>
  <si>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</si>
  <si>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</si>
  <si>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</si>
  <si>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</si>
  <si>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</si>
  <si>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</si>
  <si>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</si>
  <si>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</si>
  <si>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</si>
  <si>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</si>
  <si>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</si>
  <si>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</si>
  <si>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</si>
  <si>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</si>
  <si>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</si>
  <si>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</si>
  <si>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</si>
  <si>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</si>
  <si>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</si>
  <si>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</si>
  <si>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</si>
  <si>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</si>
  <si>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</si>
  <si>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</si>
  <si>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</si>
  <si>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</si>
  <si>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</si>
  <si>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</si>
  <si>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</si>
  <si>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</si>
  <si>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</si>
  <si>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</si>
  <si>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</si>
  <si>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</si>
  <si>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</si>
  <si>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</si>
  <si>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</si>
  <si>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</si>
  <si>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</si>
  <si>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</si>
  <si>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</si>
  <si>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</si>
  <si>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</si>
  <si>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</si>
  <si>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</si>
  <si>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</si>
  <si>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</si>
  <si>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</si>
  <si>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</si>
  <si>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</si>
  <si>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</si>
  <si>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</si>
  <si>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</si>
  <si>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</si>
  <si>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</si>
  <si>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</si>
  <si>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</si>
  <si>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</si>
  <si>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</si>
  <si>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</si>
  <si>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</si>
  <si>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</si>
  <si>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</si>
  <si>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</si>
  <si>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</si>
  <si>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</si>
  <si>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</si>
  <si>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</si>
  <si>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</si>
  <si>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</si>
  <si>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</si>
  <si>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</si>
  <si>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</si>
  <si>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</si>
  <si>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</si>
  <si>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</si>
  <si>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</si>
  <si>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</si>
  <si>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</si>
  <si>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</si>
  <si>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</si>
  <si>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</si>
  <si>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</si>
  <si>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</si>
  <si>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</si>
  <si>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</si>
  <si>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</si>
  <si>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</si>
  <si>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</si>
  <si>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</si>
  <si>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</si>
  <si>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</si>
  <si>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</si>
  <si>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</si>
  <si>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</si>
  <si>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</si>
  <si>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</si>
  <si>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</si>
  <si>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</si>
  <si>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</si>
  <si>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</si>
  <si>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</si>
  <si>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</si>
  <si>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</si>
  <si>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</si>
  <si>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</si>
  <si>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</si>
  <si>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</si>
  <si>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</si>
  <si>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</si>
  <si>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</si>
  <si>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</si>
  <si>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</si>
  <si>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</si>
  <si>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</si>
  <si>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</si>
  <si>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</si>
  <si>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</si>
  <si>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</si>
  <si>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</si>
  <si>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</si>
  <si>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</si>
  <si>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</si>
  <si>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</si>
  <si>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</si>
  <si>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</si>
  <si>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</si>
  <si>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</si>
  <si>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</si>
  <si>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</si>
  <si>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</si>
  <si>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</si>
  <si>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</si>
  <si>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</si>
  <si>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</si>
  <si>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</si>
  <si>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</si>
  <si>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</si>
  <si>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</si>
  <si>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</si>
  <si>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</si>
  <si>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</si>
  <si>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</si>
  <si>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</si>
  <si>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</si>
  <si>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</si>
  <si>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</si>
  <si>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</si>
  <si>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</si>
  <si>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</si>
  <si>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</si>
  <si>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</si>
  <si>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</si>
  <si>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</si>
  <si>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</si>
  <si>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</si>
  <si>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</si>
  <si>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</si>
  <si>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</si>
  <si>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</si>
  <si>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</si>
  <si>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</si>
  <si>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</si>
  <si>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</si>
  <si>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</si>
  <si>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</si>
  <si>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</si>
  <si>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</si>
  <si>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</si>
  <si>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LAILA GONELL</t>
  </si>
  <si>
    <t>ROBERTO BAÑOS</t>
  </si>
  <si>
    <t>FRANCIS RUIZ</t>
  </si>
  <si>
    <t>GERARD CAROD</t>
  </si>
  <si>
    <t>MANEL LUENGO</t>
  </si>
  <si>
    <t>JESUS LOPEZ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</si>
  <si>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</si>
  <si>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</si>
  <si>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</si>
  <si>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8:43</t>
  </si>
  <si>
    <t>1:20</t>
  </si>
  <si>
    <t>0:31</t>
  </si>
  <si>
    <t>5:42</t>
  </si>
  <si>
    <t>9:18</t>
  </si>
  <si>
    <t>Good job.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</si>
</sst>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23_222_BAR_DUB_E2025</v>
      </c>
      <c r="G1" s="5"/>
      <c r="H1" s="5"/>
      <c r="I1" s="5"/>
      <c r="J1" s="8" t="s">
        <v>707</v>
      </c>
      <c r="K1" s="121" t="s">
        <v>756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222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46042.854166666664</v>
      </c>
      <c r="C3" s="157"/>
      <c r="D3" s="39">
        <v>502</v>
      </c>
      <c r="E3" s="29"/>
      <c r="F3" s="26">
        <f>SUBTOTAL(3,I17:I106)</f>
        <v>5</v>
      </c>
      <c r="G3" s="27">
        <f>IF(OR(D3="",D3=0),"",F3/D3)</f>
        <v>9.9601593625498006E-3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742</v>
      </c>
      <c r="L4" s="5"/>
      <c r="M4" s="167" t="s">
        <v>763</v>
      </c>
      <c r="N4" s="168"/>
      <c r="O4" s="2"/>
      <c r="P4" s="2"/>
      <c r="Q4" s="84" t="s">
        <v>175</v>
      </c>
      <c r="R4" s="94">
        <f>(IF(G3="",0,G3))</f>
        <v>9.9601593625498006E-3</v>
      </c>
      <c r="S4" s="61">
        <f>SUM(I13:M13)</f>
        <v>0</v>
      </c>
      <c r="T4" s="78"/>
      <c r="U4" s="61">
        <f>AC18</f>
        <v>5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Dubai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0.99601593625498008</v>
      </c>
      <c r="S5" s="70">
        <f t="shared" ref="S5" si="0">S4*S3</f>
        <v>0</v>
      </c>
      <c r="T5" s="92"/>
      <c r="U5" s="70">
        <f t="shared" ref="U5:AG5" si="1">U4*U3</f>
        <v>2.5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3.4960159362549801</v>
      </c>
      <c r="N7" s="58"/>
      <c r="O7" s="2"/>
      <c r="P7" s="2"/>
      <c r="Q7" s="86">
        <f>SUM(R5,S5,AC16)</f>
        <v>3.4960159362549801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3.4960159362549801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222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222</v>
      </c>
      <c r="D17" s="32" t="s">
        <v>758</v>
      </c>
      <c r="E17" s="33">
        <v>1</v>
      </c>
      <c r="F17" s="36">
        <v>3</v>
      </c>
      <c r="G17" s="36">
        <v>3</v>
      </c>
      <c r="H17" s="38" t="str">
        <f>IF(I17="","",$I$14)</f>
        <v>SCOUTING</v>
      </c>
      <c r="I17" s="34">
        <v>10</v>
      </c>
      <c r="J17" s="13" t="s">
        <v>4</v>
      </c>
      <c r="K17" s="13" t="s">
        <v>63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222</v>
      </c>
      <c r="D18" s="32" t="s">
        <v>759</v>
      </c>
      <c r="E18" s="33">
        <v>1</v>
      </c>
      <c r="F18" s="36">
        <v>16</v>
      </c>
      <c r="G18" s="36">
        <v>18</v>
      </c>
      <c r="H18" s="38" t="str">
        <f t="shared" ref="H18:H81" si="8">IF(I18="","",$I$14)</f>
        <v>SCOUTING</v>
      </c>
      <c r="I18" s="34">
        <v>109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5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222</v>
      </c>
      <c r="D19" s="32" t="s">
        <v>760</v>
      </c>
      <c r="E19" s="33">
        <v>1</v>
      </c>
      <c r="F19" s="36">
        <v>16</v>
      </c>
      <c r="G19" s="36">
        <v>18</v>
      </c>
      <c r="H19" s="38" t="str">
        <f t="shared" si="8"/>
        <v>SCOUTING</v>
      </c>
      <c r="I19" s="34">
        <v>117</v>
      </c>
      <c r="J19" s="13" t="s">
        <v>4</v>
      </c>
      <c r="K19" s="13" t="s">
        <v>63</v>
      </c>
      <c r="L19" s="13" t="s">
        <v>5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222</v>
      </c>
      <c r="D20" s="32" t="s">
        <v>761</v>
      </c>
      <c r="E20" s="33">
        <v>2</v>
      </c>
      <c r="F20" s="36">
        <v>32</v>
      </c>
      <c r="G20" s="36">
        <v>28</v>
      </c>
      <c r="H20" s="38" t="str">
        <f t="shared" si="8"/>
        <v>SCOUTING</v>
      </c>
      <c r="I20" s="34">
        <v>174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222</v>
      </c>
      <c r="D21" s="32" t="s">
        <v>762</v>
      </c>
      <c r="E21" s="33">
        <v>3</v>
      </c>
      <c r="F21" s="36">
        <v>49</v>
      </c>
      <c r="G21" s="36">
        <v>41</v>
      </c>
      <c r="H21" s="38" t="str">
        <f t="shared" si="8"/>
        <v>SCOUTING</v>
      </c>
      <c r="I21" s="34">
        <v>248</v>
      </c>
      <c r="J21" s="13" t="s">
        <v>4</v>
      </c>
      <c r="K21" s="13" t="s">
        <v>62</v>
      </c>
      <c r="L21" s="13" t="s">
        <v>5</v>
      </c>
      <c r="M21" s="13" t="s">
        <v>10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REPORT_E2025222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"E2025222"</v>
      </c>
      <c r="F3" s="45" t="str">
        <f t="shared" ref="F3:F16" si="0">""""&amp;B3&amp;"""" &amp; " : " &amp;C3&amp;","</f>
        <v>"name" : "E2025222",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"E222"</v>
      </c>
      <c r="F4" s="45" t="str">
        <f t="shared" si="0"/>
        <v>"cod" : "E222",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222</v>
      </c>
      <c r="F6" s="45" t="str">
        <f t="shared" si="0"/>
        <v>"number" : 222,</v>
      </c>
    </row>
    <row r="7" spans="2:6" x14ac:dyDescent="0.25">
      <c r="B7" s="43" t="s">
        <v>116</v>
      </c>
      <c r="C7" s="43" t="str">
        <f ca="1">""""&amp;TEXT('SCOUT &amp; LOGISTICS'!B3,"dd/mm/aaaa")&amp;""""</f>
        <v>"20/01/Tuesday"</v>
      </c>
      <c r="F7" s="45" t="str">
        <f t="shared" ca="1" si="0"/>
        <v>"date" : "20/01/Tuesday",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"LAILA GONELL"</v>
      </c>
      <c r="F10" s="45" t="str">
        <f t="shared" si="0"/>
        <v>"Data_entry" : "LAILA GONELL",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"ROBERTO BAÑOS"</v>
      </c>
      <c r="F11" s="45" t="str">
        <f t="shared" si="0"/>
        <v>"Caller_1" : "ROBERTO BAÑOS",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"FRANCIS RUIZ"</v>
      </c>
      <c r="F12" s="45" t="str">
        <f t="shared" si="0"/>
        <v>"Caller_2" : "FRANCIS RUIZ",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"GERARD CAROD"</v>
      </c>
      <c r="F13" s="45" t="str">
        <f t="shared" si="0"/>
        <v>"Timerkeeper" : "GERARD CAROD",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"MANEL LUENGO"</v>
      </c>
      <c r="F14" s="45" t="str">
        <f t="shared" si="0"/>
        <v>"Shotclock" : "MANEL LUENGO",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"JESUS LOPEZ"</v>
      </c>
      <c r="F15" s="45" t="str">
        <f t="shared" si="0"/>
        <v>"IRS" : "JESUS LOPEZ",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502</v>
      </c>
      <c r="F25" s="45" t="str">
        <f t="shared" ref="F25:F48" si="1">""""&amp;C25&amp;"""" &amp; " : " &amp;D25&amp;","</f>
        <v>"total_actions" : 502,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5</v>
      </c>
      <c r="F39" s="45" t="str">
        <f t="shared" si="1"/>
        <v>"missidentity" : 5,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job. Keep it up!"</v>
      </c>
      <c r="F51" s="45" t="str">
        <f>""""&amp;B51&amp;"""" &amp; " : " &amp;C51&amp;","</f>
        <v>"comments" : "Good job. Keep it up!",</v>
      </c>
    </row>
    <row r="52" spans="2:6" x14ac:dyDescent="0.25">
      <c r="B52" s="43" t="s">
        <v>153</v>
      </c>
      <c r="C52" s="43" t="str">
        <f>TEXT('SCOUT &amp; LOGISTICS'!F1,"0,0")</f>
        <v>23_222_BAR_DUB_E2025</v>
      </c>
      <c r="F52" s="45" t="str">
        <f>""""&amp;B52&amp;"""" &amp; " : " &amp;C52</f>
        <v>"result" : 23_222_BAR_DUB_E2025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E222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20/01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Dubai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LAILA GONELL</v>
      </c>
      <c r="C8" s="206"/>
      <c r="D8" s="206"/>
      <c r="E8" s="206"/>
      <c r="F8" s="206"/>
      <c r="G8" s="206" t="str">
        <f>IF('SCOUT &amp; LOGISTICS'!D7="","",'SCOUT &amp; LOGISTICS'!D7)</f>
        <v>ROBERTO BAÑOS</v>
      </c>
      <c r="H8" s="206"/>
      <c r="I8" s="206"/>
      <c r="J8" s="206"/>
      <c r="K8" s="206"/>
      <c r="L8" s="206" t="str">
        <f>IF('SCOUT &amp; LOGISTICS'!D8="","",'SCOUT &amp; LOGISTICS'!D8)</f>
        <v>FRANCIS RUIZ</v>
      </c>
      <c r="M8" s="206"/>
      <c r="N8" s="206"/>
      <c r="O8" s="206"/>
      <c r="P8" s="206"/>
      <c r="Q8" s="206" t="str">
        <f>IF('SCOUT &amp; LOGISTICS'!D9="","",'SCOUT &amp; LOGISTICS'!D9)</f>
        <v>GERARD CAROD</v>
      </c>
      <c r="R8" s="206"/>
      <c r="S8" s="206"/>
      <c r="T8" s="206"/>
      <c r="U8" s="206"/>
      <c r="V8" s="206" t="str">
        <f>IF('SCOUT &amp; LOGISTICS'!D10="","",'SCOUT &amp; LOGISTICS'!D10)</f>
        <v>MANEL LUENGO</v>
      </c>
      <c r="W8" s="206"/>
      <c r="X8" s="206"/>
      <c r="Y8" s="206"/>
      <c r="Z8" s="206"/>
      <c r="AA8" s="206" t="str">
        <f>IF('SCOUT &amp; LOGISTICS'!D11="","",'SCOUT &amp; LOGISTICS'!D11)</f>
        <v>JESUS LOPEZ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502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9.9601593625498006E-3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5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Good job.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3.4960159362549801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ADE642A-5F4D-4CEC-9B86-2B5C5A8FF3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2026-01-20T21:39:59Z</cp:lastPrinted>
  <dcterms:created xsi:type="dcterms:W3CDTF">2023-09-19T19:50:35Z</dcterms:created>
  <dcterms:modified xsi:type="dcterms:W3CDTF">2026-01-20T21:40:00Z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