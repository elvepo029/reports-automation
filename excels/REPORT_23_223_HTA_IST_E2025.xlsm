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9" documentId="8_{A30F5A71-142F-4C96-B66C-225FF7E57D69}" xr6:coauthVersionLast="47" xr6:coauthVersionMax="47" xr10:uidLastSave="{7F5341E4-A1EF-4C48-9FD0-CD2B487E4F4F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<sst xmlns="http://schemas.openxmlformats.org/spreadsheetml/2006/main" count="3260" uniqueCount="762">
  <si>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</si>
  <si>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</si>
  <si>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</si>
  <si>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</si>
  <si>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</si>
  <si>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</si>
  <si>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</si>
  <si>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</si>
  <si>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</si>
  <si>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</si>
  <si>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</si>
  <si>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</si>
  <si>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</si>
  <si>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</si>
  <si>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</si>
  <si>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</si>
  <si>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</si>
  <si>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</si>
  <si>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</si>
  <si>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</si>
  <si>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</si>
  <si>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</si>
  <si>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</si>
  <si>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</si>
  <si>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</si>
  <si>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</si>
  <si>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</si>
  <si>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</si>
  <si>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</si>
  <si>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</si>
  <si>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</si>
  <si>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</si>
  <si>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</si>
  <si>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</si>
  <si>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</si>
  <si>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</si>
  <si>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</si>
  <si>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</si>
  <si>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</si>
  <si>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</si>
  <si>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</si>
  <si>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</si>
  <si>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</si>
  <si>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</si>
  <si>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</si>
  <si>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</si>
  <si>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</si>
  <si>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</si>
  <si>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</si>
  <si>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</si>
  <si>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</si>
  <si>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</si>
  <si>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</si>
  <si>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</si>
  <si>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</si>
  <si>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</si>
  <si>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</si>
  <si>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</si>
  <si>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</si>
  <si>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</si>
  <si>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</si>
  <si>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</si>
  <si>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</si>
  <si>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</si>
  <si>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</si>
  <si>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</si>
  <si>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</si>
  <si>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</si>
  <si>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</si>
  <si>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</si>
  <si>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</si>
  <si>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</si>
  <si>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</si>
  <si>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</si>
  <si>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</si>
  <si>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</si>
  <si>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</si>
  <si>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</si>
  <si>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</si>
  <si>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</si>
  <si>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</si>
  <si>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</si>
  <si>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</si>
  <si>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</si>
  <si>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</si>
  <si>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</si>
  <si>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</si>
  <si>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</si>
  <si>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</si>
  <si>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</si>
  <si>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</si>
  <si>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</si>
  <si>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</si>
  <si>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</si>
  <si>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</si>
  <si>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</si>
  <si>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</si>
  <si>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</si>
  <si>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</si>
  <si>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</si>
  <si>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</si>
  <si>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</si>
  <si>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</si>
  <si>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</si>
  <si>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</si>
  <si>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</si>
  <si>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</si>
  <si>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</si>
  <si>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</si>
  <si>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</si>
  <si>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</si>
  <si>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</si>
  <si>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</si>
  <si>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</si>
  <si>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</si>
  <si>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</si>
  <si>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</si>
  <si>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</si>
  <si>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</si>
  <si>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</si>
  <si>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</si>
  <si>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</si>
  <si>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</si>
  <si>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</si>
  <si>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</si>
  <si>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</si>
  <si>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</si>
  <si>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</si>
  <si>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</si>
  <si>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</si>
  <si>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</si>
  <si>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</si>
  <si>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</si>
  <si>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</si>
  <si>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</si>
  <si>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</si>
  <si>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</si>
  <si>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</si>
  <si>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</si>
  <si>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</si>
  <si>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</si>
  <si>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</si>
  <si>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</si>
  <si>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</si>
  <si>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</si>
  <si>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</si>
  <si>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</si>
  <si>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</si>
  <si>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</si>
  <si>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</si>
  <si>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</si>
  <si>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</si>
  <si>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</si>
  <si>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</si>
  <si>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</si>
  <si>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</si>
  <si>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</si>
  <si>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</si>
  <si>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</si>
  <si>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</si>
  <si>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</si>
  <si>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</si>
  <si>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</si>
  <si>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</si>
  <si>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</si>
  <si>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</si>
  <si>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</si>
  <si>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</si>
  <si>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</si>
  <si>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</si>
  <si>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</si>
  <si>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</si>
  <si>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</si>
  <si>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</si>
  <si>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</si>
  <si>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</si>
  <si>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</si>
  <si>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</si>
  <si>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</si>
  <si>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</si>
  <si>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</si>
  <si>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</si>
  <si>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</si>
  <si>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</si>
  <si>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</si>
  <si>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</si>
  <si>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</si>
  <si>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</si>
  <si>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</si>
  <si>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</si>
  <si>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</si>
  <si>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</si>
  <si>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</si>
  <si>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</si>
  <si>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</si>
  <si>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</si>
  <si>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</si>
  <si>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</si>
  <si>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</si>
  <si>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</si>
  <si>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</si>
  <si>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</si>
  <si>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</si>
  <si>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</si>
  <si>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</si>
  <si>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</si>
  <si>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</si>
  <si>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</si>
  <si>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</si>
  <si>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</si>
  <si>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</si>
  <si>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</si>
  <si>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</si>
  <si>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</si>
  <si>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</si>
  <si>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</si>
  <si>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</si>
  <si>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</si>
  <si>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</si>
  <si>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</si>
  <si>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</si>
  <si>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</si>
  <si>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</si>
  <si>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</si>
  <si>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</si>
  <si>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</si>
  <si>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</si>
  <si>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</si>
  <si>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</si>
  <si>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</si>
  <si>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</si>
  <si>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</si>
  <si>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</si>
  <si>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</si>
  <si>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</si>
  <si>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</si>
  <si>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</si>
  <si>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</si>
  <si>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</si>
  <si>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</si>
  <si>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</si>
  <si>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</si>
  <si>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</si>
  <si>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</si>
  <si>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</si>
  <si>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</si>
  <si>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</si>
  <si>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</si>
  <si>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</si>
  <si>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</si>
  <si>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</si>
  <si>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</si>
  <si>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</si>
  <si>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</si>
  <si>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</si>
  <si>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</si>
  <si>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</si>
  <si>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</si>
  <si>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</si>
  <si>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</si>
  <si>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</si>
  <si>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</si>
  <si>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</si>
  <si>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</si>
  <si>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</si>
  <si>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</si>
  <si>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</si>
  <si>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</si>
  <si>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</si>
  <si>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</si>
  <si>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</si>
  <si>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</si>
  <si>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</si>
  <si>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</si>
  <si>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</si>
  <si>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</si>
  <si>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</si>
  <si>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</si>
  <si>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</si>
  <si>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</si>
  <si>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</si>
  <si>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</si>
  <si>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</si>
  <si>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</si>
  <si>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</si>
  <si>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</si>
  <si>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</si>
  <si>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</si>
  <si>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</si>
  <si>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</si>
  <si>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</si>
  <si>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</si>
  <si>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</si>
  <si>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</si>
  <si>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</si>
  <si>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</si>
  <si>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</si>
  <si>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</si>
  <si>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</si>
  <si>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</si>
  <si>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</si>
  <si>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</si>
  <si>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</si>
  <si>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</si>
  <si>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</si>
  <si>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</si>
  <si>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</si>
  <si>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</si>
  <si>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</si>
  <si>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</si>
  <si>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</si>
  <si>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</si>
  <si>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</si>
  <si>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</si>
  <si>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</si>
  <si>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</si>
  <si>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</si>
  <si>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</si>
  <si>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</si>
  <si>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</si>
  <si>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</si>
  <si>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</si>
  <si>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</si>
  <si>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</si>
  <si>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</si>
  <si>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</si>
  <si>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</si>
  <si>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</si>
  <si>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</si>
  <si>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</si>
  <si>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</si>
  <si>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</si>
  <si>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</si>
  <si>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</si>
  <si>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</si>
  <si>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</si>
  <si>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</si>
  <si>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</si>
  <si>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</si>
  <si>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</si>
  <si>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</si>
  <si>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</si>
  <si>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</si>
  <si>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</si>
  <si>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</si>
  <si>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</si>
  <si>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</si>
  <si>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</si>
  <si>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</si>
  <si>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</si>
  <si>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</si>
  <si>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</si>
  <si>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</si>
  <si>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</si>
  <si>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</si>
  <si>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</si>
  <si>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</si>
  <si>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</si>
  <si>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</si>
  <si>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</si>
  <si>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</si>
  <si>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</si>
  <si>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</si>
  <si>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</si>
  <si>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</si>
  <si>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</si>
  <si>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</si>
  <si>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</si>
  <si>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</si>
  <si>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</si>
  <si>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</si>
  <si>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</si>
  <si>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</si>
  <si>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</si>
  <si>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</si>
  <si>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</si>
  <si>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</si>
  <si>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</si>
  <si>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</si>
  <si>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</si>
  <si>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</si>
  <si>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</si>
  <si>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</si>
  <si>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</si>
  <si>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</si>
  <si>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</si>
  <si>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</si>
  <si>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</si>
  <si>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</si>
  <si>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</si>
  <si>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</si>
  <si>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</si>
  <si>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</si>
  <si>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</si>
  <si>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</si>
  <si>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</si>
  <si>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</si>
  <si>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</si>
  <si>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</si>
  <si>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</si>
  <si>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</si>
  <si>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</si>
  <si>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</si>
  <si>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</si>
  <si>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</si>
  <si>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</si>
  <si>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</si>
  <si>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</si>
  <si>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</si>
  <si>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</si>
  <si>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</si>
  <si>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</si>
  <si>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</si>
  <si>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</si>
  <si>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</si>
  <si>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</si>
  <si>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</si>
  <si>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</si>
  <si>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</si>
  <si>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</si>
  <si>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</si>
  <si>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</si>
  <si>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</si>
  <si>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</si>
  <si>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</si>
  <si>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</si>
  <si>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</si>
  <si>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</si>
  <si>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</si>
  <si>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</si>
  <si>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</si>
  <si>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</si>
  <si>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</si>
  <si>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</si>
  <si>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</si>
  <si>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</si>
  <si>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</si>
  <si>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</si>
  <si>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</si>
  <si>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</si>
  <si>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</si>
  <si>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</si>
  <si>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</si>
  <si>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</si>
  <si>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</si>
  <si>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</si>
  <si>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</si>
  <si>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</si>
  <si>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</si>
  <si>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</si>
  <si>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</si>
  <si>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</si>
  <si>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</si>
  <si>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</si>
  <si>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</si>
  <si>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</si>
  <si>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</si>
  <si>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</si>
  <si>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</si>
  <si>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</si>
  <si>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</si>
  <si>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</si>
  <si>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</si>
  <si>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</si>
  <si>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</si>
  <si>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</si>
  <si>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</si>
  <si>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</si>
  <si>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</si>
  <si>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</si>
  <si>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</si>
  <si>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</si>
  <si>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</si>
  <si>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</si>
  <si>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</si>
  <si>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</si>
  <si>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</si>
  <si>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</si>
  <si>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</si>
  <si>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</si>
  <si>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</si>
  <si>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</si>
  <si>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</si>
  <si>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</si>
  <si>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</si>
  <si>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</si>
  <si>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</si>
  <si>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</si>
  <si>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</si>
  <si>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</si>
  <si>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</si>
  <si>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</si>
  <si>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</si>
  <si>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</si>
  <si>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</si>
  <si>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</si>
  <si>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</si>
  <si>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</si>
  <si>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</si>
  <si>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</si>
  <si>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</si>
  <si>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</si>
  <si>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</si>
  <si>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</si>
  <si>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</si>
  <si>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</si>
  <si>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</si>
  <si>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</si>
  <si>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</si>
  <si>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</si>
  <si>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</si>
  <si>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</si>
  <si>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</si>
  <si>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</si>
  <si>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</si>
  <si>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</si>
  <si>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</si>
  <si>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</si>
  <si>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</si>
  <si>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</si>
  <si>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</si>
  <si>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</si>
  <si>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</si>
  <si>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</si>
  <si>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</si>
  <si>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</si>
  <si>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</si>
  <si>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</si>
  <si>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</si>
  <si>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</si>
  <si>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</si>
  <si>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</si>
  <si>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</si>
  <si>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</si>
  <si>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</si>
  <si>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</si>
  <si>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</si>
  <si>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</si>
  <si>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</si>
  <si>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</si>
  <si>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</si>
  <si>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</si>
  <si>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</si>
  <si>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</si>
  <si>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</si>
  <si>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</si>
  <si>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</si>
  <si>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</si>
  <si>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</si>
  <si>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</si>
  <si>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</si>
  <si>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</si>
  <si>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</si>
  <si>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</si>
  <si>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</si>
  <si>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</si>
  <si>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</si>
  <si>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</si>
  <si>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</si>
  <si>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</si>
  <si>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</si>
  <si>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</si>
  <si>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</si>
  <si>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</si>
  <si>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</si>
  <si>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</si>
  <si>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</si>
  <si>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</si>
  <si>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</si>
  <si>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</si>
  <si>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</si>
  <si>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</si>
  <si>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</si>
  <si>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</si>
  <si>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</si>
  <si>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</si>
  <si>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</si>
  <si>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</si>
  <si>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</si>
  <si>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</si>
  <si>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</si>
  <si>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</si>
  <si>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</si>
  <si>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</si>
  <si>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</si>
  <si>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</si>
  <si>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</si>
  <si>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</si>
  <si>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</si>
  <si>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</si>
  <si>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</si>
  <si>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</si>
  <si>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</si>
  <si>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</si>
  <si>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</si>
  <si>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</si>
  <si>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</si>
  <si>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</si>
  <si>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</si>
  <si>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</si>
  <si>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</si>
  <si>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</si>
  <si>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</si>
  <si>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</si>
  <si>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</si>
  <si>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</si>
  <si>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</si>
  <si>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</si>
  <si>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</si>
  <si>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</si>
  <si>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</si>
  <si>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</si>
  <si>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</si>
  <si>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</si>
  <si>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</si>
  <si>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</si>
  <si>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</si>
  <si>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</si>
  <si>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</si>
  <si>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</si>
  <si>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</si>
  <si>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</si>
  <si>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</si>
  <si>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</si>
  <si>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</si>
  <si>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</si>
  <si>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</si>
  <si>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</si>
  <si>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</si>
  <si>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</si>
  <si>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</si>
  <si>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</si>
  <si>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</si>
  <si>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</si>
  <si>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</si>
  <si>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</si>
  <si>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</si>
  <si>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</si>
  <si>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</si>
  <si>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</si>
  <si>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</si>
  <si>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</si>
  <si>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</si>
  <si>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</si>
  <si>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</si>
  <si>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</si>
  <si>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</si>
  <si>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</si>
  <si>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</si>
  <si>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</si>
  <si>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</si>
  <si>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</si>
  <si>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</si>
  <si>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</si>
  <si>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</si>
  <si>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</si>
  <si>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</si>
  <si>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</si>
  <si>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</si>
  <si>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</si>
  <si>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</si>
  <si>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</si>
  <si>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</si>
  <si>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</si>
  <si>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</si>
  <si>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</si>
  <si>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</si>
  <si>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</si>
  <si>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</si>
  <si>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</si>
  <si>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</si>
  <si>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</si>
  <si>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</si>
  <si>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</si>
  <si>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</si>
  <si>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</si>
  <si>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</si>
  <si>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</si>
  <si>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</si>
  <si>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</si>
  <si>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</si>
  <si>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</si>
  <si>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</si>
  <si>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</si>
  <si>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</si>
  <si>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</si>
  <si>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</si>
  <si>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</si>
  <si>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</si>
  <si>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</si>
  <si>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</si>
  <si>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</si>
  <si>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</si>
  <si>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</si>
  <si>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</si>
  <si>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</si>
  <si>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</si>
  <si>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</si>
  <si>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</si>
  <si>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</si>
  <si>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</si>
  <si>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</si>
  <si>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</si>
  <si>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</si>
  <si>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</si>
  <si>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</si>
  <si>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</si>
  <si>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</si>
  <si>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</si>
  <si>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</si>
  <si>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</si>
  <si>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</si>
  <si>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</si>
  <si>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</si>
  <si>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</si>
  <si>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</si>
  <si>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</si>
  <si>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</si>
  <si>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</si>
  <si>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</si>
  <si>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</si>
  <si>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</si>
  <si>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</si>
  <si>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</si>
  <si>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</si>
  <si>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</si>
  <si>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</si>
  <si>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</si>
  <si>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</si>
  <si>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</si>
  <si>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</si>
  <si>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</si>
  <si>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</si>
  <si>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</si>
  <si>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</si>
  <si>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</si>
  <si>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</si>
  <si>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</si>
  <si>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</si>
  <si>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</si>
  <si>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</si>
  <si>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</si>
  <si>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</si>
  <si>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</si>
  <si>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</si>
  <si>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</si>
  <si>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</si>
  <si>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</si>
  <si>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</si>
  <si>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KONSTANTINOS KRANIOTIS</t>
  </si>
  <si>
    <t>ISKREN IVANOV</t>
  </si>
  <si>
    <t>MINKA NEDYALKOVA</t>
  </si>
  <si>
    <t>VASILEIOS KARAGKIOULES</t>
  </si>
  <si>
    <t>SOLON MINAS</t>
  </si>
  <si>
    <t>ANASTASIS KALESIORIS</t>
  </si>
  <si>
    <t>HECTOR GUILLEN</t>
  </si>
  <si>
    <t>C:\Users\hector.guillen\EUROLEAGUE\EB STATS - Documents\General\SEASON 2025-26\Reports\Euroleague\PDF</t>
  </si>
  <si>
    <t>C:\Users\hector.guillen\EUROLEAGUE\EB STATS - Documents\General\SEASON 2025-26\Reports\Euroleague</t>
  </si>
  <si>
    <t>8:49</t>
  </si>
  <si>
    <t>9:18</t>
  </si>
  <si>
    <t>7:28</t>
  </si>
  <si>
    <t>Very good job!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</si>
</sst>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23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23_223_HTA_IST_E2025</v>
      </c>
      <c r="G1" s="5"/>
      <c r="H1" s="5"/>
      <c r="I1" s="5"/>
      <c r="J1" s="8" t="s">
        <v>707</v>
      </c>
      <c r="K1" s="121" t="s">
        <v>757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223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46042.8125</v>
      </c>
      <c r="C3" s="157"/>
      <c r="D3" s="39">
        <v>534</v>
      </c>
      <c r="E3" s="29"/>
      <c r="F3" s="26">
        <f>SUBTOTAL(3,I17:I106)</f>
        <v>3</v>
      </c>
      <c r="G3" s="27">
        <f>IF(OR(D3="",D3=0),"",F3/D3)</f>
        <v>5.6179775280898875E-3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Hapoel IBI Tel Aviv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HTA</v>
      </c>
      <c r="I4" s="5"/>
      <c r="J4" s="119" t="s">
        <v>714</v>
      </c>
      <c r="K4" s="54" t="s">
        <v>742</v>
      </c>
      <c r="L4" s="5"/>
      <c r="M4" s="167" t="s">
        <v>761</v>
      </c>
      <c r="N4" s="168"/>
      <c r="O4" s="2"/>
      <c r="P4" s="2"/>
      <c r="Q4" s="84" t="s">
        <v>175</v>
      </c>
      <c r="R4" s="94">
        <f>(IF(G3="",0,G3))</f>
        <v>5.6179775280898875E-3</v>
      </c>
      <c r="S4" s="61">
        <f>SUM(I13:M13)</f>
        <v>0</v>
      </c>
      <c r="T4" s="78"/>
      <c r="U4" s="61">
        <f>AC18</f>
        <v>2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Anadolu Efes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IST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0.5617977528089888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2.5617977528089888</v>
      </c>
      <c r="N7" s="58"/>
      <c r="O7" s="2"/>
      <c r="P7" s="2"/>
      <c r="Q7" s="86">
        <f>SUM(R5,S5,AC16)</f>
        <v>2.5617977528089888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2.5617977528089888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223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223</v>
      </c>
      <c r="D17" s="32" t="s">
        <v>758</v>
      </c>
      <c r="E17" s="33">
        <v>2</v>
      </c>
      <c r="F17" s="36">
        <v>14</v>
      </c>
      <c r="G17" s="36">
        <v>21</v>
      </c>
      <c r="H17" s="38" t="str">
        <f>IF(I17="","",$I$14)</f>
        <v>SCOUTING</v>
      </c>
      <c r="I17" s="34">
        <v>132</v>
      </c>
      <c r="J17" s="13" t="s">
        <v>4</v>
      </c>
      <c r="K17" s="13" t="s">
        <v>63</v>
      </c>
      <c r="L17" s="13" t="s">
        <v>5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223</v>
      </c>
      <c r="D18" s="32" t="s">
        <v>759</v>
      </c>
      <c r="E18" s="33">
        <v>3</v>
      </c>
      <c r="F18" s="36">
        <v>33</v>
      </c>
      <c r="G18" s="36">
        <v>43</v>
      </c>
      <c r="H18" s="38" t="str">
        <f t="shared" ref="H18:H81" si="8">IF(I18="","",$I$14)</f>
        <v>SCOUTING</v>
      </c>
      <c r="I18" s="34">
        <v>278</v>
      </c>
      <c r="J18" s="13" t="s">
        <v>4</v>
      </c>
      <c r="K18" s="13" t="s">
        <v>63</v>
      </c>
      <c r="L18" s="13" t="s">
        <v>6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223</v>
      </c>
      <c r="D19" s="32" t="s">
        <v>760</v>
      </c>
      <c r="E19" s="33">
        <v>3</v>
      </c>
      <c r="F19" s="36">
        <v>35</v>
      </c>
      <c r="G19" s="36">
        <v>43</v>
      </c>
      <c r="H19" s="38" t="str">
        <f t="shared" si="8"/>
        <v>SCOUTING</v>
      </c>
      <c r="I19" s="34">
        <v>293</v>
      </c>
      <c r="J19" s="13" t="s">
        <v>4</v>
      </c>
      <c r="K19" s="13" t="s">
        <v>63</v>
      </c>
      <c r="L19" s="13" t="s">
        <v>5</v>
      </c>
      <c r="M19" s="13" t="s">
        <v>12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REPORT_E2025223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"E2025223"</v>
      </c>
      <c r="F3" s="45" t="str">
        <f t="shared" ref="F3:F16" si="0">""""&amp;B3&amp;"""" &amp; " : " &amp;C3&amp;","</f>
        <v>"name" : "E2025223",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"E223"</v>
      </c>
      <c r="F4" s="45" t="str">
        <f t="shared" si="0"/>
        <v>"cod" : "E223",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223</v>
      </c>
      <c r="F6" s="45" t="str">
        <f t="shared" si="0"/>
        <v>"number" : 223,</v>
      </c>
    </row>
    <row r="7" spans="2:6" x14ac:dyDescent="0.25">
      <c r="B7" s="43" t="s">
        <v>116</v>
      </c>
      <c r="C7" s="43" t="str">
        <f ca="1">""""&amp;TEXT('SCOUT &amp; LOGISTICS'!B3,"dd/mm/aaaa")&amp;""""</f>
        <v>"20/01/Tuesday"</v>
      </c>
      <c r="F7" s="45" t="str">
        <f t="shared" ca="1" si="0"/>
        <v>"date" : "20/01/Tuesday",</v>
      </c>
    </row>
    <row r="8" spans="2:6" x14ac:dyDescent="0.25">
      <c r="B8" s="43" t="s">
        <v>125</v>
      </c>
      <c r="C8" s="43" t="str">
        <f>""""&amp;'SCOUT &amp; LOGISTICS'!D4 &amp;""""</f>
        <v>"Hapoel IBI Tel Aviv"</v>
      </c>
      <c r="F8" s="45" t="str">
        <f t="shared" si="0"/>
        <v>"home_team" : "Hapoel IBI Tel Aviv",</v>
      </c>
    </row>
    <row r="9" spans="2:6" x14ac:dyDescent="0.25">
      <c r="B9" s="43" t="s">
        <v>126</v>
      </c>
      <c r="C9" s="43" t="str">
        <f>""""&amp;'SCOUT &amp; LOGISTICS'!D5&amp;""""</f>
        <v>"Anadolu Efes Istanbul"</v>
      </c>
      <c r="F9" s="45" t="str">
        <f t="shared" si="0"/>
        <v>"away_team" : "Anadolu Efes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"KONSTANTINOS KRANIOTIS"</v>
      </c>
      <c r="F10" s="45" t="str">
        <f t="shared" si="0"/>
        <v>"Data_entry" : "KONSTANTINOS KRANIOTIS",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"ISKREN IVANOV"</v>
      </c>
      <c r="F11" s="45" t="str">
        <f t="shared" si="0"/>
        <v>"Caller_1" : "ISKREN IVANOV",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"MINKA NEDYALKOVA"</v>
      </c>
      <c r="F12" s="45" t="str">
        <f t="shared" si="0"/>
        <v>"Caller_2" : "MINKA NEDYALKOVA",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"VASILEIOS KARAGKIOULES"</v>
      </c>
      <c r="F13" s="45" t="str">
        <f t="shared" si="0"/>
        <v>"Timerkeeper" : "VASILEIOS KARAGKIOULES",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"SOLON MINAS"</v>
      </c>
      <c r="F14" s="45" t="str">
        <f t="shared" si="0"/>
        <v>"Shotclock" : "SOLON MINAS",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"ANASTASIS KALESIORIS"</v>
      </c>
      <c r="F15" s="45" t="str">
        <f t="shared" si="0"/>
        <v>"IRS" : "ANASTASIS KALESIORIS",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534</v>
      </c>
      <c r="F25" s="45" t="str">
        <f t="shared" ref="F25:F48" si="1">""""&amp;C25&amp;"""" &amp; " : " &amp;D25&amp;","</f>
        <v>"total_actions" : 534,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up!"</v>
      </c>
      <c r="F51" s="45" t="str">
        <f>""""&amp;B51&amp;"""" &amp; " : " &amp;C51&amp;","</f>
        <v>"comments" : "Very good job! Keep it up!",</v>
      </c>
    </row>
    <row r="52" spans="2:6" x14ac:dyDescent="0.25">
      <c r="B52" s="43" t="s">
        <v>153</v>
      </c>
      <c r="C52" s="43" t="str">
        <f>TEXT('SCOUT &amp; LOGISTICS'!F1,"0,0")</f>
        <v>23_223_HTA_IST_E2025</v>
      </c>
      <c r="F52" s="45" t="str">
        <f>""""&amp;B52&amp;"""" &amp; " : " &amp;C52</f>
        <v>"result" : 23_223_HTA_IST_E2025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E223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20/01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Hapoel Ibi Tel Aviv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Anadolu Efes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KONSTANTINOS KRANIOTIS</v>
      </c>
      <c r="C8" s="206"/>
      <c r="D8" s="206"/>
      <c r="E8" s="206"/>
      <c r="F8" s="206"/>
      <c r="G8" s="206" t="str">
        <f>IF('SCOUT &amp; LOGISTICS'!D7="","",'SCOUT &amp; LOGISTICS'!D7)</f>
        <v>ISKREN IVANOV</v>
      </c>
      <c r="H8" s="206"/>
      <c r="I8" s="206"/>
      <c r="J8" s="206"/>
      <c r="K8" s="206"/>
      <c r="L8" s="206" t="str">
        <f>IF('SCOUT &amp; LOGISTICS'!D8="","",'SCOUT &amp; LOGISTICS'!D8)</f>
        <v>MINKA NEDYALKOVA</v>
      </c>
      <c r="M8" s="206"/>
      <c r="N8" s="206"/>
      <c r="O8" s="206"/>
      <c r="P8" s="206"/>
      <c r="Q8" s="206" t="str">
        <f>IF('SCOUT &amp; LOGISTICS'!D9="","",'SCOUT &amp; LOGISTICS'!D9)</f>
        <v>VASILEIOS KARAGKIOULES</v>
      </c>
      <c r="R8" s="206"/>
      <c r="S8" s="206"/>
      <c r="T8" s="206"/>
      <c r="U8" s="206"/>
      <c r="V8" s="206" t="str">
        <f>IF('SCOUT &amp; LOGISTICS'!D10="","",'SCOUT &amp; LOGISTICS'!D10)</f>
        <v>SOLON MINAS</v>
      </c>
      <c r="W8" s="206"/>
      <c r="X8" s="206"/>
      <c r="Y8" s="206"/>
      <c r="Z8" s="206"/>
      <c r="AA8" s="206" t="str">
        <f>IF('SCOUT &amp; LOGISTICS'!D11="","",'SCOUT &amp; LOGISTICS'!D11)</f>
        <v>ANASTASIS KALESIORIS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534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5.6179775280898875E-3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2.5617977528089888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C0D5771-3229-4A1B-AE5E-8B26D478F4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2026-01-20T21:29:36Z</cp:lastPrinted>
  <dcterms:created xsi:type="dcterms:W3CDTF">2023-09-19T19:50:35Z</dcterms:created>
  <dcterms:modified xsi:type="dcterms:W3CDTF">2026-01-20T21:29:38Z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