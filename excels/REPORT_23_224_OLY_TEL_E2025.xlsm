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4" documentId="8_{0B817E6C-BF58-49D0-8987-8492BD277782}" xr6:coauthVersionLast="47" xr6:coauthVersionMax="47" xr10:uidLastSave="{1B83D64B-42F1-4241-A4CC-54ACCBF81189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<sst xmlns="http://schemas.openxmlformats.org/spreadsheetml/2006/main" count="3256" uniqueCount="762">
  <si>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</si>
  <si>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</si>
  <si>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</si>
  <si>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</si>
  <si>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</si>
  <si>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</si>
  <si>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</si>
  <si>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</si>
  <si>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</si>
  <si>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</si>
  <si>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</si>
  <si>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</si>
  <si>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</si>
  <si>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</si>
  <si>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</si>
  <si>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</si>
  <si>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</si>
  <si>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</si>
  <si>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</si>
  <si>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</si>
  <si>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</si>
  <si>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</si>
  <si>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</si>
  <si>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</si>
  <si>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</si>
  <si>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</si>
  <si>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</si>
  <si>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</si>
  <si>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</si>
  <si>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</si>
  <si>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</si>
  <si>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</si>
  <si>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</si>
  <si>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</si>
  <si>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</si>
  <si>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</si>
  <si>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</si>
  <si>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</si>
  <si>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</si>
  <si>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</si>
  <si>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</si>
  <si>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</si>
  <si>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</si>
  <si>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</si>
  <si>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</si>
  <si>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</si>
  <si>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</si>
  <si>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</si>
  <si>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</si>
  <si>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</si>
  <si>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</si>
  <si>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</si>
  <si>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</si>
  <si>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</si>
  <si>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</si>
  <si>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</si>
  <si>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</si>
  <si>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</si>
  <si>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</si>
  <si>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</si>
  <si>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</si>
  <si>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</si>
  <si>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</si>
  <si>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</si>
  <si>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</si>
  <si>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</si>
  <si>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</si>
  <si>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</si>
  <si>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</si>
  <si>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</si>
  <si>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</si>
  <si>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</si>
  <si>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</si>
  <si>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</si>
  <si>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</si>
  <si>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</si>
  <si>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</si>
  <si>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</si>
  <si>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</si>
  <si>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</si>
  <si>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</si>
  <si>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</si>
  <si>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</si>
  <si>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</si>
  <si>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</si>
  <si>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</si>
  <si>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</si>
  <si>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</si>
  <si>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</si>
  <si>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</si>
  <si>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</si>
  <si>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</si>
  <si>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</si>
  <si>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</si>
  <si>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</si>
  <si>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</si>
  <si>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</si>
  <si>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</si>
  <si>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</si>
  <si>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</si>
  <si>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</si>
  <si>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</si>
  <si>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</si>
  <si>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</si>
  <si>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</si>
  <si>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</si>
  <si>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</si>
  <si>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</si>
  <si>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</si>
  <si>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</si>
  <si>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</si>
  <si>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</si>
  <si>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</si>
  <si>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</si>
  <si>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</si>
  <si>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</si>
  <si>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</si>
  <si>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</si>
  <si>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</si>
  <si>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</si>
  <si>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</si>
  <si>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</si>
  <si>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</si>
  <si>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</si>
  <si>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</si>
  <si>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</si>
  <si>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</si>
  <si>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</si>
  <si>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</si>
  <si>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</si>
  <si>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</si>
  <si>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</si>
  <si>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</si>
  <si>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</si>
  <si>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</si>
  <si>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</si>
  <si>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</si>
  <si>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</si>
  <si>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</si>
  <si>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</si>
  <si>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</si>
  <si>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</si>
  <si>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</si>
  <si>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</si>
  <si>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</si>
  <si>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</si>
  <si>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</si>
  <si>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</si>
  <si>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</si>
  <si>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</si>
  <si>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</si>
  <si>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</si>
  <si>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</si>
  <si>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</si>
  <si>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</si>
  <si>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</si>
  <si>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</si>
  <si>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</si>
  <si>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</si>
  <si>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</si>
  <si>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</si>
  <si>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</si>
  <si>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</si>
  <si>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</si>
  <si>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</si>
  <si>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</si>
  <si>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</si>
  <si>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</si>
  <si>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</si>
  <si>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</si>
  <si>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</si>
  <si>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</si>
  <si>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</si>
  <si>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</si>
  <si>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</si>
  <si>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</si>
  <si>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</si>
  <si>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</si>
  <si>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</si>
  <si>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</si>
  <si>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</si>
  <si>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</si>
  <si>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</si>
  <si>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</si>
  <si>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</si>
  <si>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</si>
  <si>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</si>
  <si>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</si>
  <si>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</si>
  <si>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</si>
  <si>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</si>
  <si>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</si>
  <si>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</si>
  <si>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</si>
  <si>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</si>
  <si>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</si>
  <si>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</si>
  <si>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</si>
  <si>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</si>
  <si>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</si>
  <si>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</si>
  <si>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</si>
  <si>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</si>
  <si>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</si>
  <si>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</si>
  <si>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</si>
  <si>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</si>
  <si>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</si>
  <si>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</si>
  <si>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</si>
  <si>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</si>
  <si>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</si>
  <si>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</si>
  <si>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</si>
  <si>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</si>
  <si>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</si>
  <si>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</si>
  <si>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</si>
  <si>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</si>
  <si>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</si>
  <si>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</si>
  <si>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</si>
  <si>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</si>
  <si>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</si>
  <si>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</si>
  <si>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</si>
  <si>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</si>
  <si>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</si>
  <si>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</si>
  <si>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</si>
  <si>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</si>
  <si>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</si>
  <si>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</si>
  <si>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</si>
  <si>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</si>
  <si>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</si>
  <si>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</si>
  <si>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</si>
  <si>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</si>
  <si>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</si>
  <si>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</si>
  <si>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</si>
  <si>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</si>
  <si>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</si>
  <si>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</si>
  <si>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</si>
  <si>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</si>
  <si>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</si>
  <si>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</si>
  <si>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</si>
  <si>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</si>
  <si>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</si>
  <si>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</si>
  <si>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</si>
  <si>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</si>
  <si>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</si>
  <si>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</si>
  <si>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</si>
  <si>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</si>
  <si>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</si>
  <si>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</si>
  <si>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</si>
  <si>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</si>
  <si>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</si>
  <si>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</si>
  <si>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</si>
  <si>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</si>
  <si>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</si>
  <si>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</si>
  <si>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</si>
  <si>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</si>
  <si>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</si>
  <si>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</si>
  <si>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</si>
  <si>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</si>
  <si>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</si>
  <si>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</si>
  <si>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</si>
  <si>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</si>
  <si>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</si>
  <si>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</si>
  <si>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</si>
  <si>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</si>
  <si>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</si>
  <si>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</si>
  <si>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</si>
  <si>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</si>
  <si>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</si>
  <si>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</si>
  <si>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</si>
  <si>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</si>
  <si>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</si>
  <si>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</si>
  <si>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</si>
  <si>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</si>
  <si>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</si>
  <si>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</si>
  <si>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</si>
  <si>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</si>
  <si>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</si>
  <si>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</si>
  <si>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</si>
  <si>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</si>
  <si>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</si>
  <si>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</si>
  <si>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</si>
  <si>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</si>
  <si>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</si>
  <si>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</si>
  <si>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</si>
  <si>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</si>
  <si>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</si>
  <si>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</si>
  <si>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</si>
  <si>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</si>
  <si>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</si>
  <si>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</si>
  <si>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</si>
  <si>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</si>
  <si>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</si>
  <si>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</si>
  <si>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</si>
  <si>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</si>
  <si>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</si>
  <si>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</si>
  <si>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</si>
  <si>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</si>
  <si>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</si>
  <si>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</si>
  <si>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</si>
  <si>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</si>
  <si>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</si>
  <si>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</si>
  <si>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</si>
  <si>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</si>
  <si>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</si>
  <si>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</si>
  <si>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</si>
  <si>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</si>
  <si>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</si>
  <si>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</si>
  <si>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</si>
  <si>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</si>
  <si>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</si>
  <si>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</si>
  <si>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</si>
  <si>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</si>
  <si>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</si>
  <si>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</si>
  <si>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</si>
  <si>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</si>
  <si>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</si>
  <si>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</si>
  <si>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</si>
  <si>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</si>
  <si>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</si>
  <si>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</si>
  <si>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</si>
  <si>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</si>
  <si>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</si>
  <si>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</si>
  <si>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</si>
  <si>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</si>
  <si>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</si>
  <si>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</si>
  <si>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</si>
  <si>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</si>
  <si>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</si>
  <si>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</si>
  <si>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</si>
  <si>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</si>
  <si>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</si>
  <si>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</si>
  <si>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</si>
  <si>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</si>
  <si>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</si>
  <si>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</si>
  <si>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</si>
  <si>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</si>
  <si>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</si>
  <si>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</si>
  <si>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</si>
  <si>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</si>
  <si>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</si>
  <si>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</si>
  <si>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</si>
  <si>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</si>
  <si>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</si>
  <si>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</si>
  <si>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</si>
  <si>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</si>
  <si>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</si>
  <si>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</si>
  <si>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</si>
  <si>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</si>
  <si>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</si>
  <si>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</si>
  <si>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</si>
  <si>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</si>
  <si>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</si>
  <si>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</si>
  <si>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</si>
  <si>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</si>
  <si>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</si>
  <si>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</si>
  <si>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</si>
  <si>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</si>
  <si>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</si>
  <si>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</si>
  <si>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</si>
  <si>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</si>
  <si>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</si>
  <si>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</si>
  <si>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</si>
  <si>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</si>
  <si>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</si>
  <si>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</si>
  <si>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</si>
  <si>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</si>
  <si>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</si>
  <si>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</si>
  <si>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</si>
  <si>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</si>
  <si>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</si>
  <si>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</si>
  <si>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</si>
  <si>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</si>
  <si>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</si>
  <si>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</si>
  <si>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</si>
  <si>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</si>
  <si>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</si>
  <si>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</si>
  <si>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</si>
  <si>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</si>
  <si>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</si>
  <si>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</si>
  <si>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</si>
  <si>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</si>
  <si>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</si>
  <si>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</si>
  <si>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</si>
  <si>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</si>
  <si>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</si>
  <si>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</si>
  <si>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</si>
  <si>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</si>
  <si>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</si>
  <si>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</si>
  <si>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</si>
  <si>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</si>
  <si>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</si>
  <si>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</si>
  <si>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</si>
  <si>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</si>
  <si>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</si>
  <si>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</si>
  <si>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</si>
  <si>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</si>
  <si>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</si>
  <si>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</si>
  <si>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</si>
  <si>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</si>
  <si>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</si>
  <si>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</si>
  <si>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</si>
  <si>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</si>
  <si>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</si>
  <si>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</si>
  <si>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</si>
  <si>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</si>
  <si>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</si>
  <si>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</si>
  <si>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</si>
  <si>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</si>
  <si>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</si>
  <si>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</si>
  <si>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</si>
  <si>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</si>
  <si>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</si>
  <si>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</si>
  <si>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</si>
  <si>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</si>
  <si>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</si>
  <si>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</si>
  <si>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</si>
  <si>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</si>
  <si>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</si>
  <si>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</si>
  <si>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</si>
  <si>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</si>
  <si>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</si>
  <si>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</si>
  <si>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</si>
  <si>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</si>
  <si>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</si>
  <si>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</si>
  <si>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</si>
  <si>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</si>
  <si>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</si>
  <si>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</si>
  <si>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</si>
  <si>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</si>
  <si>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</si>
  <si>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</si>
  <si>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</si>
  <si>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</si>
  <si>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</si>
  <si>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</si>
  <si>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</si>
  <si>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</si>
  <si>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</si>
  <si>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</si>
  <si>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</si>
  <si>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</si>
  <si>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</si>
  <si>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</si>
  <si>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</si>
  <si>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</si>
  <si>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</si>
  <si>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</si>
  <si>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</si>
  <si>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</si>
  <si>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</si>
  <si>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</si>
  <si>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</si>
  <si>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</si>
  <si>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</si>
  <si>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</si>
  <si>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</si>
  <si>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</si>
  <si>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</si>
  <si>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</si>
  <si>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</si>
  <si>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</si>
  <si>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</si>
  <si>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</si>
  <si>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</si>
  <si>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</si>
  <si>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</si>
  <si>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</si>
  <si>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</si>
  <si>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</si>
  <si>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</si>
  <si>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</si>
  <si>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</si>
  <si>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</si>
  <si>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</si>
  <si>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</si>
  <si>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</si>
  <si>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</si>
  <si>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</si>
  <si>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</si>
  <si>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</si>
  <si>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</si>
  <si>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</si>
  <si>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</si>
  <si>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</si>
  <si>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</si>
  <si>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</si>
  <si>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</si>
  <si>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</si>
  <si>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</si>
  <si>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</si>
  <si>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</si>
  <si>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</si>
  <si>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</si>
  <si>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</si>
  <si>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</si>
  <si>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</si>
  <si>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</si>
  <si>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</si>
  <si>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</si>
  <si>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</si>
  <si>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</si>
  <si>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</si>
  <si>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</si>
  <si>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</si>
  <si>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</si>
  <si>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</si>
  <si>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</si>
  <si>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</si>
  <si>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</si>
  <si>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</si>
  <si>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</si>
  <si>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</si>
  <si>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</si>
  <si>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</si>
  <si>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</si>
  <si>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</si>
  <si>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</si>
  <si>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</si>
  <si>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</si>
  <si>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</si>
  <si>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</si>
  <si>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</si>
  <si>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</si>
  <si>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</si>
  <si>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</si>
  <si>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</si>
  <si>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</si>
  <si>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</si>
  <si>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</si>
  <si>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</si>
  <si>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</si>
  <si>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</si>
  <si>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</si>
  <si>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</si>
  <si>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</si>
  <si>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</si>
  <si>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</si>
  <si>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</si>
  <si>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</si>
  <si>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</si>
  <si>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</si>
  <si>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</si>
  <si>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</si>
  <si>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</si>
  <si>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</si>
  <si>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</si>
  <si>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</si>
  <si>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</si>
  <si>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</si>
  <si>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</si>
  <si>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</si>
  <si>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</si>
  <si>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</si>
  <si>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</si>
  <si>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</si>
  <si>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</si>
  <si>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</si>
  <si>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</si>
  <si>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</si>
  <si>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</si>
  <si>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</si>
  <si>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</si>
  <si>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</si>
  <si>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</si>
  <si>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</si>
  <si>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</si>
  <si>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</si>
  <si>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</si>
  <si>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</si>
  <si>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</si>
  <si>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</si>
  <si>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</si>
  <si>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</si>
  <si>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</si>
  <si>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</si>
  <si>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</si>
  <si>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</si>
  <si>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</si>
  <si>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</si>
  <si>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</si>
  <si>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</si>
  <si>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</si>
  <si>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</si>
  <si>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</si>
  <si>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</si>
  <si>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</si>
  <si>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</si>
  <si>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</si>
  <si>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</si>
  <si>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</si>
  <si>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</si>
  <si>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</si>
  <si>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</si>
  <si>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</si>
  <si>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</si>
  <si>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</si>
  <si>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</si>
  <si>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</si>
  <si>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</si>
  <si>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</si>
  <si>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</si>
  <si>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</si>
  <si>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</si>
  <si>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</si>
  <si>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</si>
  <si>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</si>
  <si>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</si>
  <si>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</si>
  <si>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</si>
  <si>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</si>
  <si>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</si>
  <si>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</si>
  <si>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</si>
  <si>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</si>
  <si>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</si>
  <si>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</si>
  <si>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</si>
  <si>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</si>
  <si>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</si>
  <si>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</si>
  <si>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</si>
  <si>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</si>
  <si>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</si>
  <si>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</si>
  <si>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</si>
  <si>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</si>
  <si>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</si>
  <si>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</si>
  <si>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</si>
  <si>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</si>
  <si>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</si>
  <si>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</si>
  <si>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</si>
  <si>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</si>
  <si>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</si>
  <si>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</si>
  <si>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</si>
  <si>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</si>
  <si>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</si>
  <si>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</si>
  <si>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</si>
  <si>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</si>
  <si>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</si>
  <si>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</si>
  <si>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</si>
  <si>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</si>
  <si>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</si>
  <si>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</si>
  <si>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</si>
  <si>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</si>
  <si>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</si>
  <si>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</si>
  <si>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</si>
  <si>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</si>
  <si>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</si>
  <si>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</si>
  <si>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</si>
  <si>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</si>
  <si>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</si>
  <si>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</si>
  <si>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</si>
  <si>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</si>
  <si>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</si>
  <si>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</si>
  <si>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</si>
  <si>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</si>
  <si>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</si>
  <si>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</si>
  <si>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</si>
  <si>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</si>
  <si>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</si>
  <si>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</si>
  <si>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</si>
  <si>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</si>
  <si>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</si>
  <si>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</si>
  <si>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Ioannis Triantafyllou</t>
  </si>
  <si>
    <t>Maria Alexandra Christoliakou</t>
  </si>
  <si>
    <t>Athina Karoumpalou</t>
  </si>
  <si>
    <t>Angelos Kalogerakos</t>
  </si>
  <si>
    <t>Konstantinos Troupis</t>
  </si>
  <si>
    <t>Spyridoula Kourti</t>
  </si>
  <si>
    <t>C:\Users\nerea.fraile\EUROLEAGUE\EB STATS - Documents\General\SEASON 2025-26\Reports\Euroleague\PDF</t>
  </si>
  <si>
    <t>C:\Users\nerea.fraile\EUROLEAGUE\EB STATS - Documents\General\SEASON 2025-26\Reports\Euroleague</t>
  </si>
  <si>
    <t>07:53</t>
  </si>
  <si>
    <t>08:07</t>
  </si>
  <si>
    <t>After review with IRS</t>
  </si>
  <si>
    <t>Very good job! You had excellent control of the game. There were very few mistakes. Congratulations!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</si>
</sst>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23_224_OLY_TEL_E2025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46042.729166666664</v>
      </c>
      <c r="C3" s="178"/>
      <c r="D3" s="39">
        <v>558</v>
      </c>
      <c r="E3" s="29"/>
      <c r="F3" s="26">
        <f>SUBTOTAL(3,I17:I106)</f>
        <v>2</v>
      </c>
      <c r="G3" s="27">
        <f>IF(OR(D3="",D3=0),"",F3/D3)</f>
        <v>3.5842293906810036E-3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3.5842293906810036E-3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0.35842293906810035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3.3584229390681002</v>
      </c>
      <c r="N7" s="58"/>
      <c r="O7" s="2"/>
      <c r="P7" s="2"/>
      <c r="Q7" s="86">
        <f>SUM(R5,S5,AC16)</f>
        <v>3.3584229390681002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3.3584229390681006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224</v>
      </c>
      <c r="D17" s="32" t="s">
        <v>758</v>
      </c>
      <c r="E17" s="33">
        <v>2</v>
      </c>
      <c r="F17" s="36">
        <v>31</v>
      </c>
      <c r="G17" s="36">
        <v>27</v>
      </c>
      <c r="H17" s="38" t="str">
        <f>IF(I17="","",$I$14)</f>
        <v>SCOUTING</v>
      </c>
      <c r="I17" s="34">
        <v>148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224</v>
      </c>
      <c r="D18" s="32" t="s">
        <v>759</v>
      </c>
      <c r="E18" s="33">
        <v>3</v>
      </c>
      <c r="F18" s="36">
        <v>61</v>
      </c>
      <c r="G18" s="36">
        <v>38</v>
      </c>
      <c r="H18" s="38" t="str">
        <f t="shared" ref="H18:H81" si="8">IF(I18="","",$I$14)</f>
        <v>SCOUTING</v>
      </c>
      <c r="I18" s="34">
        <v>291</v>
      </c>
      <c r="J18" s="13" t="s">
        <v>4</v>
      </c>
      <c r="K18" s="13" t="s">
        <v>63</v>
      </c>
      <c r="L18" s="13" t="s">
        <v>48</v>
      </c>
      <c r="M18" s="13" t="s">
        <v>12</v>
      </c>
      <c r="N18" s="35" t="s">
        <v>760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"E2025224"</v>
      </c>
      <c r="F3" s="45" t="str">
        <f t="shared" ref="F3:F16" si="0">""""&amp;B3&amp;"""" &amp; " : " &amp;C3&amp;","</f>
        <v>"name" : "E2025224",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"E224"</v>
      </c>
      <c r="F4" s="45" t="str">
        <f t="shared" si="0"/>
        <v>"cod" : "E224",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224</v>
      </c>
      <c r="F6" s="45" t="str">
        <f t="shared" si="0"/>
        <v>"number" : 224,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"Maria Alexandra Christoliakou"</v>
      </c>
      <c r="F11" s="45" t="str">
        <f t="shared" si="0"/>
        <v>"Caller_1" : "Maria Alexandra Christoliakou",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"Spyridoula Kourti"</v>
      </c>
      <c r="F14" s="45" t="str">
        <f t="shared" si="0"/>
        <v>"Shotclock" : "Spyridoula Kourti",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558</v>
      </c>
      <c r="F25" s="45" t="str">
        <f t="shared" ref="F25:F48" si="1">""""&amp;C25&amp;"""" &amp; " : " &amp;D25&amp;","</f>
        <v>"total_actions" : 558,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had excellent control of the game. There were very few mistakes. Congratulations!"</v>
      </c>
      <c r="F51" s="45" t="str">
        <f>""""&amp;B51&amp;"""" &amp; " : " &amp;C51&amp;","</f>
        <v>"comments" : "Very good job! You had excellent control of the game. There were very few mistakes. Congratulations!",</v>
      </c>
    </row>
    <row r="52" spans="2:6" x14ac:dyDescent="0.25">
      <c r="B52" s="43" t="s">
        <v>153</v>
      </c>
      <c r="C52" s="43" t="str">
        <f>TEXT('SCOUT &amp; LOGISTICS'!F1,"0,0")</f>
        <v>23_224_OLY_TEL_E2025</v>
      </c>
      <c r="F52" s="45" t="str">
        <f>""""&amp;B52&amp;"""" &amp; " : " &amp;C52</f>
        <v>"result" : 23_224_OLY_TEL_E2025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E224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Ioannis Triantafyllou</v>
      </c>
      <c r="C8" s="201"/>
      <c r="D8" s="201"/>
      <c r="E8" s="201"/>
      <c r="F8" s="201"/>
      <c r="G8" s="201" t="str">
        <f>IF('SCOUT &amp; LOGISTICS'!D7="","",'SCOUT &amp; LOGISTICS'!D7)</f>
        <v>Maria Alexandra Christoliakou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Angelos Kalogerakos</v>
      </c>
      <c r="R8" s="201"/>
      <c r="S8" s="201"/>
      <c r="T8" s="201"/>
      <c r="U8" s="201"/>
      <c r="V8" s="201" t="str">
        <f>IF('SCOUT &amp; LOGISTICS'!D10="","",'SCOUT &amp; LOGISTICS'!D10)</f>
        <v>Spyridoula Kourti</v>
      </c>
      <c r="W8" s="201"/>
      <c r="X8" s="201"/>
      <c r="Y8" s="201"/>
      <c r="Z8" s="201"/>
      <c r="AA8" s="201" t="str">
        <f>IF('SCOUT &amp; LOGISTICS'!D11="","",'SCOUT &amp; LOGISTICS'!D11)</f>
        <v>Konstantinos Troupis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558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3.5842293906810036E-3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You had excellent control of the game. There were very few mistakes. Congratulations!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3.3584229390681002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51F38432-624A-4DFB-B9B9-B4BFF023E84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2026-01-21T15:17:08Z</cp:lastPrinted>
  <dcterms:created xsi:type="dcterms:W3CDTF">2023-09-19T19:50:35Z</dcterms:created>
  <dcterms:modified xsi:type="dcterms:W3CDTF">2026-01-21T15:17:09Z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