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oardgamegeek.com/boardgame/222997/rotolette-foot-ball/"/>
    </mc:Choice>
  </mc:AlternateContent>
  <xr:revisionPtr revIDLastSave="18" documentId="8_{22B4C659-CB29-4C55-AA35-5734E0AA5D00}" xr6:coauthVersionLast="47" xr6:coauthVersionMax="47" xr10:uidLastSave="{D449DB3E-2E8F-4610-B502-11823AE19275}"/>
  <bookViews>
    <workbookView minimized="1" xWindow="1920" yWindow="1920" windowWidth="17280" windowHeight="8832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<sst xmlns="http://schemas.openxmlformats.org/spreadsheetml/2006/main" count="3245" uniqueCount="755">
  <si>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</si>
  <si>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</si>
  <si>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</si>
  <si>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</si>
  <si>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</si>
  <si>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</si>
  <si>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</si>
  <si>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</si>
  <si>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</si>
  <si>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</si>
  <si>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</si>
  <si>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</si>
  <si>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</si>
  <si>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</si>
  <si>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</si>
  <si>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</si>
  <si>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</si>
  <si>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</si>
  <si>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</si>
  <si>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</si>
  <si>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</si>
  <si>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</si>
  <si>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</si>
  <si>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</si>
  <si>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</si>
  <si>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</si>
  <si>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</si>
  <si>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</si>
  <si>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</si>
  <si>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</si>
  <si>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</si>
  <si>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</si>
  <si>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</si>
  <si>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</si>
  <si>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</si>
  <si>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</si>
  <si>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</si>
  <si>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</si>
  <si>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</si>
  <si>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</si>
  <si>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</si>
  <si>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</si>
  <si>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</si>
  <si>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</si>
  <si>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</si>
  <si>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</si>
  <si>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</si>
  <si>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</si>
  <si>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</si>
  <si>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</si>
  <si>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</si>
  <si>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</si>
  <si>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</si>
  <si>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</si>
  <si>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</si>
  <si>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</si>
  <si>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</si>
  <si>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</si>
  <si>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</si>
  <si>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</si>
  <si>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</si>
  <si>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</si>
  <si>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</si>
  <si>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</si>
  <si>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</si>
  <si>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</si>
  <si>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</si>
  <si>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</si>
  <si>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</si>
  <si>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</si>
  <si>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</si>
  <si>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</si>
  <si>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</si>
  <si>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</si>
  <si>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</si>
  <si>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</si>
  <si>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</si>
  <si>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</si>
  <si>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</si>
  <si>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</si>
  <si>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</si>
  <si>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</si>
  <si>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</si>
  <si>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</si>
  <si>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</si>
  <si>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</si>
  <si>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</si>
  <si>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</si>
  <si>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</si>
  <si>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</si>
  <si>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</si>
  <si>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</si>
  <si>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</si>
  <si>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</si>
  <si>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</si>
  <si>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</si>
  <si>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</si>
  <si>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</si>
  <si>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</si>
  <si>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</si>
  <si>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</si>
  <si>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</si>
  <si>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</si>
  <si>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</si>
  <si>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</si>
  <si>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</si>
  <si>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</si>
  <si>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</si>
  <si>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</si>
  <si>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</si>
  <si>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</si>
  <si>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</si>
  <si>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</si>
  <si>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</si>
  <si>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</si>
  <si>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</si>
  <si>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</si>
  <si>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</si>
  <si>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</si>
  <si>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</si>
  <si>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</si>
  <si>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</si>
  <si>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</si>
  <si>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</si>
  <si>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</si>
  <si>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</si>
  <si>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</si>
  <si>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</si>
  <si>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</si>
  <si>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</si>
  <si>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</si>
  <si>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</si>
  <si>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</si>
  <si>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</si>
  <si>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</si>
  <si>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</si>
  <si>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</si>
  <si>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</si>
  <si>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</si>
  <si>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</si>
  <si>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</si>
  <si>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</si>
  <si>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</si>
  <si>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</si>
  <si>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</si>
  <si>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</si>
  <si>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</si>
  <si>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</si>
  <si>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</si>
  <si>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</si>
  <si>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</si>
  <si>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</si>
  <si>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</si>
  <si>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</si>
  <si>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</si>
  <si>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</si>
  <si>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</si>
  <si>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</si>
  <si>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</si>
  <si>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</si>
  <si>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</si>
  <si>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</si>
  <si>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</si>
  <si>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</si>
  <si>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</si>
  <si>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</si>
  <si>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</si>
  <si>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</si>
  <si>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</si>
  <si>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</si>
  <si>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</si>
  <si>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</si>
  <si>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</si>
  <si>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</si>
  <si>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</si>
  <si>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</si>
  <si>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</si>
  <si>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</si>
  <si>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</si>
  <si>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</si>
  <si>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</si>
  <si>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</si>
  <si>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</si>
  <si>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</si>
  <si>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</si>
  <si>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</si>
  <si>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</si>
  <si>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</si>
  <si>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</si>
  <si>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</si>
  <si>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</si>
  <si>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</si>
  <si>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</si>
  <si>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</si>
  <si>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</si>
  <si>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</si>
  <si>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</si>
  <si>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</si>
  <si>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</si>
  <si>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</si>
  <si>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</si>
  <si>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</si>
  <si>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</si>
  <si>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</si>
  <si>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</si>
  <si>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</si>
  <si>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</si>
  <si>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</si>
  <si>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</si>
  <si>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</si>
  <si>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</si>
  <si>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</si>
  <si>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</si>
  <si>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</si>
  <si>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</si>
  <si>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</si>
  <si>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</si>
  <si>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</si>
  <si>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</si>
  <si>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</si>
  <si>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</si>
  <si>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</si>
  <si>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</si>
  <si>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</si>
  <si>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</si>
  <si>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</si>
  <si>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</si>
  <si>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</si>
  <si>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</si>
  <si>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</si>
  <si>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</si>
  <si>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</si>
  <si>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</si>
  <si>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</si>
  <si>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</si>
  <si>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</si>
  <si>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</si>
  <si>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</si>
  <si>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</si>
  <si>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</si>
  <si>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</si>
  <si>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</si>
  <si>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</si>
  <si>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</si>
  <si>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</si>
  <si>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</si>
  <si>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</si>
  <si>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</si>
  <si>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</si>
  <si>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</si>
  <si>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</si>
  <si>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</si>
  <si>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</si>
  <si>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</si>
  <si>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</si>
  <si>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</si>
  <si>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</si>
  <si>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</si>
  <si>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</si>
  <si>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</si>
  <si>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</si>
  <si>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</si>
  <si>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</si>
  <si>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</si>
  <si>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</si>
  <si>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</si>
  <si>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</si>
  <si>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</si>
  <si>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</si>
  <si>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</si>
  <si>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</si>
  <si>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</si>
  <si>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</si>
  <si>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</si>
  <si>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</si>
  <si>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</si>
  <si>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</si>
  <si>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</si>
  <si>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</si>
  <si>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</si>
  <si>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</si>
  <si>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</si>
  <si>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</si>
  <si>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</si>
  <si>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</si>
  <si>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</si>
  <si>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</si>
  <si>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</si>
  <si>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</si>
  <si>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</si>
  <si>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</si>
  <si>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</si>
  <si>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</si>
  <si>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</si>
  <si>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</si>
  <si>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</si>
  <si>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</si>
  <si>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</si>
  <si>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</si>
  <si>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</si>
  <si>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</si>
  <si>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</si>
  <si>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</si>
  <si>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</si>
  <si>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</si>
  <si>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</si>
  <si>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</si>
  <si>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</si>
  <si>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</si>
  <si>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</si>
  <si>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</si>
  <si>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</si>
  <si>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</si>
  <si>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</si>
  <si>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</si>
  <si>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</si>
  <si>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</si>
  <si>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</si>
  <si>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</si>
  <si>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</si>
  <si>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</si>
  <si>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</si>
  <si>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</si>
  <si>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</si>
  <si>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</si>
  <si>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</si>
  <si>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</si>
  <si>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</si>
  <si>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</si>
  <si>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</si>
  <si>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</si>
  <si>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</si>
  <si>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</si>
  <si>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</si>
  <si>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</si>
  <si>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</si>
  <si>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</si>
  <si>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</si>
  <si>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</si>
  <si>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</si>
  <si>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</si>
  <si>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</si>
  <si>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</si>
  <si>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</si>
  <si>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</si>
  <si>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</si>
  <si>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</si>
  <si>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</si>
  <si>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</si>
  <si>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</si>
  <si>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</si>
  <si>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</si>
  <si>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</si>
  <si>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</si>
  <si>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</si>
  <si>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</si>
  <si>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</si>
  <si>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</si>
  <si>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</si>
  <si>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</si>
  <si>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</si>
  <si>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</si>
  <si>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</si>
  <si>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</si>
  <si>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</si>
  <si>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</si>
  <si>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</si>
  <si>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</si>
  <si>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</si>
  <si>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</si>
  <si>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</si>
  <si>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</si>
  <si>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</si>
  <si>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</si>
  <si>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</si>
  <si>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</si>
  <si>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</si>
  <si>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</si>
  <si>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</si>
  <si>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</si>
  <si>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</si>
  <si>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</si>
  <si>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</si>
  <si>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</si>
  <si>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</si>
  <si>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</si>
  <si>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</si>
  <si>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</si>
  <si>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</si>
  <si>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</si>
  <si>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</si>
  <si>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</si>
  <si>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</si>
  <si>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</si>
  <si>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</si>
  <si>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</si>
  <si>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</si>
  <si>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</si>
  <si>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</si>
  <si>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</si>
  <si>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</si>
  <si>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</si>
  <si>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</si>
  <si>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</si>
  <si>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</si>
  <si>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</si>
  <si>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</si>
  <si>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</si>
  <si>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</si>
  <si>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</si>
  <si>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</si>
  <si>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</si>
  <si>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</si>
  <si>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</si>
  <si>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</si>
  <si>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</si>
  <si>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</si>
  <si>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</si>
  <si>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</si>
  <si>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</si>
  <si>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</si>
  <si>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</si>
  <si>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</si>
  <si>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</si>
  <si>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</si>
  <si>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</si>
  <si>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</si>
  <si>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</si>
  <si>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</si>
  <si>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</si>
  <si>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</si>
  <si>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</si>
  <si>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</si>
  <si>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</si>
  <si>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</si>
  <si>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</si>
  <si>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</si>
  <si>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</si>
  <si>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</si>
  <si>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</si>
  <si>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</si>
  <si>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</si>
  <si>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</si>
  <si>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</si>
  <si>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</si>
  <si>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</si>
  <si>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</si>
  <si>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</si>
  <si>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</si>
  <si>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</si>
  <si>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</si>
  <si>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</si>
  <si>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</si>
  <si>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</si>
  <si>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</si>
  <si>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</si>
  <si>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</si>
  <si>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</si>
  <si>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</si>
  <si>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</si>
  <si>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</si>
  <si>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</si>
  <si>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</si>
  <si>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</si>
  <si>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</si>
  <si>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</si>
  <si>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</si>
  <si>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</si>
  <si>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</si>
  <si>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</si>
  <si>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</si>
  <si>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</si>
  <si>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</si>
  <si>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</si>
  <si>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</si>
  <si>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</si>
  <si>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</si>
  <si>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</si>
  <si>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</si>
  <si>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</si>
  <si>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</si>
  <si>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</si>
  <si>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</si>
  <si>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</si>
  <si>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</si>
  <si>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</si>
  <si>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</si>
  <si>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</si>
  <si>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</si>
  <si>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</si>
  <si>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</si>
  <si>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</si>
  <si>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</si>
  <si>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</si>
  <si>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</si>
  <si>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</si>
  <si>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</si>
  <si>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</si>
  <si>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</si>
  <si>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</si>
  <si>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</si>
  <si>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</si>
  <si>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</si>
  <si>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</si>
  <si>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</si>
  <si>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</si>
  <si>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</si>
  <si>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</si>
  <si>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</si>
  <si>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</si>
  <si>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</si>
  <si>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</si>
  <si>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</si>
  <si>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</si>
  <si>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</si>
  <si>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</si>
  <si>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</si>
  <si>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</si>
  <si>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</si>
  <si>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</si>
  <si>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</si>
  <si>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</si>
  <si>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</si>
  <si>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</si>
  <si>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</si>
  <si>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</si>
  <si>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</si>
  <si>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</si>
  <si>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</si>
  <si>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</si>
  <si>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</si>
  <si>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</si>
  <si>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</si>
  <si>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</si>
  <si>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</si>
  <si>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</si>
  <si>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</si>
  <si>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</si>
  <si>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</si>
  <si>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</si>
  <si>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</si>
  <si>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</si>
  <si>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</si>
  <si>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</si>
  <si>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</si>
  <si>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</si>
  <si>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</si>
  <si>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</si>
  <si>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</si>
  <si>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</si>
  <si>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</si>
  <si>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</si>
  <si>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</si>
  <si>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</si>
  <si>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</si>
  <si>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</si>
  <si>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</si>
  <si>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</si>
  <si>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</si>
  <si>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</si>
  <si>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</si>
  <si>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</si>
  <si>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</si>
  <si>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</si>
  <si>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</si>
  <si>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</si>
  <si>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</si>
  <si>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</si>
  <si>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</si>
  <si>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</si>
  <si>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</si>
  <si>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</si>
  <si>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</si>
  <si>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</si>
  <si>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</si>
  <si>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</si>
  <si>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</si>
  <si>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</si>
  <si>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</si>
  <si>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</si>
  <si>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</si>
  <si>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</si>
  <si>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</si>
  <si>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</si>
  <si>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</si>
  <si>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</si>
  <si>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</si>
  <si>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</si>
  <si>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</si>
  <si>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</si>
  <si>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</si>
  <si>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</si>
  <si>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</si>
  <si>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</si>
  <si>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</si>
  <si>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</si>
  <si>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</si>
  <si>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</si>
  <si>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</si>
  <si>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</si>
  <si>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</si>
  <si>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</si>
  <si>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</si>
  <si>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</si>
  <si>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</si>
  <si>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</si>
  <si>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</si>
  <si>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</si>
  <si>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</si>
  <si>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</si>
  <si>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</si>
  <si>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</si>
  <si>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</si>
  <si>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</si>
  <si>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</si>
  <si>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</si>
  <si>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</si>
  <si>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</si>
  <si>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</si>
  <si>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</si>
  <si>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</si>
  <si>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</si>
  <si>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</si>
  <si>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</si>
  <si>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</si>
  <si>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</si>
  <si>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</si>
  <si>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</si>
  <si>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</si>
  <si>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</si>
  <si>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</si>
  <si>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</si>
  <si>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</si>
  <si>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</si>
  <si>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</si>
  <si>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</si>
  <si>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</si>
  <si>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</si>
  <si>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</si>
  <si>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</si>
  <si>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</si>
  <si>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</si>
  <si>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</si>
  <si>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</si>
  <si>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</si>
  <si>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</si>
  <si>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</si>
  <si>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</si>
  <si>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</si>
  <si>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</si>
  <si>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</si>
  <si>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</si>
  <si>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</si>
  <si>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</si>
  <si>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</si>
  <si>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</si>
  <si>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</si>
  <si>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</si>
  <si>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</si>
  <si>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</si>
  <si>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</si>
  <si>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</si>
  <si>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</si>
  <si>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</si>
  <si>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</si>
  <si>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</si>
  <si>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</si>
  <si>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</si>
  <si>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</si>
  <si>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</si>
  <si>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</si>
  <si>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</si>
  <si>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</si>
  <si>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</si>
  <si>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</si>
  <si>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</si>
  <si>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</si>
  <si>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</si>
  <si>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</si>
  <si>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</si>
  <si>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</si>
  <si>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</si>
  <si>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</si>
  <si>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</si>
  <si>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</si>
  <si>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</si>
  <si>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</si>
  <si>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</si>
  <si>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</si>
  <si>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</si>
  <si>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</si>
  <si>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</si>
  <si>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</si>
  <si>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</si>
  <si>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</si>
  <si>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</si>
  <si>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</si>
  <si>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</si>
  <si>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</si>
  <si>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</si>
  <si>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</si>
  <si>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</si>
  <si>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</si>
  <si>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</si>
  <si>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</si>
  <si>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</si>
  <si>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</si>
  <si>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</si>
  <si>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</si>
  <si>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</si>
  <si>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</si>
  <si>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</si>
  <si>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</si>
  <si>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</si>
  <si>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</si>
  <si>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</si>
  <si>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</si>
  <si>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</si>
  <si>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</si>
  <si>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</si>
  <si>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</si>
  <si>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</si>
  <si>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</si>
  <si>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</si>
  <si>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</si>
  <si>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</si>
  <si>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</si>
  <si>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</si>
  <si>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</si>
  <si>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</si>
  <si>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</si>
  <si>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</si>
  <si>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</si>
  <si>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</si>
  <si>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</si>
  <si>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</si>
  <si>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</si>
  <si>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</si>
  <si>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</si>
  <si>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</si>
  <si>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</si>
  <si>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</si>
  <si>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</si>
  <si>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</si>
  <si>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</si>
  <si>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</si>
  <si>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</si>
  <si>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</si>
  <si>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</si>
  <si>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THEODOROS TZAMALOUKAS</t>
  </si>
  <si>
    <t>PANAGIOTIS KALESIORIS</t>
  </si>
  <si>
    <t>https://boardgamegeek.com/boardgame/222997/rotolette-foot-ball</t>
  </si>
  <si>
    <t>C:\Users\pablo.campoy\EUROLEAGUE\EB STATS - General\SEASON 2025-26\Reports\Euroleague\PDF</t>
  </si>
  <si>
    <t>PABLO CAMPOY</t>
  </si>
  <si>
    <t>What can I say? Perfect job. Congratulations guys, you are top of the top.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</si>
</sst>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23_225_PAN_BAS_E2025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46042.885416666664</v>
      </c>
      <c r="C3" s="157"/>
      <c r="D3" s="39">
        <v>554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749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"E2025225"</v>
      </c>
      <c r="F3" s="45" t="str">
        <f t="shared" ref="F3:F16" si="0">""""&amp;B3&amp;"""" &amp; " : " &amp;C3&amp;","</f>
        <v>"name" : "E2025225",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"E225"</v>
      </c>
      <c r="F4" s="45" t="str">
        <f t="shared" si="0"/>
        <v>"cod" : "E225",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225</v>
      </c>
      <c r="F6" s="45" t="str">
        <f t="shared" si="0"/>
        <v>"number" : 225,</v>
      </c>
    </row>
    <row r="7" spans="2:6" x14ac:dyDescent="0.25">
      <c r="B7" s="43" t="s">
        <v>116</v>
      </c>
      <c r="C7" s="43" t="str">
        <f ca="1">""""&amp;TEXT('SCOUT &amp; LOGISTICS'!B3,"dd/mm/aaaa")&amp;""""</f>
        <v>"20/01/2026"</v>
      </c>
      <c r="F7" s="45" t="str">
        <f t="shared" ca="1" si="0"/>
        <v>"date" : "20/01/2026",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554</v>
      </c>
      <c r="F25" s="45" t="str">
        <f t="shared" ref="F25:F48" si="1">""""&amp;C25&amp;"""" &amp; " : " &amp;D25&amp;","</f>
        <v>"total_actions" : 554,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"What can I say? Perfect job. Congratulations guys, you are top of the top."</v>
      </c>
      <c r="F51" s="45" t="str">
        <f>""""&amp;B51&amp;"""" &amp; " : " &amp;C51&amp;","</f>
        <v>"comments" : "What can I say? Perfect job. Congratulations guys, you are top of the top.",</v>
      </c>
    </row>
    <row r="52" spans="2:6" x14ac:dyDescent="0.25">
      <c r="B52" s="43" t="s">
        <v>153</v>
      </c>
      <c r="C52" s="43" t="str">
        <f>TEXT('SCOUT &amp; LOGISTICS'!F1,"0,0")</f>
        <v>23_225_PAN_BAS_E2025</v>
      </c>
      <c r="F52" s="45" t="str">
        <f>""""&amp;B52&amp;"""" &amp; " : " &amp;C52</f>
        <v>"result" : 23_225_PAN_BAS_E2025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3.2" zeroHeight="1" x14ac:dyDescent="0.25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5"/>
    <row r="2" spans="1:33" ht="42.6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.8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8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8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3">
      <c r="A17" s="48"/>
      <c r="B17" s="204">
        <f>'SCOUT &amp; LOGISTICS'!D3</f>
        <v>554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8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8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8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3">
      <c r="A32" s="48"/>
      <c r="B32" s="195" t="str">
        <f>IF('SCOUT &amp; LOGISTICS'!M4="","",'SCOUT &amp; LOGISTICS'!M4)</f>
        <v>What can I say? Perfect job. Congratulations guys, you are top of the top.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E6D3E0-DC01-4089-895A-FEE243BAD68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2026-01-20T21:11:11Z</cp:lastPrinted>
  <dcterms:created xsi:type="dcterms:W3CDTF">2023-09-19T19:50:35Z</dcterms:created>
  <dcterms:modified xsi:type="dcterms:W3CDTF">2026-01-20T21:12:44Z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