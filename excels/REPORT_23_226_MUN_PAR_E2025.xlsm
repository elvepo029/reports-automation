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3" documentId="8_{84FD166C-43A9-44E3-B594-185DDA65B918}" xr6:coauthVersionLast="47" xr6:coauthVersionMax="47" xr10:uidLastSave="{9A01923A-BADB-45AA-8888-FF23FC820A4C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<sst xmlns="http://schemas.openxmlformats.org/spreadsheetml/2006/main" count="3260" uniqueCount="758">
  <si>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</si>
  <si>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</si>
  <si>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</si>
  <si>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</si>
  <si>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</si>
  <si>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</si>
  <si>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</si>
  <si>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</si>
  <si>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</si>
  <si>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</si>
  <si>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</si>
  <si>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</si>
  <si>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</si>
  <si>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</si>
  <si>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</si>
  <si>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</si>
  <si>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</si>
  <si>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</si>
  <si>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</si>
  <si>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</si>
  <si>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</si>
  <si>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</si>
  <si>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</si>
  <si>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</si>
  <si>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</si>
  <si>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</si>
  <si>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</si>
  <si>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</si>
  <si>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</si>
  <si>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</si>
  <si>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</si>
  <si>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</si>
  <si>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</si>
  <si>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</si>
  <si>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</si>
  <si>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</si>
  <si>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</si>
  <si>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</si>
  <si>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</si>
  <si>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</si>
  <si>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</si>
  <si>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</si>
  <si>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</si>
  <si>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</si>
  <si>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</si>
  <si>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</si>
  <si>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</si>
  <si>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</si>
  <si>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</si>
  <si>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</si>
  <si>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</si>
  <si>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</si>
  <si>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</si>
  <si>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</si>
  <si>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</si>
  <si>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</si>
  <si>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</si>
  <si>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</si>
  <si>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</si>
  <si>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</si>
  <si>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</si>
  <si>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</si>
  <si>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</si>
  <si>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</si>
  <si>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</si>
  <si>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</si>
  <si>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</si>
  <si>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</si>
  <si>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</si>
  <si>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</si>
  <si>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</si>
  <si>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</si>
  <si>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</si>
  <si>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</si>
  <si>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</si>
  <si>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</si>
  <si>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</si>
  <si>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</si>
  <si>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</si>
  <si>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</si>
  <si>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</si>
  <si>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</si>
  <si>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</si>
  <si>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</si>
  <si>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</si>
  <si>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</si>
  <si>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</si>
  <si>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</si>
  <si>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</si>
  <si>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</si>
  <si>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</si>
  <si>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</si>
  <si>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</si>
  <si>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</si>
  <si>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</si>
  <si>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</si>
  <si>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</si>
  <si>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</si>
  <si>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</si>
  <si>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</si>
  <si>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</si>
  <si>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</si>
  <si>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</si>
  <si>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</si>
  <si>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</si>
  <si>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</si>
  <si>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</si>
  <si>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</si>
  <si>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</si>
  <si>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</si>
  <si>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</si>
  <si>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</si>
  <si>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</si>
  <si>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</si>
  <si>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</si>
  <si>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</si>
  <si>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</si>
  <si>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</si>
  <si>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</si>
  <si>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</si>
  <si>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</si>
  <si>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</si>
  <si>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</si>
  <si>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</si>
  <si>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</si>
  <si>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</si>
  <si>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</si>
  <si>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</si>
  <si>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</si>
  <si>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</si>
  <si>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</si>
  <si>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</si>
  <si>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</si>
  <si>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</si>
  <si>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</si>
  <si>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</si>
  <si>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</si>
  <si>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</si>
  <si>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</si>
  <si>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</si>
  <si>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</si>
  <si>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</si>
  <si>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</si>
  <si>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</si>
  <si>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</si>
  <si>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</si>
  <si>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</si>
  <si>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</si>
  <si>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</si>
  <si>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</si>
  <si>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</si>
  <si>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</si>
  <si>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</si>
  <si>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</si>
  <si>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</si>
  <si>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</si>
  <si>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</si>
  <si>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</si>
  <si>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</si>
  <si>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</si>
  <si>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</si>
  <si>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</si>
  <si>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</si>
  <si>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</si>
  <si>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</si>
  <si>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</si>
  <si>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</si>
  <si>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</si>
  <si>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</si>
  <si>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</si>
  <si>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</si>
  <si>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</si>
  <si>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</si>
  <si>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</si>
  <si>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</si>
  <si>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</si>
  <si>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</si>
  <si>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</si>
  <si>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</si>
  <si>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</si>
  <si>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</si>
  <si>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</si>
  <si>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</si>
  <si>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</si>
  <si>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</si>
  <si>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</si>
  <si>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</si>
  <si>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</si>
  <si>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</si>
  <si>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</si>
  <si>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</si>
  <si>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</si>
  <si>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</si>
  <si>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</si>
  <si>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</si>
  <si>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</si>
  <si>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</si>
  <si>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</si>
  <si>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</si>
  <si>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</si>
  <si>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</si>
  <si>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</si>
  <si>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</si>
  <si>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</si>
  <si>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</si>
  <si>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</si>
  <si>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</si>
  <si>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</si>
  <si>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</si>
  <si>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</si>
  <si>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</si>
  <si>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</si>
  <si>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</si>
  <si>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</si>
  <si>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</si>
  <si>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</si>
  <si>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</si>
  <si>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</si>
  <si>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</si>
  <si>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</si>
  <si>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</si>
  <si>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</si>
  <si>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</si>
  <si>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</si>
  <si>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</si>
  <si>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</si>
  <si>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</si>
  <si>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</si>
  <si>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</si>
  <si>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</si>
  <si>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</si>
  <si>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</si>
  <si>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</si>
  <si>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</si>
  <si>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</si>
  <si>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</si>
  <si>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</si>
  <si>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</si>
  <si>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</si>
  <si>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</si>
  <si>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</si>
  <si>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</si>
  <si>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</si>
  <si>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</si>
  <si>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</si>
  <si>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</si>
  <si>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</si>
  <si>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</si>
  <si>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</si>
  <si>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</si>
  <si>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</si>
  <si>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</si>
  <si>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</si>
  <si>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</si>
  <si>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</si>
  <si>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</si>
  <si>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</si>
  <si>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</si>
  <si>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</si>
  <si>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</si>
  <si>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</si>
  <si>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</si>
  <si>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</si>
  <si>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</si>
  <si>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</si>
  <si>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</si>
  <si>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</si>
  <si>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</si>
  <si>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</si>
  <si>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</si>
  <si>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</si>
  <si>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</si>
  <si>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</si>
  <si>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</si>
  <si>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</si>
  <si>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</si>
  <si>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</si>
  <si>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</si>
  <si>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</si>
  <si>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</si>
  <si>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</si>
  <si>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</si>
  <si>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</si>
  <si>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</si>
  <si>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</si>
  <si>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</si>
  <si>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</si>
  <si>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</si>
  <si>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</si>
  <si>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</si>
  <si>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</si>
  <si>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</si>
  <si>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</si>
  <si>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</si>
  <si>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</si>
  <si>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</si>
  <si>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</si>
  <si>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</si>
  <si>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</si>
  <si>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</si>
  <si>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</si>
  <si>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</si>
  <si>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</si>
  <si>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</si>
  <si>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</si>
  <si>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</si>
  <si>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</si>
  <si>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</si>
  <si>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</si>
  <si>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</si>
  <si>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</si>
  <si>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</si>
  <si>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</si>
  <si>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</si>
  <si>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</si>
  <si>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</si>
  <si>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</si>
  <si>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</si>
  <si>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</si>
  <si>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</si>
  <si>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</si>
  <si>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</si>
  <si>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</si>
  <si>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</si>
  <si>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</si>
  <si>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</si>
  <si>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</si>
  <si>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</si>
  <si>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</si>
  <si>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</si>
  <si>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</si>
  <si>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</si>
  <si>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</si>
  <si>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</si>
  <si>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</si>
  <si>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</si>
  <si>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</si>
  <si>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</si>
  <si>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</si>
  <si>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</si>
  <si>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</si>
  <si>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</si>
  <si>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</si>
  <si>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</si>
  <si>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</si>
  <si>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</si>
  <si>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</si>
  <si>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</si>
  <si>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</si>
  <si>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</si>
  <si>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</si>
  <si>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</si>
  <si>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</si>
  <si>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</si>
  <si>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</si>
  <si>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</si>
  <si>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</si>
  <si>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</si>
  <si>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</si>
  <si>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</si>
  <si>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</si>
  <si>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</si>
  <si>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</si>
  <si>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</si>
  <si>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</si>
  <si>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</si>
  <si>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</si>
  <si>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</si>
  <si>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</si>
  <si>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</si>
  <si>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</si>
  <si>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</si>
  <si>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</si>
  <si>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</si>
  <si>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</si>
  <si>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</si>
  <si>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</si>
  <si>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</si>
  <si>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</si>
  <si>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</si>
  <si>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</si>
  <si>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</si>
  <si>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</si>
  <si>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</si>
  <si>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</si>
  <si>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</si>
  <si>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</si>
  <si>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</si>
  <si>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</si>
  <si>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</si>
  <si>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</si>
  <si>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</si>
  <si>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</si>
  <si>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</si>
  <si>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</si>
  <si>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</si>
  <si>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</si>
  <si>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</si>
  <si>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</si>
  <si>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</si>
  <si>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</si>
  <si>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</si>
  <si>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</si>
  <si>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</si>
  <si>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</si>
  <si>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</si>
  <si>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</si>
  <si>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</si>
  <si>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</si>
  <si>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</si>
  <si>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</si>
  <si>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</si>
  <si>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</si>
  <si>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</si>
  <si>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</si>
  <si>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</si>
  <si>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</si>
  <si>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</si>
  <si>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</si>
  <si>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</si>
  <si>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</si>
  <si>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</si>
  <si>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</si>
  <si>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</si>
  <si>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</si>
  <si>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</si>
  <si>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</si>
  <si>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</si>
  <si>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</si>
  <si>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</si>
  <si>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</si>
  <si>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</si>
  <si>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</si>
  <si>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</si>
  <si>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</si>
  <si>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</si>
  <si>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</si>
  <si>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</si>
  <si>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</si>
  <si>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</si>
  <si>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</si>
  <si>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</si>
  <si>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</si>
  <si>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</si>
  <si>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</si>
  <si>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</si>
  <si>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</si>
  <si>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</si>
  <si>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</si>
  <si>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</si>
  <si>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</si>
  <si>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</si>
  <si>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</si>
  <si>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</si>
  <si>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</si>
  <si>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</si>
  <si>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</si>
  <si>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</si>
  <si>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</si>
  <si>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</si>
  <si>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</si>
  <si>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</si>
  <si>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</si>
  <si>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</si>
  <si>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</si>
  <si>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</si>
  <si>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</si>
  <si>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</si>
  <si>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</si>
  <si>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</si>
  <si>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</si>
  <si>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</si>
  <si>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</si>
  <si>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</si>
  <si>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</si>
  <si>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</si>
  <si>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</si>
  <si>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</si>
  <si>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</si>
  <si>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</si>
  <si>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</si>
  <si>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</si>
  <si>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</si>
  <si>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</si>
  <si>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</si>
  <si>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</si>
  <si>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</si>
  <si>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</si>
  <si>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</si>
  <si>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</si>
  <si>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</si>
  <si>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</si>
  <si>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</si>
  <si>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</si>
  <si>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</si>
  <si>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</si>
  <si>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</si>
  <si>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</si>
  <si>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</si>
  <si>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</si>
  <si>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</si>
  <si>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</si>
  <si>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</si>
  <si>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</si>
  <si>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</si>
  <si>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</si>
  <si>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</si>
  <si>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</si>
  <si>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</si>
  <si>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</si>
  <si>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</si>
  <si>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</si>
  <si>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</si>
  <si>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</si>
  <si>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</si>
  <si>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</si>
  <si>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</si>
  <si>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</si>
  <si>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</si>
  <si>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</si>
  <si>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</si>
  <si>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</si>
  <si>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</si>
  <si>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</si>
  <si>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</si>
  <si>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</si>
  <si>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</si>
  <si>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</si>
  <si>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</si>
  <si>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</si>
  <si>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</si>
  <si>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</si>
  <si>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</si>
  <si>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</si>
  <si>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</si>
  <si>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</si>
  <si>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</si>
  <si>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</si>
  <si>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</si>
  <si>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</si>
  <si>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</si>
  <si>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</si>
  <si>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</si>
  <si>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</si>
  <si>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</si>
  <si>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</si>
  <si>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</si>
  <si>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</si>
  <si>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</si>
  <si>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</si>
  <si>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</si>
  <si>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</si>
  <si>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</si>
  <si>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</si>
  <si>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</si>
  <si>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</si>
  <si>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</si>
  <si>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</si>
  <si>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</si>
  <si>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</si>
  <si>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</si>
  <si>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</si>
  <si>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</si>
  <si>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</si>
  <si>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</si>
  <si>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</si>
  <si>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</si>
  <si>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</si>
  <si>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</si>
  <si>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</si>
  <si>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</si>
  <si>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</si>
  <si>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</si>
  <si>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</si>
  <si>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</si>
  <si>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</si>
  <si>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</si>
  <si>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</si>
  <si>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</si>
  <si>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</si>
  <si>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</si>
  <si>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</si>
  <si>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</si>
  <si>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</si>
  <si>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</si>
  <si>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</si>
  <si>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</si>
  <si>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</si>
  <si>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</si>
  <si>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</si>
  <si>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</si>
  <si>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</si>
  <si>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</si>
  <si>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</si>
  <si>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</si>
  <si>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</si>
  <si>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</si>
  <si>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</si>
  <si>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</si>
  <si>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</si>
  <si>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</si>
  <si>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</si>
  <si>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</si>
  <si>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</si>
  <si>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</si>
  <si>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</si>
  <si>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</si>
  <si>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</si>
  <si>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</si>
  <si>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</si>
  <si>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</si>
  <si>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</si>
  <si>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</si>
  <si>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</si>
  <si>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</si>
  <si>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</si>
  <si>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</si>
  <si>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</si>
  <si>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</si>
  <si>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</si>
  <si>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</si>
  <si>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</si>
  <si>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</si>
  <si>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</si>
  <si>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</si>
  <si>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</si>
  <si>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</si>
  <si>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</si>
  <si>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</si>
  <si>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</si>
  <si>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</si>
  <si>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</si>
  <si>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</si>
  <si>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</si>
  <si>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</si>
  <si>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</si>
  <si>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</si>
  <si>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</si>
  <si>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</si>
  <si>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</si>
  <si>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</si>
  <si>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</si>
  <si>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</si>
  <si>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</si>
  <si>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</si>
  <si>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</si>
  <si>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</si>
  <si>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</si>
  <si>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</si>
  <si>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</si>
  <si>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</si>
  <si>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</si>
  <si>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</si>
  <si>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</si>
  <si>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</si>
  <si>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</si>
  <si>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</si>
  <si>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</si>
  <si>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</si>
  <si>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</si>
  <si>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</si>
  <si>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</si>
  <si>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</si>
  <si>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</si>
  <si>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</si>
  <si>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</si>
  <si>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</si>
  <si>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</si>
  <si>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</si>
  <si>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</si>
  <si>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</si>
  <si>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</si>
  <si>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</si>
  <si>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</si>
  <si>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</si>
  <si>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</si>
  <si>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</si>
  <si>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</si>
  <si>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</si>
  <si>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</si>
  <si>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</si>
  <si>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</si>
  <si>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</si>
  <si>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</si>
  <si>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</si>
  <si>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</si>
  <si>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</si>
  <si>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</si>
  <si>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</si>
  <si>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</si>
  <si>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</si>
  <si>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</si>
  <si>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</si>
  <si>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</si>
  <si>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</si>
  <si>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</si>
  <si>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</si>
  <si>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</si>
  <si>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</si>
  <si>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</si>
  <si>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</si>
  <si>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</si>
  <si>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</si>
  <si>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</si>
  <si>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</si>
  <si>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</si>
  <si>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</si>
  <si>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</si>
  <si>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</si>
  <si>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</si>
  <si>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</si>
  <si>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</si>
  <si>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</si>
  <si>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</si>
  <si>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</si>
  <si>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</si>
  <si>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</si>
  <si>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</si>
  <si>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</si>
  <si>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</si>
  <si>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</si>
  <si>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</si>
  <si>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</si>
  <si>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</si>
  <si>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</si>
  <si>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</si>
  <si>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</si>
  <si>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</si>
  <si>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</si>
  <si>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</si>
  <si>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</si>
  <si>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</si>
  <si>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</si>
  <si>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</si>
  <si>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</si>
  <si>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</si>
  <si>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</si>
  <si>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</si>
  <si>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</si>
  <si>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</si>
  <si>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</si>
  <si>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</si>
  <si>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</si>
  <si>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</si>
  <si>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</si>
  <si>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</si>
  <si>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</si>
  <si>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</si>
  <si>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</si>
  <si>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</si>
  <si>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</si>
  <si>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01:58</t>
  </si>
  <si>
    <t>07:50</t>
  </si>
  <si>
    <t>01:42</t>
  </si>
  <si>
    <t>MIKA KINDELMANN</t>
  </si>
  <si>
    <t>ROBERT BAYERER</t>
  </si>
  <si>
    <t>Very good job! There is a rebound where the player already had control before being fouled, and another where a player intentionally throws the ball at an opponent to force an out-of-bounds (this season we record the rebound for the player).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</si>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</sst>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23_226_MUN_PAR_E2025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46042.854166666664</v>
      </c>
      <c r="C3" s="157"/>
      <c r="D3" s="39">
        <v>527</v>
      </c>
      <c r="E3" s="29"/>
      <c r="F3" s="26">
        <f>SUBTOTAL(3,I17:I106)</f>
        <v>3</v>
      </c>
      <c r="G3" s="27">
        <f>IF(OR(D3="",D3=0),"",F3/D3)</f>
        <v>5.6925996204933585E-3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5.6925996204933585E-3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Partizan Mozzart 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0.56925996204933582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723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2.0692599620493359</v>
      </c>
      <c r="N7" s="58"/>
      <c r="O7" s="2"/>
      <c r="P7" s="2"/>
      <c r="Q7" s="86">
        <f>SUM(R5,S5,AC16)</f>
        <v>2.0692599620493359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2.0692599620493359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726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226</v>
      </c>
      <c r="D17" s="32" t="s">
        <v>751</v>
      </c>
      <c r="E17" s="33">
        <v>1</v>
      </c>
      <c r="F17" s="36">
        <v>26</v>
      </c>
      <c r="G17" s="36">
        <v>34</v>
      </c>
      <c r="H17" s="38" t="str">
        <f>IF(I17="","",$I$14)</f>
        <v>SCOUTING</v>
      </c>
      <c r="I17" s="34">
        <v>221</v>
      </c>
      <c r="J17" s="13" t="s">
        <v>4</v>
      </c>
      <c r="K17" s="13" t="s">
        <v>63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226</v>
      </c>
      <c r="D18" s="32" t="s">
        <v>752</v>
      </c>
      <c r="E18" s="33">
        <v>3</v>
      </c>
      <c r="F18" s="36">
        <v>54</v>
      </c>
      <c r="G18" s="36">
        <v>50</v>
      </c>
      <c r="H18" s="38" t="str">
        <f t="shared" ref="H18:H81" si="8">IF(I18="","",$I$14)</f>
        <v>SCOUTING</v>
      </c>
      <c r="I18" s="34">
        <v>417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226</v>
      </c>
      <c r="D19" s="32" t="s">
        <v>753</v>
      </c>
      <c r="E19" s="33">
        <v>3</v>
      </c>
      <c r="F19" s="36">
        <v>58</v>
      </c>
      <c r="G19" s="36">
        <v>63</v>
      </c>
      <c r="H19" s="38" t="str">
        <f t="shared" si="8"/>
        <v>SCOUTING</v>
      </c>
      <c r="I19" s="34">
        <v>490</v>
      </c>
      <c r="J19" s="13" t="s">
        <v>4</v>
      </c>
      <c r="K19" s="13" t="s">
        <v>62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"E2025226"</v>
      </c>
      <c r="F3" s="45" t="str">
        <f t="shared" ref="F3:F16" si="0">""""&amp;B3&amp;"""" &amp; " : " &amp;C3&amp;","</f>
        <v>"name" : "E2025226",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"E226"</v>
      </c>
      <c r="F4" s="45" t="str">
        <f t="shared" si="0"/>
        <v>"cod" : "E226",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226</v>
      </c>
      <c r="F6" s="45" t="str">
        <f t="shared" si="0"/>
        <v>"number" : 226,</v>
      </c>
    </row>
    <row r="7" spans="2:6" x14ac:dyDescent="0.25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"MANUEL HERZOG"</v>
      </c>
      <c r="F10" s="45" t="str">
        <f t="shared" si="0"/>
        <v>"Data_entry" : "MANUEL HERZOG",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"SEBASTIAN BLANZ"</v>
      </c>
      <c r="F11" s="45" t="str">
        <f t="shared" si="0"/>
        <v>"Caller_1" : "SEBASTIAN BLANZ",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"MIKA KINDELMANN"</v>
      </c>
      <c r="F12" s="45" t="str">
        <f t="shared" si="0"/>
        <v>"Caller_2" : "MIKA KINDELMANN",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"JURGEN JOST"</v>
      </c>
      <c r="F13" s="45" t="str">
        <f t="shared" si="0"/>
        <v>"Timerkeeper" : "JURGEN JOST",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"ROBERT BAYERER"</v>
      </c>
      <c r="F14" s="45" t="str">
        <f t="shared" si="0"/>
        <v>"Shotclock" : "ROBERT BAYERER",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527</v>
      </c>
      <c r="F25" s="45" t="str">
        <f t="shared" ref="F25:F48" si="1">""""&amp;C25&amp;"""" &amp; " : " &amp;D25&amp;","</f>
        <v>"total_actions" : 527,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There is a rebound where the player already had control before being fouled, and another where a player intentionally throws the ball at an opponent to force an out-of-bounds (this season we record the rebound for the player)."</v>
      </c>
      <c r="F51" s="45" t="str">
        <f>""""&amp;B51&amp;"""" &amp; " : " &amp;C51&amp;","</f>
        <v>"comments" : "Very good job! There is a rebound where the player already had control before being fouled, and another where a player intentionally throws the ball at an opponent to force an out-of-bounds (this season we record the rebound for the player).",</v>
      </c>
    </row>
    <row r="52" spans="2:6" x14ac:dyDescent="0.25">
      <c r="B52" s="43" t="s">
        <v>153</v>
      </c>
      <c r="C52" s="43" t="str">
        <f>TEXT('SCOUT &amp; LOGISTICS'!F1,"0,0")</f>
        <v>23_226_MUN_PAR_E2025</v>
      </c>
      <c r="F52" s="45" t="str">
        <f>""""&amp;B52&amp;"""" &amp; " : " &amp;C52</f>
        <v>"result" : 23_226_MUN_PAR_E2025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E226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Partizan Mozzart 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MANUEL HERZOG</v>
      </c>
      <c r="C8" s="206"/>
      <c r="D8" s="206"/>
      <c r="E8" s="206"/>
      <c r="F8" s="206"/>
      <c r="G8" s="206" t="str">
        <f>IF('SCOUT &amp; LOGISTICS'!D7="","",'SCOUT &amp; LOGISTICS'!D7)</f>
        <v>SEBASTIAN BLANZ</v>
      </c>
      <c r="H8" s="206"/>
      <c r="I8" s="206"/>
      <c r="J8" s="206"/>
      <c r="K8" s="206"/>
      <c r="L8" s="206" t="str">
        <f>IF('SCOUT &amp; LOGISTICS'!D8="","",'SCOUT &amp; LOGISTICS'!D8)</f>
        <v>MIKA KINDELMANN</v>
      </c>
      <c r="M8" s="206"/>
      <c r="N8" s="206"/>
      <c r="O8" s="206"/>
      <c r="P8" s="206"/>
      <c r="Q8" s="206" t="str">
        <f>IF('SCOUT &amp; LOGISTICS'!D9="","",'SCOUT &amp; LOGISTICS'!D9)</f>
        <v>JURGEN JOST</v>
      </c>
      <c r="R8" s="206"/>
      <c r="S8" s="206"/>
      <c r="T8" s="206"/>
      <c r="U8" s="206"/>
      <c r="V8" s="206" t="str">
        <f>IF('SCOUT &amp; LOGISTICS'!D10="","",'SCOUT &amp; LOGISTICS'!D10)</f>
        <v>ROBERT BAYERER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5.6925996204933585E-3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There is a rebound where the player already had control before being fouled, and another where a player intentionally throws the ball at an opponent to force an out-of-bounds (this season we record the rebound for the player).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2.0692599620493359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AFFEBA-B803-4493-B583-24EA14CE31C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2026-01-21T16:07:54Z</cp:lastPrinted>
  <dcterms:created xsi:type="dcterms:W3CDTF">2023-09-19T19:50:35Z</dcterms:created>
  <dcterms:modified xsi:type="dcterms:W3CDTF">2026-01-21T16:08:53Z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