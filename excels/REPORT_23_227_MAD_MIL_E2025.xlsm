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44" documentId="8_{B2C4525D-BD24-4AC7-A22B-6C278C27BF5A}" xr6:coauthVersionLast="47" xr6:coauthVersionMax="47" xr10:uidLastSave="{070E6FD8-2903-40F8-9EAD-CB6676EB9A18}"/>
  <bookViews>
    <workbookView xWindow="-6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<sst xmlns="http://schemas.openxmlformats.org/spreadsheetml/2006/main" count="3255" uniqueCount="761">
  <si>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</si>
  <si>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</si>
  <si>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</si>
  <si>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</si>
  <si>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</si>
  <si>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</si>
  <si>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</si>
  <si>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</si>
  <si>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</si>
  <si>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</si>
  <si>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</si>
  <si>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</si>
  <si>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</si>
  <si>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</si>
  <si>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</si>
  <si>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</si>
  <si>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</si>
  <si>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</si>
  <si>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</si>
  <si>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</si>
  <si>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</si>
  <si>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</si>
  <si>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</si>
  <si>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</si>
  <si>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</si>
  <si>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</si>
  <si>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</si>
  <si>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</si>
  <si>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</si>
  <si>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</si>
  <si>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</si>
  <si>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</si>
  <si>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</si>
  <si>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</si>
  <si>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</si>
  <si>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</si>
  <si>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</si>
  <si>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</si>
  <si>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</si>
  <si>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</si>
  <si>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</si>
  <si>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</si>
  <si>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</si>
  <si>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</si>
  <si>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</si>
  <si>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</si>
  <si>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</si>
  <si>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</si>
  <si>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</si>
  <si>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</si>
  <si>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</si>
  <si>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</si>
  <si>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</si>
  <si>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</si>
  <si>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</si>
  <si>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</si>
  <si>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</si>
  <si>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</si>
  <si>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</si>
  <si>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</si>
  <si>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</si>
  <si>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</si>
  <si>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</si>
  <si>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</si>
  <si>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</si>
  <si>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</si>
  <si>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</si>
  <si>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</si>
  <si>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</si>
  <si>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</si>
  <si>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</si>
  <si>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</si>
  <si>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</si>
  <si>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</si>
  <si>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</si>
  <si>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</si>
  <si>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</si>
  <si>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</si>
  <si>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</si>
  <si>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</si>
  <si>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</si>
  <si>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</si>
  <si>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</si>
  <si>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</si>
  <si>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</si>
  <si>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</si>
  <si>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</si>
  <si>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</si>
  <si>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</si>
  <si>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</si>
  <si>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</si>
  <si>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</si>
  <si>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</si>
  <si>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</si>
  <si>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</si>
  <si>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</si>
  <si>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</si>
  <si>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</si>
  <si>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</si>
  <si>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</si>
  <si>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</si>
  <si>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</si>
  <si>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</si>
  <si>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</si>
  <si>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</si>
  <si>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</si>
  <si>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</si>
  <si>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</si>
  <si>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</si>
  <si>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</si>
  <si>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</si>
  <si>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</si>
  <si>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</si>
  <si>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</si>
  <si>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</si>
  <si>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</si>
  <si>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</si>
  <si>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</si>
  <si>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</si>
  <si>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</si>
  <si>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</si>
  <si>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</si>
  <si>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</si>
  <si>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</si>
  <si>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</si>
  <si>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</si>
  <si>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</si>
  <si>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</si>
  <si>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</si>
  <si>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</si>
  <si>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</si>
  <si>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</si>
  <si>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</si>
  <si>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</si>
  <si>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</si>
  <si>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</si>
  <si>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</si>
  <si>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</si>
  <si>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</si>
  <si>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</si>
  <si>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</si>
  <si>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</si>
  <si>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</si>
  <si>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</si>
  <si>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</si>
  <si>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</si>
  <si>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</si>
  <si>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</si>
  <si>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</si>
  <si>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</si>
  <si>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</si>
  <si>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</si>
  <si>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</si>
  <si>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</si>
  <si>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</si>
  <si>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</si>
  <si>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</si>
  <si>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</si>
  <si>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</si>
  <si>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</si>
  <si>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</si>
  <si>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</si>
  <si>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</si>
  <si>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</si>
  <si>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</si>
  <si>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</si>
  <si>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</si>
  <si>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</si>
  <si>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</si>
  <si>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</si>
  <si>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</si>
  <si>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</si>
  <si>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</si>
  <si>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</si>
  <si>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</si>
  <si>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</si>
  <si>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</si>
  <si>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</si>
  <si>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</si>
  <si>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</si>
  <si>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</si>
  <si>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</si>
  <si>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</si>
  <si>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</si>
  <si>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</si>
  <si>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</si>
  <si>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</si>
  <si>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</si>
  <si>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</si>
  <si>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</si>
  <si>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</si>
  <si>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</si>
  <si>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</si>
  <si>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</si>
  <si>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</si>
  <si>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</si>
  <si>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</si>
  <si>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</si>
  <si>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</si>
  <si>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</si>
  <si>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</si>
  <si>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</si>
  <si>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</si>
  <si>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</si>
  <si>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</si>
  <si>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</si>
  <si>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</si>
  <si>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</si>
  <si>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</si>
  <si>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</si>
  <si>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</si>
  <si>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</si>
  <si>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</si>
  <si>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</si>
  <si>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</si>
  <si>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</si>
  <si>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</si>
  <si>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</si>
  <si>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</si>
  <si>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</si>
  <si>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</si>
  <si>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</si>
  <si>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</si>
  <si>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</si>
  <si>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</si>
  <si>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</si>
  <si>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</si>
  <si>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</si>
  <si>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</si>
  <si>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</si>
  <si>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</si>
  <si>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</si>
  <si>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</si>
  <si>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</si>
  <si>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</si>
  <si>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</si>
  <si>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</si>
  <si>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</si>
  <si>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</si>
  <si>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</si>
  <si>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</si>
  <si>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</si>
  <si>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</si>
  <si>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</si>
  <si>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</si>
  <si>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</si>
  <si>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</si>
  <si>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</si>
  <si>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</si>
  <si>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</si>
  <si>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</si>
  <si>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</si>
  <si>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</si>
  <si>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</si>
  <si>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</si>
  <si>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</si>
  <si>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</si>
  <si>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</si>
  <si>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</si>
  <si>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</si>
  <si>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</si>
  <si>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</si>
  <si>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</si>
  <si>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</si>
  <si>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</si>
  <si>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</si>
  <si>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</si>
  <si>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</si>
  <si>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</si>
  <si>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</si>
  <si>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</si>
  <si>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</si>
  <si>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</si>
  <si>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</si>
  <si>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</si>
  <si>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</si>
  <si>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</si>
  <si>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</si>
  <si>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</si>
  <si>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</si>
  <si>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</si>
  <si>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</si>
  <si>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</si>
  <si>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</si>
  <si>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</si>
  <si>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</si>
  <si>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</si>
  <si>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</si>
  <si>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</si>
  <si>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</si>
  <si>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</si>
  <si>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</si>
  <si>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</si>
  <si>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</si>
  <si>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</si>
  <si>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</si>
  <si>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</si>
  <si>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</si>
  <si>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</si>
  <si>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</si>
  <si>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</si>
  <si>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</si>
  <si>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</si>
  <si>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</si>
  <si>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</si>
  <si>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</si>
  <si>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</si>
  <si>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</si>
  <si>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</si>
  <si>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</si>
  <si>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</si>
  <si>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</si>
  <si>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</si>
  <si>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</si>
  <si>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</si>
  <si>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</si>
  <si>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</si>
  <si>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</si>
  <si>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</si>
  <si>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</si>
  <si>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</si>
  <si>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</si>
  <si>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</si>
  <si>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</si>
  <si>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</si>
  <si>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</si>
  <si>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</si>
  <si>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</si>
  <si>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</si>
  <si>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</si>
  <si>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</si>
  <si>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</si>
  <si>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</si>
  <si>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</si>
  <si>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</si>
  <si>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</si>
  <si>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</si>
  <si>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</si>
  <si>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</si>
  <si>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</si>
  <si>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</si>
  <si>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</si>
  <si>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</si>
  <si>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</si>
  <si>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</si>
  <si>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</si>
  <si>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</si>
  <si>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</si>
  <si>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</si>
  <si>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</si>
  <si>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</si>
  <si>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</si>
  <si>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</si>
  <si>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</si>
  <si>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</si>
  <si>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</si>
  <si>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</si>
  <si>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</si>
  <si>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</si>
  <si>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</si>
  <si>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</si>
  <si>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</si>
  <si>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</si>
  <si>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</si>
  <si>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</si>
  <si>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</si>
  <si>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</si>
  <si>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</si>
  <si>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</si>
  <si>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</si>
  <si>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</si>
  <si>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</si>
  <si>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</si>
  <si>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</si>
  <si>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</si>
  <si>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</si>
  <si>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</si>
  <si>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</si>
  <si>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</si>
  <si>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</si>
  <si>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</si>
  <si>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</si>
  <si>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</si>
  <si>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</si>
  <si>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</si>
  <si>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</si>
  <si>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</si>
  <si>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</si>
  <si>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</si>
  <si>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</si>
  <si>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</si>
  <si>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</si>
  <si>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</si>
  <si>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</si>
  <si>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</si>
  <si>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</si>
  <si>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</si>
  <si>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</si>
  <si>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</si>
  <si>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</si>
  <si>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</si>
  <si>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</si>
  <si>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</si>
  <si>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</si>
  <si>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</si>
  <si>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</si>
  <si>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</si>
  <si>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</si>
  <si>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</si>
  <si>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</si>
  <si>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</si>
  <si>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</si>
  <si>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</si>
  <si>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</si>
  <si>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</si>
  <si>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</si>
  <si>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</si>
  <si>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</si>
  <si>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</si>
  <si>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</si>
  <si>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</si>
  <si>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</si>
  <si>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</si>
  <si>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</si>
  <si>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</si>
  <si>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</si>
  <si>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</si>
  <si>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</si>
  <si>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</si>
  <si>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</si>
  <si>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</si>
  <si>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</si>
  <si>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</si>
  <si>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</si>
  <si>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</si>
  <si>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</si>
  <si>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</si>
  <si>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</si>
  <si>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</si>
  <si>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</si>
  <si>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</si>
  <si>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</si>
  <si>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</si>
  <si>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</si>
  <si>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</si>
  <si>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</si>
  <si>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</si>
  <si>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</si>
  <si>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</si>
  <si>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</si>
  <si>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</si>
  <si>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</si>
  <si>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</si>
  <si>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</si>
  <si>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</si>
  <si>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</si>
  <si>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</si>
  <si>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</si>
  <si>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</si>
  <si>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</si>
  <si>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</si>
  <si>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</si>
  <si>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</si>
  <si>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</si>
  <si>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</si>
  <si>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</si>
  <si>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</si>
  <si>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</si>
  <si>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</si>
  <si>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</si>
  <si>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</si>
  <si>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</si>
  <si>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</si>
  <si>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</si>
  <si>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</si>
  <si>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</si>
  <si>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</si>
  <si>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</si>
  <si>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</si>
  <si>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</si>
  <si>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</si>
  <si>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</si>
  <si>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</si>
  <si>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</si>
  <si>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</si>
  <si>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</si>
  <si>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</si>
  <si>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</si>
  <si>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</si>
  <si>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</si>
  <si>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</si>
  <si>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</si>
  <si>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</si>
  <si>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</si>
  <si>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</si>
  <si>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</si>
  <si>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</si>
  <si>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</si>
  <si>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</si>
  <si>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</si>
  <si>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</si>
  <si>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</si>
  <si>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</si>
  <si>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</si>
  <si>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</si>
  <si>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</si>
  <si>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</si>
  <si>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</si>
  <si>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</si>
  <si>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</si>
  <si>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</si>
  <si>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</si>
  <si>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</si>
  <si>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</si>
  <si>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</si>
  <si>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</si>
  <si>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</si>
  <si>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</si>
  <si>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</si>
  <si>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</si>
  <si>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</si>
  <si>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</si>
  <si>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</si>
  <si>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</si>
  <si>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</si>
  <si>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</si>
  <si>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</si>
  <si>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</si>
  <si>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</si>
  <si>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</si>
  <si>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</si>
  <si>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</si>
  <si>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</si>
  <si>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</si>
  <si>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</si>
  <si>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</si>
  <si>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</si>
  <si>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</si>
  <si>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</si>
  <si>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</si>
  <si>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</si>
  <si>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</si>
  <si>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</si>
  <si>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</si>
  <si>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</si>
  <si>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</si>
  <si>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</si>
  <si>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</si>
  <si>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</si>
  <si>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</si>
  <si>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</si>
  <si>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</si>
  <si>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</si>
  <si>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</si>
  <si>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</si>
  <si>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</si>
  <si>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</si>
  <si>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</si>
  <si>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</si>
  <si>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</si>
  <si>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</si>
  <si>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</si>
  <si>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</si>
  <si>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</si>
  <si>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</si>
  <si>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</si>
  <si>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</si>
  <si>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</si>
  <si>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</si>
  <si>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</si>
  <si>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</si>
  <si>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</si>
  <si>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</si>
  <si>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</si>
  <si>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</si>
  <si>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</si>
  <si>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</si>
  <si>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</si>
  <si>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</si>
  <si>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</si>
  <si>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</si>
  <si>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</si>
  <si>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</si>
  <si>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</si>
  <si>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</si>
  <si>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</si>
  <si>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</si>
  <si>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</si>
  <si>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</si>
  <si>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</si>
  <si>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</si>
  <si>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</si>
  <si>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</si>
  <si>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</si>
  <si>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</si>
  <si>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</si>
  <si>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</si>
  <si>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</si>
  <si>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</si>
  <si>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</si>
  <si>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</si>
  <si>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</si>
  <si>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</si>
  <si>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</si>
  <si>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</si>
  <si>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</si>
  <si>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</si>
  <si>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</si>
  <si>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</si>
  <si>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</si>
  <si>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</si>
  <si>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</si>
  <si>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</si>
  <si>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</si>
  <si>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</si>
  <si>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</si>
  <si>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</si>
  <si>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</si>
  <si>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</si>
  <si>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</si>
  <si>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</si>
  <si>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</si>
  <si>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</si>
  <si>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</si>
  <si>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</si>
  <si>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</si>
  <si>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</si>
  <si>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</si>
  <si>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</si>
  <si>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</si>
  <si>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</si>
  <si>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</si>
  <si>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</si>
  <si>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</si>
  <si>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</si>
  <si>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</si>
  <si>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</si>
  <si>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</si>
  <si>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</si>
  <si>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</si>
  <si>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</si>
  <si>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</si>
  <si>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</si>
  <si>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</si>
  <si>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</si>
  <si>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</si>
  <si>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</si>
  <si>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</si>
  <si>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</si>
  <si>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</si>
  <si>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</si>
  <si>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</si>
  <si>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</si>
  <si>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</si>
  <si>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</si>
  <si>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</si>
  <si>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</si>
  <si>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</si>
  <si>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</si>
  <si>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</si>
  <si>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</si>
  <si>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</si>
  <si>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</si>
  <si>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</si>
  <si>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</si>
  <si>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</si>
  <si>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</si>
  <si>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</si>
  <si>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</si>
  <si>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</si>
  <si>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</si>
  <si>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</si>
  <si>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</si>
  <si>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</si>
  <si>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</si>
  <si>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</si>
  <si>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</si>
  <si>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</si>
  <si>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</si>
  <si>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</si>
  <si>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</si>
  <si>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</si>
  <si>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</si>
  <si>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</si>
  <si>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</si>
  <si>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</si>
  <si>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</si>
  <si>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</si>
  <si>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</si>
  <si>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</si>
  <si>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</si>
  <si>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</si>
  <si>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</si>
  <si>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</si>
  <si>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</si>
  <si>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</si>
  <si>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</si>
  <si>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</si>
  <si>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</si>
  <si>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</si>
  <si>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</si>
  <si>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</si>
  <si>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</si>
  <si>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</si>
  <si>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</si>
  <si>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</si>
  <si>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</si>
  <si>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</si>
  <si>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</si>
  <si>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</si>
  <si>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</si>
  <si>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</si>
  <si>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</si>
  <si>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</si>
  <si>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</si>
  <si>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</si>
  <si>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</si>
  <si>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</si>
  <si>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</si>
  <si>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</si>
  <si>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</si>
  <si>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</si>
  <si>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</si>
  <si>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</si>
  <si>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</si>
  <si>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</si>
  <si>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</si>
  <si>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</si>
  <si>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</si>
  <si>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</si>
  <si>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</si>
  <si>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</si>
  <si>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</si>
  <si>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</si>
  <si>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</si>
  <si>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</si>
  <si>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</si>
  <si>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</si>
  <si>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</si>
  <si>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</si>
  <si>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</si>
  <si>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</si>
  <si>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</si>
  <si>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</si>
  <si>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</si>
  <si>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</si>
  <si>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</si>
  <si>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</si>
  <si>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</si>
  <si>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C:\Users\nerea.fraile\EUROLEAGUE\EB STATS - Documents\General\SEASON 2025-26\Reports\Euroleague\PDF</t>
  </si>
  <si>
    <t>C:\Users\nerea.fraile\EUROLEAGUE\EB STATS - Documents\General\SEASON 2025-26\Reports\Euroleague</t>
  </si>
  <si>
    <t>JAIME LAQUIDAIN</t>
  </si>
  <si>
    <t>ALEX CORNET</t>
  </si>
  <si>
    <t>PABLO KELLER</t>
  </si>
  <si>
    <t>ANDRES DE LA COBA</t>
  </si>
  <si>
    <t>MARIA RUTH TARREGA DE LA RUA</t>
  </si>
  <si>
    <t>ALBERTO GONZALEZ</t>
  </si>
  <si>
    <t>NEREA FRAILE</t>
  </si>
  <si>
    <t>01:44</t>
  </si>
  <si>
    <t>09:24</t>
  </si>
  <si>
    <t>Very good job!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</si>
</sst>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23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23_227_MAD_MIL_E2025</v>
      </c>
      <c r="G1" s="5"/>
      <c r="H1" s="5"/>
      <c r="I1" s="5"/>
      <c r="J1" s="8" t="s">
        <v>707</v>
      </c>
      <c r="K1" s="121" t="s">
        <v>750</v>
      </c>
      <c r="L1" s="121"/>
      <c r="M1" s="122" t="s">
        <v>239</v>
      </c>
      <c r="N1" s="121" t="s">
        <v>749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227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46042.864583333336</v>
      </c>
      <c r="C3" s="178"/>
      <c r="D3" s="39">
        <v>539</v>
      </c>
      <c r="E3" s="29"/>
      <c r="F3" s="26">
        <f>SUBTOTAL(3,I17:I106)</f>
        <v>2</v>
      </c>
      <c r="G3" s="27">
        <f>IF(OR(D3="",D3=0),"",F3/D3)</f>
        <v>3.7105751391465678E-3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Real Madrid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MAD</v>
      </c>
      <c r="I4" s="5"/>
      <c r="J4" s="119" t="s">
        <v>714</v>
      </c>
      <c r="K4" s="54" t="s">
        <v>742</v>
      </c>
      <c r="L4" s="5"/>
      <c r="M4" s="185" t="s">
        <v>760</v>
      </c>
      <c r="N4" s="186"/>
      <c r="O4" s="2"/>
      <c r="P4" s="2"/>
      <c r="Q4" s="84" t="s">
        <v>175</v>
      </c>
      <c r="R4" s="94">
        <f>(IF(G3="",0,G3))</f>
        <v>3.7105751391465678E-3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1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EA7 Emporio Armani Milan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MIL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0.3710575139146568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2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751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752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4.871057513914657</v>
      </c>
      <c r="N7" s="58"/>
      <c r="O7" s="2"/>
      <c r="P7" s="2"/>
      <c r="Q7" s="86">
        <f>SUM(R5,S5,AC16)</f>
        <v>4.871057513914657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753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4.871057513914657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754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755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">
        <v>756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227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757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4.5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227</v>
      </c>
      <c r="D17" s="32" t="s">
        <v>758</v>
      </c>
      <c r="E17" s="33">
        <v>2</v>
      </c>
      <c r="F17" s="36">
        <v>52</v>
      </c>
      <c r="G17" s="36">
        <v>33</v>
      </c>
      <c r="H17" s="38" t="str">
        <f>IF(I17="","",$I$14)</f>
        <v>SCOUTING</v>
      </c>
      <c r="I17" s="34">
        <v>238</v>
      </c>
      <c r="J17" s="13" t="s">
        <v>4</v>
      </c>
      <c r="K17" s="13" t="s">
        <v>61</v>
      </c>
      <c r="L17" s="13" t="s">
        <v>48</v>
      </c>
      <c r="M17" s="13" t="s">
        <v>168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227</v>
      </c>
      <c r="D18" s="32" t="s">
        <v>759</v>
      </c>
      <c r="E18" s="33">
        <v>3</v>
      </c>
      <c r="F18" s="36">
        <v>56</v>
      </c>
      <c r="G18" s="36">
        <v>39</v>
      </c>
      <c r="H18" s="38" t="str">
        <f t="shared" ref="H18:H81" si="8">IF(I18="","",$I$14)</f>
        <v>SCOUTING</v>
      </c>
      <c r="I18" s="34">
        <v>285</v>
      </c>
      <c r="J18" s="13" t="s">
        <v>4</v>
      </c>
      <c r="K18" s="13" t="s">
        <v>62</v>
      </c>
      <c r="L18" s="13" t="s">
        <v>7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1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1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REPORT_E2025227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"E2025227"</v>
      </c>
      <c r="F3" s="45" t="str">
        <f t="shared" ref="F3:F16" si="0">""""&amp;B3&amp;"""" &amp; " : " &amp;C3&amp;","</f>
        <v>"name" : "E2025227",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"E227"</v>
      </c>
      <c r="F4" s="45" t="str">
        <f t="shared" si="0"/>
        <v>"cod" : "E227",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227</v>
      </c>
      <c r="F6" s="45" t="str">
        <f t="shared" si="0"/>
        <v>"number" : 227,</v>
      </c>
    </row>
    <row r="7" spans="2:6" x14ac:dyDescent="0.25">
      <c r="B7" s="43" t="s">
        <v>116</v>
      </c>
      <c r="C7" s="43" t="str">
        <f ca="1">""""&amp;TEXT('SCOUT &amp; LOGISTICS'!B3,"dd/mm/aaaa")&amp;""""</f>
        <v>"20/01/Tuesday"</v>
      </c>
      <c r="F7" s="45" t="str">
        <f t="shared" ca="1" si="0"/>
        <v>"date" : "20/01/Tuesday",</v>
      </c>
    </row>
    <row r="8" spans="2:6" x14ac:dyDescent="0.25">
      <c r="B8" s="43" t="s">
        <v>125</v>
      </c>
      <c r="C8" s="43" t="str">
        <f>""""&amp;'SCOUT &amp; LOGISTICS'!D4 &amp;""""</f>
        <v>"Real Madrid"</v>
      </c>
      <c r="F8" s="45" t="str">
        <f t="shared" si="0"/>
        <v>"home_team" : "Real Madrid",</v>
      </c>
    </row>
    <row r="9" spans="2:6" x14ac:dyDescent="0.25">
      <c r="B9" s="43" t="s">
        <v>126</v>
      </c>
      <c r="C9" s="43" t="str">
        <f>""""&amp;'SCOUT &amp; LOGISTICS'!D5&amp;""""</f>
        <v>"EA7 Emporio Armani Milan"</v>
      </c>
      <c r="F9" s="45" t="str">
        <f t="shared" si="0"/>
        <v>"away_team" : "EA7 Emporio Armani Milan",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"JAIME LAQUIDAIN"</v>
      </c>
      <c r="F10" s="45" t="str">
        <f t="shared" si="0"/>
        <v>"Data_entry" : "JAIME LAQUIDAIN",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"ALEX CORNET"</v>
      </c>
      <c r="F11" s="45" t="str">
        <f t="shared" si="0"/>
        <v>"Caller_1" : "ALEX CORNET",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"PABLO KELLER"</v>
      </c>
      <c r="F12" s="45" t="str">
        <f t="shared" si="0"/>
        <v>"Caller_2" : "PABLO KELLER",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"ANDRES DE LA COBA"</v>
      </c>
      <c r="F13" s="45" t="str">
        <f t="shared" si="0"/>
        <v>"Timerkeeper" : "ANDRES DE LA COBA",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"MARIA RUTH TARREGA DE LA RUA"</v>
      </c>
      <c r="F14" s="45" t="str">
        <f t="shared" si="0"/>
        <v>"Shotclock" : "MARIA RUTH TARREGA DE LA RUA",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"ALBERTO GONZALEZ"</v>
      </c>
      <c r="F15" s="45" t="str">
        <f t="shared" si="0"/>
        <v>"IRS" : "ALBERTO GONZALEZ",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"NEREA FRAILE"</v>
      </c>
      <c r="F16" s="45" t="str">
        <f t="shared" si="0"/>
        <v>"Live_Game_Manager" : "NEREA FRAILE",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539</v>
      </c>
      <c r="F25" s="45" t="str">
        <f t="shared" ref="F25:F48" si="1">""""&amp;C25&amp;"""" &amp; " : " &amp;D25&amp;","</f>
        <v>"total_actions" : 539,</v>
      </c>
    </row>
    <row r="26" spans="2:6" x14ac:dyDescent="0.25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1</v>
      </c>
      <c r="F30" s="45" t="str">
        <f t="shared" si="1"/>
        <v>"away_team" : 1,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 Keep it up!"</v>
      </c>
      <c r="F51" s="45" t="str">
        <f>""""&amp;B51&amp;"""" &amp; " : " &amp;C51&amp;","</f>
        <v>"comments" : "Very good job! Keep it up!",</v>
      </c>
    </row>
    <row r="52" spans="2:6" x14ac:dyDescent="0.25">
      <c r="B52" s="43" t="s">
        <v>153</v>
      </c>
      <c r="C52" s="43" t="str">
        <f>TEXT('SCOUT &amp; LOGISTICS'!F1,"0,0")</f>
        <v>23_227_MAD_MIL_E2025</v>
      </c>
      <c r="F52" s="45" t="str">
        <f>""""&amp;B52&amp;"""" &amp; " : " &amp;C52</f>
        <v>"result" : 23_227_MAD_MIL_E2025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E227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20/01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Real Madrid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Ea7 Emporio Armani Milan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JAIME LAQUIDAIN</v>
      </c>
      <c r="C8" s="201"/>
      <c r="D8" s="201"/>
      <c r="E8" s="201"/>
      <c r="F8" s="201"/>
      <c r="G8" s="201" t="str">
        <f>IF('SCOUT &amp; LOGISTICS'!D7="","",'SCOUT &amp; LOGISTICS'!D7)</f>
        <v>ALEX CORNET</v>
      </c>
      <c r="H8" s="201"/>
      <c r="I8" s="201"/>
      <c r="J8" s="201"/>
      <c r="K8" s="201"/>
      <c r="L8" s="201" t="str">
        <f>IF('SCOUT &amp; LOGISTICS'!D8="","",'SCOUT &amp; LOGISTICS'!D8)</f>
        <v>PABLO KELLER</v>
      </c>
      <c r="M8" s="201"/>
      <c r="N8" s="201"/>
      <c r="O8" s="201"/>
      <c r="P8" s="201"/>
      <c r="Q8" s="201" t="str">
        <f>IF('SCOUT &amp; LOGISTICS'!D9="","",'SCOUT &amp; LOGISTICS'!D9)</f>
        <v>ANDRES DE LA COBA</v>
      </c>
      <c r="R8" s="201"/>
      <c r="S8" s="201"/>
      <c r="T8" s="201"/>
      <c r="U8" s="201"/>
      <c r="V8" s="201" t="str">
        <f>IF('SCOUT &amp; LOGISTICS'!D10="","",'SCOUT &amp; LOGISTICS'!D10)</f>
        <v>MARIA RUTH TARREGA DE LA RUA</v>
      </c>
      <c r="W8" s="201"/>
      <c r="X8" s="201"/>
      <c r="Y8" s="201"/>
      <c r="Z8" s="201"/>
      <c r="AA8" s="201" t="str">
        <f>IF('SCOUT &amp; LOGISTICS'!D11="","",'SCOUT &amp; LOGISTICS'!D11)</f>
        <v>ALBERTO GONZALEZ</v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NEREA FRAILE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539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2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3.7105751391465678E-3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1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1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1</v>
      </c>
      <c r="I22" s="199"/>
      <c r="J22" s="199"/>
      <c r="K22" s="199"/>
      <c r="L22" s="199"/>
      <c r="M22" s="199"/>
      <c r="N22" s="199">
        <f>'SCOUT &amp; LOGISTICS'!AG19</f>
        <v>1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2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1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1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Very good job! Keep it up!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4.871057513914657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1909E767-E677-4B28-BBE1-BD072AF6534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Nerea Fraile</cp:lastModifiedBy>
  <cp:lastPrinted>2026-01-21T15:53:08Z</cp:lastPrinted>
  <dcterms:created xsi:type="dcterms:W3CDTF">2023-09-19T19:50:35Z</dcterms:created>
  <dcterms:modified xsi:type="dcterms:W3CDTF">2026-01-21T15:53:09Z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