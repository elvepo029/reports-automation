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B2C4525D-BD24-4AC7-A22B-6C278C27BF5A}" xr6:coauthVersionLast="47" xr6:coauthVersionMax="47" xr10:uidLastSave="{070E6FD8-2903-40F8-9EAD-CB6676EB9A18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<sst xmlns="http://schemas.openxmlformats.org/spreadsheetml/2006/main" count="3255" uniqueCount="761">
  <si>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</si>
  <si>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</si>
  <si>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</si>
  <si>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</si>
  <si>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</si>
  <si>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</si>
  <si>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</si>
  <si>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</si>
  <si>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</si>
  <si>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</si>
  <si>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</si>
  <si>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</si>
  <si>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</si>
  <si>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</si>
  <si>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</si>
  <si>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</si>
  <si>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</si>
  <si>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</si>
  <si>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</si>
  <si>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</si>
  <si>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</si>
  <si>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</si>
  <si>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</si>
  <si>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</si>
  <si>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</si>
  <si>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</si>
  <si>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</si>
  <si>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</si>
  <si>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</si>
  <si>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</si>
  <si>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</si>
  <si>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</si>
  <si>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</si>
  <si>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</si>
  <si>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</si>
  <si>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</si>
  <si>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</si>
  <si>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</si>
  <si>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</si>
  <si>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</si>
  <si>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</si>
  <si>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</si>
  <si>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</si>
  <si>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</si>
  <si>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</si>
  <si>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</si>
  <si>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</si>
  <si>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</si>
  <si>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</si>
  <si>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</si>
  <si>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</si>
  <si>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</si>
  <si>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</si>
  <si>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</si>
  <si>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</si>
  <si>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</si>
  <si>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</si>
  <si>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</si>
  <si>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</si>
  <si>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</si>
  <si>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</si>
  <si>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</si>
  <si>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</si>
  <si>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</si>
  <si>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</si>
  <si>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</si>
  <si>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</si>
  <si>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</si>
  <si>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</si>
  <si>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</si>
  <si>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</si>
  <si>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</si>
  <si>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</si>
  <si>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</si>
  <si>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</si>
  <si>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</si>
  <si>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</si>
  <si>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</si>
  <si>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</si>
  <si>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</si>
  <si>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</si>
  <si>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</si>
  <si>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</si>
  <si>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</si>
  <si>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</si>
  <si>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</si>
  <si>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</si>
  <si>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</si>
  <si>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</si>
  <si>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</si>
  <si>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</si>
  <si>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</si>
  <si>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</si>
  <si>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</si>
  <si>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</si>
  <si>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</si>
  <si>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</si>
  <si>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</si>
  <si>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</si>
  <si>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</si>
  <si>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</si>
  <si>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</si>
  <si>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</si>
  <si>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</si>
  <si>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</si>
  <si>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</si>
  <si>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</si>
  <si>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</si>
  <si>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</si>
  <si>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</si>
  <si>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</si>
  <si>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</si>
  <si>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</si>
  <si>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</si>
  <si>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</si>
  <si>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</si>
  <si>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</si>
  <si>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</si>
  <si>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</si>
  <si>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</si>
  <si>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</si>
  <si>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</si>
  <si>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</si>
  <si>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</si>
  <si>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</si>
  <si>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</si>
  <si>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</si>
  <si>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</si>
  <si>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</si>
  <si>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</si>
  <si>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</si>
  <si>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</si>
  <si>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</si>
  <si>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</si>
  <si>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</si>
  <si>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</si>
  <si>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</si>
  <si>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</si>
  <si>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</si>
  <si>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</si>
  <si>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</si>
  <si>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</si>
  <si>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</si>
  <si>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</si>
  <si>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</si>
  <si>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</si>
  <si>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</si>
  <si>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</si>
  <si>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</si>
  <si>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</si>
  <si>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</si>
  <si>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</si>
  <si>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</si>
  <si>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</si>
  <si>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</si>
  <si>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</si>
  <si>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</si>
  <si>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</si>
  <si>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</si>
  <si>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</si>
  <si>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</si>
  <si>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</si>
  <si>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</si>
  <si>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</si>
  <si>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</si>
  <si>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</si>
  <si>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</si>
  <si>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</si>
  <si>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</si>
  <si>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</si>
  <si>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</si>
  <si>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</si>
  <si>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</si>
  <si>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</si>
  <si>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</si>
  <si>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</si>
  <si>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</si>
  <si>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</si>
  <si>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</si>
  <si>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</si>
  <si>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</si>
  <si>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</si>
  <si>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</si>
  <si>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</si>
  <si>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</si>
  <si>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</si>
  <si>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</si>
  <si>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</si>
  <si>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</si>
  <si>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</si>
  <si>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</si>
  <si>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</si>
  <si>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</si>
  <si>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</si>
  <si>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</si>
  <si>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</si>
  <si>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</si>
  <si>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</si>
  <si>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</si>
  <si>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</si>
  <si>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</si>
  <si>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</si>
  <si>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</si>
  <si>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</si>
  <si>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</si>
  <si>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</si>
  <si>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</si>
  <si>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</si>
  <si>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</si>
  <si>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</si>
  <si>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</si>
  <si>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</si>
  <si>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</si>
  <si>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</si>
  <si>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</si>
  <si>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</si>
  <si>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</si>
  <si>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</si>
  <si>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</si>
  <si>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</si>
  <si>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</si>
  <si>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</si>
  <si>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</si>
  <si>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</si>
  <si>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</si>
  <si>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</si>
  <si>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</si>
  <si>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</si>
  <si>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</si>
  <si>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</si>
  <si>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</si>
  <si>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</si>
  <si>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</si>
  <si>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</si>
  <si>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</si>
  <si>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</si>
  <si>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</si>
  <si>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</si>
  <si>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</si>
  <si>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</si>
  <si>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</si>
  <si>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</si>
  <si>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</si>
  <si>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</si>
  <si>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</si>
  <si>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</si>
  <si>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</si>
  <si>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</si>
  <si>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</si>
  <si>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</si>
  <si>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</si>
  <si>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</si>
  <si>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</si>
  <si>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</si>
  <si>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</si>
  <si>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</si>
  <si>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</si>
  <si>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</si>
  <si>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</si>
  <si>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</si>
  <si>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</si>
  <si>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</si>
  <si>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</si>
  <si>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</si>
  <si>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</si>
  <si>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</si>
  <si>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</si>
  <si>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</si>
  <si>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</si>
  <si>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</si>
  <si>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</si>
  <si>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</si>
  <si>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</si>
  <si>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</si>
  <si>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</si>
  <si>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</si>
  <si>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</si>
  <si>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</si>
  <si>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</si>
  <si>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</si>
  <si>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</si>
  <si>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</si>
  <si>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</si>
  <si>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</si>
  <si>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</si>
  <si>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</si>
  <si>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</si>
  <si>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</si>
  <si>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</si>
  <si>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</si>
  <si>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</si>
  <si>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</si>
  <si>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</si>
  <si>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</si>
  <si>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</si>
  <si>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</si>
  <si>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</si>
  <si>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</si>
  <si>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</si>
  <si>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</si>
  <si>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</si>
  <si>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</si>
  <si>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</si>
  <si>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</si>
  <si>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</si>
  <si>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</si>
  <si>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</si>
  <si>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</si>
  <si>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</si>
  <si>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</si>
  <si>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</si>
  <si>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</si>
  <si>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</si>
  <si>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</si>
  <si>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</si>
  <si>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</si>
  <si>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</si>
  <si>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</si>
  <si>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</si>
  <si>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</si>
  <si>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</si>
  <si>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</si>
  <si>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</si>
  <si>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</si>
  <si>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</si>
  <si>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</si>
  <si>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</si>
  <si>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</si>
  <si>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</si>
  <si>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</si>
  <si>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</si>
  <si>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</si>
  <si>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</si>
  <si>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</si>
  <si>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</si>
  <si>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</si>
  <si>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</si>
  <si>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</si>
  <si>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</si>
  <si>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</si>
  <si>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</si>
  <si>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</si>
  <si>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</si>
  <si>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</si>
  <si>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</si>
  <si>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</si>
  <si>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</si>
  <si>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</si>
  <si>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</si>
  <si>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</si>
  <si>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</si>
  <si>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</si>
  <si>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</si>
  <si>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</si>
  <si>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</si>
  <si>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</si>
  <si>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</si>
  <si>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</si>
  <si>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</si>
  <si>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</si>
  <si>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</si>
  <si>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</si>
  <si>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</si>
  <si>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</si>
  <si>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</si>
  <si>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</si>
  <si>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</si>
  <si>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</si>
  <si>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</si>
  <si>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</si>
  <si>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</si>
  <si>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</si>
  <si>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</si>
  <si>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</si>
  <si>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</si>
  <si>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</si>
  <si>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</si>
  <si>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</si>
  <si>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</si>
  <si>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</si>
  <si>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</si>
  <si>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</si>
  <si>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</si>
  <si>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</si>
  <si>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</si>
  <si>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</si>
  <si>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</si>
  <si>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</si>
  <si>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</si>
  <si>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</si>
  <si>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</si>
  <si>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</si>
  <si>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</si>
  <si>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</si>
  <si>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</si>
  <si>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</si>
  <si>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</si>
  <si>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</si>
  <si>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</si>
  <si>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</si>
  <si>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</si>
  <si>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</si>
  <si>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</si>
  <si>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</si>
  <si>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</si>
  <si>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</si>
  <si>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</si>
  <si>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</si>
  <si>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</si>
  <si>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</si>
  <si>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</si>
  <si>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</si>
  <si>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</si>
  <si>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</si>
  <si>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</si>
  <si>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</si>
  <si>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</si>
  <si>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</si>
  <si>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</si>
  <si>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</si>
  <si>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</si>
  <si>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</si>
  <si>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</si>
  <si>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</si>
  <si>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</si>
  <si>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</si>
  <si>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</si>
  <si>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</si>
  <si>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</si>
  <si>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</si>
  <si>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</si>
  <si>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</si>
  <si>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</si>
  <si>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</si>
  <si>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</si>
  <si>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</si>
  <si>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</si>
  <si>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</si>
  <si>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</si>
  <si>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</si>
  <si>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</si>
  <si>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</si>
  <si>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</si>
  <si>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</si>
  <si>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</si>
  <si>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</si>
  <si>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</si>
  <si>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</si>
  <si>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</si>
  <si>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</si>
  <si>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</si>
  <si>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</si>
  <si>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</si>
  <si>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</si>
  <si>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</si>
  <si>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</si>
  <si>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</si>
  <si>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</si>
  <si>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</si>
  <si>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</si>
  <si>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</si>
  <si>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</si>
  <si>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</si>
  <si>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</si>
  <si>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</si>
  <si>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</si>
  <si>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</si>
  <si>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</si>
  <si>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</si>
  <si>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</si>
  <si>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</si>
  <si>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</si>
  <si>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</si>
  <si>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</si>
  <si>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</si>
  <si>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</si>
  <si>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</si>
  <si>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</si>
  <si>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</si>
  <si>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</si>
  <si>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</si>
  <si>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</si>
  <si>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</si>
  <si>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</si>
  <si>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</si>
  <si>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</si>
  <si>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</si>
  <si>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</si>
  <si>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</si>
  <si>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</si>
  <si>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</si>
  <si>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</si>
  <si>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</si>
  <si>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</si>
  <si>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</si>
  <si>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</si>
  <si>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</si>
  <si>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</si>
  <si>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</si>
  <si>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</si>
  <si>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</si>
  <si>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</si>
  <si>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</si>
  <si>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</si>
  <si>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</si>
  <si>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</si>
  <si>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</si>
  <si>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</si>
  <si>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</si>
  <si>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</si>
  <si>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</si>
  <si>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</si>
  <si>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</si>
  <si>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</si>
  <si>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</si>
  <si>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</si>
  <si>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</si>
  <si>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</si>
  <si>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</si>
  <si>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</si>
  <si>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</si>
  <si>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</si>
  <si>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</si>
  <si>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</si>
  <si>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</si>
  <si>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</si>
  <si>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</si>
  <si>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</si>
  <si>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</si>
  <si>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</si>
  <si>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</si>
  <si>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</si>
  <si>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</si>
  <si>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</si>
  <si>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</si>
  <si>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</si>
  <si>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</si>
  <si>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</si>
  <si>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</si>
  <si>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</si>
  <si>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</si>
  <si>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</si>
  <si>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</si>
  <si>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</si>
  <si>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</si>
  <si>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</si>
  <si>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</si>
  <si>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</si>
  <si>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</si>
  <si>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</si>
  <si>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</si>
  <si>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</si>
  <si>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</si>
  <si>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</si>
  <si>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</si>
  <si>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</si>
  <si>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</si>
  <si>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</si>
  <si>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</si>
  <si>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</si>
  <si>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</si>
  <si>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</si>
  <si>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</si>
  <si>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</si>
  <si>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</si>
  <si>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</si>
  <si>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</si>
  <si>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</si>
  <si>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</si>
  <si>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</si>
  <si>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</si>
  <si>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</si>
  <si>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</si>
  <si>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</si>
  <si>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</si>
  <si>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</si>
  <si>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</si>
  <si>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</si>
  <si>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</si>
  <si>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</si>
  <si>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</si>
  <si>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</si>
  <si>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</si>
  <si>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</si>
  <si>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</si>
  <si>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</si>
  <si>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</si>
  <si>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</si>
  <si>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</si>
  <si>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</si>
  <si>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</si>
  <si>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</si>
  <si>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</si>
  <si>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</si>
  <si>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</si>
  <si>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</si>
  <si>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</si>
  <si>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</si>
  <si>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</si>
  <si>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</si>
  <si>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</si>
  <si>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</si>
  <si>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</si>
  <si>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</si>
  <si>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</si>
  <si>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</si>
  <si>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</si>
  <si>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</si>
  <si>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</si>
  <si>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</si>
  <si>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</si>
  <si>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</si>
  <si>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</si>
  <si>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</si>
  <si>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</si>
  <si>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</si>
  <si>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</si>
  <si>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</si>
  <si>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</si>
  <si>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</si>
  <si>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</si>
  <si>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</si>
  <si>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</si>
  <si>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</si>
  <si>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</si>
  <si>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</si>
  <si>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</si>
  <si>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</si>
  <si>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</si>
  <si>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</si>
  <si>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</si>
  <si>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</si>
  <si>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</si>
  <si>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</si>
  <si>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</si>
  <si>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</si>
  <si>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</si>
  <si>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</si>
  <si>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</si>
  <si>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</si>
  <si>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</si>
  <si>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</si>
  <si>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</si>
  <si>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</si>
  <si>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</si>
  <si>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</si>
  <si>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</si>
  <si>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</si>
  <si>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</si>
  <si>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</si>
  <si>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</si>
  <si>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</si>
  <si>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</si>
  <si>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</si>
  <si>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</si>
  <si>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</si>
  <si>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</si>
  <si>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</si>
  <si>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</si>
  <si>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</si>
  <si>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</si>
  <si>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</si>
  <si>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</si>
  <si>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</si>
  <si>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</si>
  <si>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</si>
  <si>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</si>
  <si>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</si>
  <si>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</si>
  <si>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</si>
  <si>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</si>
  <si>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</si>
  <si>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</si>
  <si>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</si>
  <si>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</si>
  <si>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</si>
  <si>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</si>
  <si>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</si>
  <si>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</si>
  <si>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</si>
  <si>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</si>
  <si>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</si>
  <si>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</si>
  <si>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</si>
  <si>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</si>
  <si>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</si>
  <si>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</si>
  <si>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</si>
  <si>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</si>
  <si>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</si>
  <si>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</si>
  <si>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</si>
  <si>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</si>
  <si>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</si>
  <si>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</si>
  <si>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</si>
  <si>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</si>
  <si>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</si>
  <si>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</si>
  <si>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</si>
  <si>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</si>
  <si>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</si>
  <si>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</si>
  <si>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</si>
  <si>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</si>
  <si>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</si>
  <si>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</si>
  <si>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</si>
  <si>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</si>
  <si>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</si>
  <si>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</si>
  <si>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</si>
  <si>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</si>
  <si>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</si>
  <si>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</si>
  <si>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</si>
  <si>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</si>
  <si>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</si>
  <si>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</si>
  <si>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</si>
  <si>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</si>
  <si>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</si>
  <si>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</si>
  <si>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</si>
  <si>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</si>
  <si>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</si>
  <si>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</si>
  <si>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</si>
  <si>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</si>
  <si>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</si>
  <si>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</si>
  <si>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</si>
  <si>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</si>
  <si>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</si>
  <si>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</si>
  <si>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</si>
  <si>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</si>
  <si>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</si>
  <si>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</si>
  <si>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</si>
  <si>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</si>
  <si>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</si>
  <si>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</si>
  <si>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</si>
  <si>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</si>
  <si>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</si>
  <si>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</si>
  <si>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</si>
  <si>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</si>
  <si>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C:\Users\nerea.fraile\EUROLEAGUE\EB STATS - Documents\General\SEASON 2025-26\Reports\Euroleague\PDF</t>
  </si>
  <si>
    <t>C:\Users\nerea.fraile\EUROLEAGUE\EB STATS - Documents\General\SEASON 2025-26\Reports\Euroleague</t>
  </si>
  <si>
    <t>JAIME LAQUIDAIN</t>
  </si>
  <si>
    <t>ALEX CORNET</t>
  </si>
  <si>
    <t>PABLO KELLER</t>
  </si>
  <si>
    <t>ANDRES DE LA COBA</t>
  </si>
  <si>
    <t>MARIA RUTH TARREGA DE LA RUA</t>
  </si>
  <si>
    <t>ALBERTO GONZALEZ</t>
  </si>
  <si>
    <t>NEREA FRAILE</t>
  </si>
  <si>
    <t>01:44</t>
  </si>
  <si>
    <t>09:24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</si>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</sst>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23_227_MAD_MIL_E2025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46042.864583333336</v>
      </c>
      <c r="C3" s="178"/>
      <c r="D3" s="39">
        <v>539</v>
      </c>
      <c r="E3" s="29"/>
      <c r="F3" s="26">
        <f>SUBTOTAL(3,I17:I106)</f>
        <v>2</v>
      </c>
      <c r="G3" s="27">
        <f>IF(OR(D3="",D3=0),"",F3/D3)</f>
        <v>3.7105751391465678E-3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3.7105751391465678E-3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0.3710575139146568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4.871057513914657</v>
      </c>
      <c r="N7" s="58"/>
      <c r="O7" s="2"/>
      <c r="P7" s="2"/>
      <c r="Q7" s="86">
        <f>SUM(R5,S5,AC16)</f>
        <v>4.871057513914657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4.871057513914657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757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227</v>
      </c>
      <c r="D17" s="32" t="s">
        <v>758</v>
      </c>
      <c r="E17" s="33">
        <v>2</v>
      </c>
      <c r="F17" s="36">
        <v>52</v>
      </c>
      <c r="G17" s="36">
        <v>33</v>
      </c>
      <c r="H17" s="38" t="str">
        <f>IF(I17="","",$I$14)</f>
        <v>SCOUTING</v>
      </c>
      <c r="I17" s="34">
        <v>238</v>
      </c>
      <c r="J17" s="13" t="s">
        <v>4</v>
      </c>
      <c r="K17" s="13" t="s">
        <v>61</v>
      </c>
      <c r="L17" s="13" t="s">
        <v>48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227</v>
      </c>
      <c r="D18" s="32" t="s">
        <v>759</v>
      </c>
      <c r="E18" s="33">
        <v>3</v>
      </c>
      <c r="F18" s="36">
        <v>56</v>
      </c>
      <c r="G18" s="36">
        <v>39</v>
      </c>
      <c r="H18" s="38" t="str">
        <f t="shared" ref="H18:H81" si="8">IF(I18="","",$I$14)</f>
        <v>SCOUTING</v>
      </c>
      <c r="I18" s="34">
        <v>285</v>
      </c>
      <c r="J18" s="13" t="s">
        <v>4</v>
      </c>
      <c r="K18" s="13" t="s">
        <v>62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"E2025227"</v>
      </c>
      <c r="F3" s="45" t="str">
        <f t="shared" ref="F3:F16" si="0">""""&amp;B3&amp;"""" &amp; " : " &amp;C3&amp;","</f>
        <v>"name" : "E2025227",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"E227"</v>
      </c>
      <c r="F4" s="45" t="str">
        <f t="shared" si="0"/>
        <v>"cod" : "E227",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227</v>
      </c>
      <c r="F6" s="45" t="str">
        <f t="shared" si="0"/>
        <v>"number" : 227,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"ALEX CORNET"</v>
      </c>
      <c r="F11" s="45" t="str">
        <f t="shared" si="0"/>
        <v>"Caller_1" : "ALEX CORNET",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"PABLO KELLER"</v>
      </c>
      <c r="F12" s="45" t="str">
        <f t="shared" si="0"/>
        <v>"Caller_2" : "PABLO KELLER",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RUTH TARREGA DE LA RUA"</v>
      </c>
      <c r="F14" s="45" t="str">
        <f t="shared" si="0"/>
        <v>"Shotclock" : "MARIA RUTH TARREGA DE LA RUA",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23_227_MAD_MIL_E2025</v>
      </c>
      <c r="F52" s="45" t="str">
        <f>""""&amp;B52&amp;"""" &amp; " : " &amp;C52</f>
        <v>"result" : 23_227_MAD_MIL_E2025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ALEX CORNET</v>
      </c>
      <c r="H8" s="201"/>
      <c r="I8" s="201"/>
      <c r="J8" s="201"/>
      <c r="K8" s="201"/>
      <c r="L8" s="201" t="str">
        <f>IF('SCOUT &amp; LOGISTICS'!D8="","",'SCOUT &amp; LOGISTICS'!D8)</f>
        <v>PABLO KELLER</v>
      </c>
      <c r="M8" s="201"/>
      <c r="N8" s="201"/>
      <c r="O8" s="201"/>
      <c r="P8" s="201"/>
      <c r="Q8" s="201" t="str">
        <f>IF('SCOUT &amp; LOGISTICS'!D9="","",'SCOUT &amp; LOGISTICS'!D9)</f>
        <v>ANDRES DE LA COBA</v>
      </c>
      <c r="R8" s="201"/>
      <c r="S8" s="201"/>
      <c r="T8" s="201"/>
      <c r="U8" s="201"/>
      <c r="V8" s="201" t="str">
        <f>IF('SCOUT &amp; LOGISTICS'!D10="","",'SCOUT &amp; LOGISTICS'!D10)</f>
        <v>MARIA RUTH TARREGA DE LA RUA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3.7105751391465678E-3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4.871057513914657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A2C561EB-3A42-46DF-B4D4-FEA5F0336E4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2026-01-21T15:53:08Z</cp:lastPrinted>
  <dcterms:created xsi:type="dcterms:W3CDTF">2023-09-19T19:50:35Z</dcterms:created>
  <dcterms:modified xsi:type="dcterms:W3CDTF">2026-01-21T15:53:09Z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