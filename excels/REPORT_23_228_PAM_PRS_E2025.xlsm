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9CF594A8-8DA5-4283-BAB4-F7F5BEAF3C0D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<sst xmlns="http://schemas.openxmlformats.org/spreadsheetml/2006/main" count="3280" uniqueCount="765">
  <si>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</si>
  <si>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</si>
  <si>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</si>
  <si>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</si>
  <si>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</si>
  <si>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</si>
  <si>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</si>
  <si>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</si>
  <si>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</si>
  <si>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</si>
  <si>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</si>
  <si>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</si>
  <si>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</si>
  <si>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</si>
  <si>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</si>
  <si>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</si>
  <si>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</si>
  <si>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</si>
  <si>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</si>
  <si>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</si>
  <si>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</si>
  <si>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</si>
  <si>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</si>
  <si>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</si>
  <si>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</si>
  <si>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</si>
  <si>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</si>
  <si>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</si>
  <si>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</si>
  <si>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</si>
  <si>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</si>
  <si>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</si>
  <si>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</si>
  <si>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</si>
  <si>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</si>
  <si>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</si>
  <si>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</si>
  <si>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</si>
  <si>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</si>
  <si>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</si>
  <si>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</si>
  <si>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</si>
  <si>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</si>
  <si>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</si>
  <si>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</si>
  <si>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</si>
  <si>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</si>
  <si>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</si>
  <si>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</si>
  <si>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</si>
  <si>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</si>
  <si>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</si>
  <si>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</si>
  <si>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</si>
  <si>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</si>
  <si>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</si>
  <si>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</si>
  <si>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</si>
  <si>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</si>
  <si>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</si>
  <si>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</si>
  <si>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</si>
  <si>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</si>
  <si>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</si>
  <si>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</si>
  <si>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</si>
  <si>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</si>
  <si>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</si>
  <si>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</si>
  <si>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</si>
  <si>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</si>
  <si>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</si>
  <si>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</si>
  <si>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</si>
  <si>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</si>
  <si>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</si>
  <si>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</si>
  <si>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</si>
  <si>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</si>
  <si>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</si>
  <si>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</si>
  <si>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</si>
  <si>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</si>
  <si>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</si>
  <si>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</si>
  <si>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</si>
  <si>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</si>
  <si>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</si>
  <si>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</si>
  <si>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</si>
  <si>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</si>
  <si>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</si>
  <si>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</si>
  <si>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</si>
  <si>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</si>
  <si>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</si>
  <si>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</si>
  <si>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</si>
  <si>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</si>
  <si>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</si>
  <si>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</si>
  <si>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</si>
  <si>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</si>
  <si>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</si>
  <si>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</si>
  <si>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</si>
  <si>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</si>
  <si>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</si>
  <si>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</si>
  <si>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</si>
  <si>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</si>
  <si>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</si>
  <si>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</si>
  <si>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</si>
  <si>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</si>
  <si>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</si>
  <si>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</si>
  <si>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</si>
  <si>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</si>
  <si>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</si>
  <si>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</si>
  <si>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</si>
  <si>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</si>
  <si>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</si>
  <si>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</si>
  <si>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</si>
  <si>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</si>
  <si>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</si>
  <si>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</si>
  <si>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</si>
  <si>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</si>
  <si>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</si>
  <si>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</si>
  <si>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</si>
  <si>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</si>
  <si>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</si>
  <si>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</si>
  <si>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</si>
  <si>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</si>
  <si>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</si>
  <si>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</si>
  <si>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</si>
  <si>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</si>
  <si>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</si>
  <si>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</si>
  <si>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</si>
  <si>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</si>
  <si>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</si>
  <si>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</si>
  <si>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</si>
  <si>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</si>
  <si>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</si>
  <si>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</si>
  <si>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</si>
  <si>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</si>
  <si>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</si>
  <si>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</si>
  <si>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</si>
  <si>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</si>
  <si>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</si>
  <si>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</si>
  <si>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</si>
  <si>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</si>
  <si>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</si>
  <si>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</si>
  <si>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</si>
  <si>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</si>
  <si>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</si>
  <si>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</si>
  <si>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</si>
  <si>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</si>
  <si>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</si>
  <si>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</si>
  <si>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</si>
  <si>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</si>
  <si>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</si>
  <si>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</si>
  <si>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</si>
  <si>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</si>
  <si>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</si>
  <si>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</si>
  <si>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</si>
  <si>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</si>
  <si>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</si>
  <si>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</si>
  <si>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</si>
  <si>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</si>
  <si>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</si>
  <si>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</si>
  <si>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</si>
  <si>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</si>
  <si>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</si>
  <si>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</si>
  <si>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</si>
  <si>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</si>
  <si>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</si>
  <si>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</si>
  <si>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</si>
  <si>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</si>
  <si>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</si>
  <si>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</si>
  <si>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</si>
  <si>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</si>
  <si>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</si>
  <si>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</si>
  <si>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</si>
  <si>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</si>
  <si>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</si>
  <si>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</si>
  <si>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</si>
  <si>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</si>
  <si>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</si>
  <si>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</si>
  <si>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</si>
  <si>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</si>
  <si>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</si>
  <si>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</si>
  <si>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</si>
  <si>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</si>
  <si>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</si>
  <si>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</si>
  <si>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</si>
  <si>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</si>
  <si>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</si>
  <si>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</si>
  <si>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</si>
  <si>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</si>
  <si>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</si>
  <si>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</si>
  <si>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</si>
  <si>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</si>
  <si>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</si>
  <si>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</si>
  <si>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</si>
  <si>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</si>
  <si>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</si>
  <si>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</si>
  <si>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</si>
  <si>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</si>
  <si>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</si>
  <si>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</si>
  <si>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</si>
  <si>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</si>
  <si>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</si>
  <si>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</si>
  <si>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</si>
  <si>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</si>
  <si>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</si>
  <si>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</si>
  <si>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</si>
  <si>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</si>
  <si>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</si>
  <si>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</si>
  <si>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</si>
  <si>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</si>
  <si>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</si>
  <si>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</si>
  <si>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</si>
  <si>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</si>
  <si>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</si>
  <si>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</si>
  <si>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</si>
  <si>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</si>
  <si>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</si>
  <si>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</si>
  <si>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</si>
  <si>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</si>
  <si>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</si>
  <si>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</si>
  <si>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</si>
  <si>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</si>
  <si>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</si>
  <si>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</si>
  <si>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</si>
  <si>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</si>
  <si>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</si>
  <si>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</si>
  <si>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</si>
  <si>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</si>
  <si>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</si>
  <si>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</si>
  <si>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</si>
  <si>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</si>
  <si>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</si>
  <si>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</si>
  <si>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</si>
  <si>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</si>
  <si>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</si>
  <si>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</si>
  <si>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</si>
  <si>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</si>
  <si>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</si>
  <si>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</si>
  <si>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</si>
  <si>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</si>
  <si>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</si>
  <si>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</si>
  <si>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</si>
  <si>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</si>
  <si>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</si>
  <si>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</si>
  <si>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</si>
  <si>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</si>
  <si>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</si>
  <si>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</si>
  <si>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</si>
  <si>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</si>
  <si>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</si>
  <si>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</si>
  <si>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</si>
  <si>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</si>
  <si>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</si>
  <si>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</si>
  <si>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</si>
  <si>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</si>
  <si>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</si>
  <si>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</si>
  <si>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</si>
  <si>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</si>
  <si>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</si>
  <si>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</si>
  <si>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</si>
  <si>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</si>
  <si>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</si>
  <si>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</si>
  <si>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</si>
  <si>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</si>
  <si>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</si>
  <si>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</si>
  <si>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</si>
  <si>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</si>
  <si>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</si>
  <si>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</si>
  <si>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</si>
  <si>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</si>
  <si>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</si>
  <si>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</si>
  <si>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</si>
  <si>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</si>
  <si>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</si>
  <si>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</si>
  <si>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</si>
  <si>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</si>
  <si>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</si>
  <si>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</si>
  <si>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</si>
  <si>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</si>
  <si>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</si>
  <si>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</si>
  <si>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</si>
  <si>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</si>
  <si>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</si>
  <si>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</si>
  <si>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</si>
  <si>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</si>
  <si>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</si>
  <si>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</si>
  <si>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</si>
  <si>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</si>
  <si>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</si>
  <si>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</si>
  <si>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</si>
  <si>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</si>
  <si>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</si>
  <si>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</si>
  <si>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</si>
  <si>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</si>
  <si>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</si>
  <si>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</si>
  <si>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</si>
  <si>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</si>
  <si>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</si>
  <si>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</si>
  <si>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</si>
  <si>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</si>
  <si>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</si>
  <si>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</si>
  <si>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</si>
  <si>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</si>
  <si>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</si>
  <si>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</si>
  <si>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</si>
  <si>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</si>
  <si>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</si>
  <si>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</si>
  <si>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</si>
  <si>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</si>
  <si>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</si>
  <si>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</si>
  <si>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</si>
  <si>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</si>
  <si>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</si>
  <si>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</si>
  <si>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</si>
  <si>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</si>
  <si>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</si>
  <si>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</si>
  <si>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</si>
  <si>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</si>
  <si>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</si>
  <si>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</si>
  <si>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</si>
  <si>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</si>
  <si>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</si>
  <si>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</si>
  <si>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</si>
  <si>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</si>
  <si>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</si>
  <si>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</si>
  <si>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</si>
  <si>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</si>
  <si>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</si>
  <si>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</si>
  <si>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</si>
  <si>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</si>
  <si>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</si>
  <si>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</si>
  <si>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</si>
  <si>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</si>
  <si>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</si>
  <si>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</si>
  <si>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</si>
  <si>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</si>
  <si>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</si>
  <si>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</si>
  <si>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</si>
  <si>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</si>
  <si>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</si>
  <si>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</si>
  <si>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</si>
  <si>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</si>
  <si>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</si>
  <si>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</si>
  <si>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</si>
  <si>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</si>
  <si>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</si>
  <si>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</si>
  <si>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</si>
  <si>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</si>
  <si>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</si>
  <si>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</si>
  <si>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</si>
  <si>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</si>
  <si>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</si>
  <si>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</si>
  <si>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</si>
  <si>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</si>
  <si>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</si>
  <si>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</si>
  <si>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</si>
  <si>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</si>
  <si>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</si>
  <si>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</si>
  <si>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</si>
  <si>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</si>
  <si>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</si>
  <si>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</si>
  <si>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</si>
  <si>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</si>
  <si>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</si>
  <si>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</si>
  <si>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</si>
  <si>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</si>
  <si>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</si>
  <si>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</si>
  <si>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</si>
  <si>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</si>
  <si>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</si>
  <si>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</si>
  <si>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</si>
  <si>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</si>
  <si>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</si>
  <si>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</si>
  <si>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</si>
  <si>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</si>
  <si>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</si>
  <si>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</si>
  <si>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</si>
  <si>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</si>
  <si>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</si>
  <si>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</si>
  <si>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</si>
  <si>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</si>
  <si>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</si>
  <si>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</si>
  <si>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</si>
  <si>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</si>
  <si>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</si>
  <si>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</si>
  <si>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</si>
  <si>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</si>
  <si>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</si>
  <si>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</si>
  <si>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</si>
  <si>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</si>
  <si>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</si>
  <si>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</si>
  <si>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</si>
  <si>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</si>
  <si>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</si>
  <si>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</si>
  <si>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</si>
  <si>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</si>
  <si>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</si>
  <si>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</si>
  <si>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</si>
  <si>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</si>
  <si>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</si>
  <si>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</si>
  <si>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</si>
  <si>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</si>
  <si>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</si>
  <si>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</si>
  <si>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</si>
  <si>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</si>
  <si>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</si>
  <si>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</si>
  <si>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</si>
  <si>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</si>
  <si>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</si>
  <si>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</si>
  <si>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</si>
  <si>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</si>
  <si>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</si>
  <si>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</si>
  <si>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</si>
  <si>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</si>
  <si>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</si>
  <si>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</si>
  <si>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</si>
  <si>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</si>
  <si>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</si>
  <si>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</si>
  <si>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</si>
  <si>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</si>
  <si>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</si>
  <si>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</si>
  <si>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</si>
  <si>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</si>
  <si>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</si>
  <si>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</si>
  <si>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</si>
  <si>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</si>
  <si>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</si>
  <si>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</si>
  <si>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</si>
  <si>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</si>
  <si>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</si>
  <si>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</si>
  <si>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</si>
  <si>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</si>
  <si>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</si>
  <si>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</si>
  <si>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</si>
  <si>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</si>
  <si>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</si>
  <si>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</si>
  <si>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</si>
  <si>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</si>
  <si>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</si>
  <si>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</si>
  <si>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</si>
  <si>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</si>
  <si>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</si>
  <si>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</si>
  <si>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</si>
  <si>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</si>
  <si>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</si>
  <si>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</si>
  <si>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</si>
  <si>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</si>
  <si>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</si>
  <si>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</si>
  <si>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</si>
  <si>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</si>
  <si>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</si>
  <si>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</si>
  <si>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</si>
  <si>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</si>
  <si>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</si>
  <si>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</si>
  <si>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</si>
  <si>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</si>
  <si>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</si>
  <si>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</si>
  <si>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</si>
  <si>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</si>
  <si>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</si>
  <si>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</si>
  <si>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</si>
  <si>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</si>
  <si>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</si>
  <si>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</si>
  <si>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</si>
  <si>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</si>
  <si>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</si>
  <si>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</si>
  <si>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</si>
  <si>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</si>
  <si>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</si>
  <si>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</si>
  <si>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</si>
  <si>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</si>
  <si>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</si>
  <si>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</si>
  <si>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</si>
  <si>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</si>
  <si>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</si>
  <si>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</si>
  <si>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</si>
  <si>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</si>
  <si>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</si>
  <si>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</si>
  <si>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</si>
  <si>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</si>
  <si>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</si>
  <si>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</si>
  <si>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</si>
  <si>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</si>
  <si>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</si>
  <si>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</si>
  <si>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</si>
  <si>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</si>
  <si>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</si>
  <si>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</si>
  <si>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</si>
  <si>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</si>
  <si>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</si>
  <si>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</si>
  <si>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</si>
  <si>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</si>
  <si>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</si>
  <si>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</si>
  <si>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</si>
  <si>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</si>
  <si>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</si>
  <si>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</si>
  <si>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</si>
  <si>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</si>
  <si>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</si>
  <si>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</si>
  <si>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</si>
  <si>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</si>
  <si>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</si>
  <si>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</si>
  <si>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</si>
  <si>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</si>
  <si>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</si>
  <si>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</si>
  <si>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</si>
  <si>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</si>
  <si>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</si>
  <si>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</si>
  <si>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</si>
  <si>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</si>
  <si>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</si>
  <si>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</si>
  <si>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</si>
  <si>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</si>
  <si>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</si>
  <si>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</si>
  <si>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</si>
  <si>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</si>
  <si>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</si>
  <si>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</si>
  <si>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</si>
  <si>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</si>
  <si>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</si>
  <si>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</si>
  <si>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</si>
  <si>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</si>
  <si>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</si>
  <si>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</si>
  <si>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</si>
  <si>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</si>
  <si>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</si>
  <si>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</si>
  <si>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</si>
  <si>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</si>
  <si>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</si>
  <si>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</si>
  <si>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</si>
  <si>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</si>
  <si>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</si>
  <si>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</si>
  <si>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</si>
  <si>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</si>
  <si>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</si>
  <si>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</si>
  <si>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</si>
  <si>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</si>
  <si>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</si>
  <si>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</si>
  <si>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</si>
  <si>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</si>
  <si>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</si>
  <si>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</si>
  <si>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</si>
  <si>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</si>
  <si>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</si>
  <si>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</si>
  <si>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</si>
  <si>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</si>
  <si>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</si>
  <si>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</si>
  <si>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</si>
  <si>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</si>
  <si>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</si>
  <si>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</si>
  <si>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</si>
  <si>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</si>
  <si>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</si>
  <si>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</si>
  <si>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</si>
  <si>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</si>
  <si>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</si>
  <si>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</si>
  <si>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</si>
  <si>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</si>
  <si>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</si>
  <si>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</si>
  <si>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</si>
  <si>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</si>
  <si>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</si>
  <si>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</si>
  <si>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</si>
  <si>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</si>
  <si>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</si>
  <si>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</si>
  <si>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</si>
  <si>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</si>
  <si>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</si>
  <si>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</si>
  <si>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</si>
  <si>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</si>
  <si>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</si>
  <si>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</si>
  <si>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</si>
  <si>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</si>
  <si>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</si>
  <si>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</si>
  <si>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</si>
  <si>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</si>
  <si>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</si>
  <si>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</si>
  <si>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</si>
  <si>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</si>
  <si>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</si>
  <si>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</si>
  <si>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</si>
  <si>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OSCAR CUESTA</t>
  </si>
  <si>
    <t>JACOBO LAPRESTA</t>
  </si>
  <si>
    <t>JOSE ANTONIO RODRIGUEZ</t>
  </si>
  <si>
    <t>LUIS CEBRIAN MICO</t>
  </si>
  <si>
    <t>CRISTINA TORRES</t>
  </si>
  <si>
    <t>YOLANDA BAILACH MADERA</t>
  </si>
  <si>
    <t>BORJA RODRIGUEZ</t>
  </si>
  <si>
    <t>1:21</t>
  </si>
  <si>
    <t>0:34</t>
  </si>
  <si>
    <t>6:53</t>
  </si>
  <si>
    <t>7:43</t>
  </si>
  <si>
    <t>2:45</t>
  </si>
  <si>
    <t>3:06</t>
  </si>
  <si>
    <t>2:00</t>
  </si>
  <si>
    <t>Si conseguís afinar los jugadores, daréis un paso bestial hacia delante. Buen trabajo y gracias por comentarlo todo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</si>
</sst>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77734375" style="3" customWidth="1"/>
    <col min="4" max="7" width="7.77734375" style="3" customWidth="1"/>
    <col min="8" max="8" width="12.44140625" style="4" customWidth="1"/>
    <col min="9" max="9" width="11.77734375" style="3" bestFit="1" customWidth="1"/>
    <col min="10" max="13" width="22" style="3" customWidth="1"/>
    <col min="14" max="14" width="41.21875" style="3" bestFit="1" customWidth="1"/>
    <col min="15" max="15" width="13.5546875" hidden="1" customWidth="1"/>
    <col min="16" max="16" width="5.44140625" hidden="1" customWidth="1"/>
    <col min="17" max="17" width="21.21875" style="87" hidden="1" customWidth="1"/>
    <col min="18" max="18" width="2.77734375" hidden="1" customWidth="1"/>
    <col min="19" max="20" width="2.77734375" style="91" hidden="1" customWidth="1"/>
    <col min="21" max="21" width="2.77734375" style="97" hidden="1" customWidth="1"/>
    <col min="22" max="24" width="2.77734375" style="91" hidden="1" customWidth="1"/>
    <col min="25" max="25" width="2.77734375" style="98" hidden="1" customWidth="1"/>
    <col min="26" max="26" width="9.5546875" style="87" hidden="1" customWidth="1"/>
    <col min="27" max="27" width="2.77734375" style="91" hidden="1" customWidth="1"/>
    <col min="28" max="28" width="2.77734375" style="97" hidden="1" customWidth="1"/>
    <col min="29" max="29" width="2.77734375" style="99" hidden="1" customWidth="1"/>
    <col min="30" max="30" width="2.77734375" style="91" hidden="1" customWidth="1"/>
    <col min="31" max="31" width="2.77734375" style="97" hidden="1" customWidth="1"/>
    <col min="32" max="46" width="2.77734375" style="91" hidden="1" customWidth="1"/>
    <col min="47" max="47" width="2.77734375" style="99" hidden="1" customWidth="1"/>
    <col min="48" max="48" width="2.77734375" style="91" hidden="1" customWidth="1"/>
    <col min="49" max="52" width="2.77734375" style="99" hidden="1" customWidth="1"/>
    <col min="53" max="53" width="2.77734375" style="91" hidden="1" customWidth="1"/>
    <col min="54" max="54" width="2.77734375" style="99" hidden="1" customWidth="1"/>
    <col min="55" max="71" width="2.77734375" style="91" hidden="1" customWidth="1"/>
    <col min="72" max="16384" width="2.7773437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23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23_228_PAM_PRS_E2025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228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46042.854166666664</v>
      </c>
      <c r="C3" s="157"/>
      <c r="D3" s="39">
        <v>728</v>
      </c>
      <c r="E3" s="29"/>
      <c r="F3" s="26">
        <f>SUBTOTAL(3,I17:I106)</f>
        <v>7</v>
      </c>
      <c r="G3" s="27">
        <f>IF(OR(D3="",D3=0),"",F3/D3)</f>
        <v>9.6153846153846159E-3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Valencia Basket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743</v>
      </c>
      <c r="L4" s="5"/>
      <c r="M4" s="167" t="s">
        <v>764</v>
      </c>
      <c r="N4" s="168"/>
      <c r="O4" s="2"/>
      <c r="P4" s="2"/>
      <c r="Q4" s="84" t="s">
        <v>175</v>
      </c>
      <c r="R4" s="94">
        <f>(IF(G3="",0,G3))</f>
        <v>9.6153846153846159E-3</v>
      </c>
      <c r="S4" s="61">
        <f>SUM(I13:M13)</f>
        <v>0</v>
      </c>
      <c r="T4" s="78"/>
      <c r="U4" s="61">
        <f>AC18</f>
        <v>3</v>
      </c>
      <c r="V4" s="61">
        <f>+AC22</f>
        <v>4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Paris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0.96153846153846156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4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6.4615384615384617</v>
      </c>
      <c r="N7" s="58"/>
      <c r="O7" s="2"/>
      <c r="P7" s="2"/>
      <c r="Q7" s="86">
        <f>SUM(R5,S5,AC16)</f>
        <v>6.4615384615384617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6.4615384615384617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228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5.5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228</v>
      </c>
      <c r="D17" s="32" t="s">
        <v>757</v>
      </c>
      <c r="E17" s="33">
        <v>1</v>
      </c>
      <c r="F17" s="36">
        <v>21</v>
      </c>
      <c r="G17" s="36">
        <v>11</v>
      </c>
      <c r="H17" s="38" t="str">
        <f>IF(I17="","",$I$14)</f>
        <v>SCOUTING</v>
      </c>
      <c r="I17" s="34">
        <v>150</v>
      </c>
      <c r="J17" s="13" t="s">
        <v>4</v>
      </c>
      <c r="K17" s="13" t="s">
        <v>62</v>
      </c>
      <c r="L17" s="13" t="s">
        <v>6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228</v>
      </c>
      <c r="D18" s="32" t="s">
        <v>758</v>
      </c>
      <c r="E18" s="33">
        <v>1</v>
      </c>
      <c r="F18" s="36">
        <v>24</v>
      </c>
      <c r="G18" s="36">
        <v>16</v>
      </c>
      <c r="H18" s="38" t="str">
        <f t="shared" ref="H18:H81" si="8">IF(I18="","",$I$14)</f>
        <v>SCOUTING</v>
      </c>
      <c r="I18" s="34">
        <v>164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228</v>
      </c>
      <c r="D19" s="32" t="s">
        <v>759</v>
      </c>
      <c r="E19" s="33">
        <v>2</v>
      </c>
      <c r="F19" s="36">
        <v>33</v>
      </c>
      <c r="G19" s="36">
        <v>21</v>
      </c>
      <c r="H19" s="38" t="str">
        <f t="shared" si="8"/>
        <v>SCOUTING</v>
      </c>
      <c r="I19" s="34">
        <v>223</v>
      </c>
      <c r="J19" s="13" t="s">
        <v>4</v>
      </c>
      <c r="K19" s="13" t="s">
        <v>62</v>
      </c>
      <c r="L19" s="13" t="s">
        <v>6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228</v>
      </c>
      <c r="D20" s="32" t="s">
        <v>760</v>
      </c>
      <c r="E20" s="33">
        <v>3</v>
      </c>
      <c r="F20" s="36">
        <v>58</v>
      </c>
      <c r="G20" s="36">
        <v>42</v>
      </c>
      <c r="H20" s="38" t="str">
        <f t="shared" si="8"/>
        <v>SCOUTING</v>
      </c>
      <c r="I20" s="34">
        <v>379</v>
      </c>
      <c r="J20" s="13" t="s">
        <v>4</v>
      </c>
      <c r="K20" s="13" t="s">
        <v>62</v>
      </c>
      <c r="L20" s="13" t="s">
        <v>6</v>
      </c>
      <c r="M20" s="13" t="s">
        <v>10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E2025</v>
      </c>
      <c r="C21" s="31">
        <f t="shared" si="3"/>
        <v>228</v>
      </c>
      <c r="D21" s="32" t="s">
        <v>761</v>
      </c>
      <c r="E21" s="33">
        <v>3</v>
      </c>
      <c r="F21" s="36">
        <v>65</v>
      </c>
      <c r="G21" s="36">
        <v>49</v>
      </c>
      <c r="H21" s="38" t="str">
        <f t="shared" si="8"/>
        <v>SCOUTING</v>
      </c>
      <c r="I21" s="34">
        <v>487</v>
      </c>
      <c r="J21" s="13" t="s">
        <v>4</v>
      </c>
      <c r="K21" s="13" t="s">
        <v>63</v>
      </c>
      <c r="L21" s="13" t="s">
        <v>5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>E2025</v>
      </c>
      <c r="C22" s="31">
        <f t="shared" si="3"/>
        <v>228</v>
      </c>
      <c r="D22" s="32" t="s">
        <v>762</v>
      </c>
      <c r="E22" s="33">
        <v>4</v>
      </c>
      <c r="F22" s="36">
        <v>88</v>
      </c>
      <c r="G22" s="36">
        <v>74</v>
      </c>
      <c r="H22" s="38" t="str">
        <f t="shared" si="8"/>
        <v>SCOUTING</v>
      </c>
      <c r="I22" s="34">
        <v>682</v>
      </c>
      <c r="J22" s="13" t="s">
        <v>4</v>
      </c>
      <c r="K22" s="13" t="s">
        <v>63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4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>E2025</v>
      </c>
      <c r="C23" s="31">
        <f t="shared" si="3"/>
        <v>228</v>
      </c>
      <c r="D23" s="32" t="s">
        <v>763</v>
      </c>
      <c r="E23" s="33">
        <v>4</v>
      </c>
      <c r="F23" s="36">
        <v>90</v>
      </c>
      <c r="G23" s="36">
        <v>80</v>
      </c>
      <c r="H23" s="38" t="str">
        <f t="shared" si="8"/>
        <v>SCOUTING</v>
      </c>
      <c r="I23" s="34">
        <v>704</v>
      </c>
      <c r="J23" s="13" t="s">
        <v>4</v>
      </c>
      <c r="K23" s="13" t="s">
        <v>62</v>
      </c>
      <c r="L23" s="13" t="s">
        <v>6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77734375" customWidth="1"/>
    <col min="2" max="2" width="3.7773437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77734375" bestFit="1" customWidth="1"/>
    <col min="3" max="3" width="6.21875" bestFit="1" customWidth="1"/>
    <col min="4" max="4" width="3.44140625" bestFit="1" customWidth="1"/>
    <col min="5" max="5" width="15.21875" bestFit="1" customWidth="1"/>
    <col min="6" max="7" width="14.21875" bestFit="1" customWidth="1"/>
    <col min="8" max="8" width="14.77734375" bestFit="1" customWidth="1"/>
    <col min="9" max="9" width="20.777343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21875" style="43" customWidth="1"/>
    <col min="2" max="2" width="13.77734375" style="43" bestFit="1" customWidth="1"/>
    <col min="3" max="3" width="24.777343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777343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REPORT_E2025228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"E2025228"</v>
      </c>
      <c r="F3" s="45" t="str">
        <f t="shared" ref="F3:F16" si="0">""""&amp;B3&amp;"""" &amp; " : " &amp;C3&amp;","</f>
        <v>"name" : "E2025228",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"E228"</v>
      </c>
      <c r="F4" s="45" t="str">
        <f t="shared" si="0"/>
        <v>"cod" : "E228",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228</v>
      </c>
      <c r="F6" s="45" t="str">
        <f t="shared" si="0"/>
        <v>"number" : 228,</v>
      </c>
    </row>
    <row r="7" spans="2:6" x14ac:dyDescent="0.25">
      <c r="B7" s="43" t="s">
        <v>116</v>
      </c>
      <c r="C7" s="43" t="str">
        <f ca="1">""""&amp;TEXT('SCOUT &amp; LOGISTICS'!B3,"dd/mm/aaaa")&amp;""""</f>
        <v>"20/01/2026"</v>
      </c>
      <c r="F7" s="45" t="str">
        <f t="shared" ca="1" si="0"/>
        <v>"date" : "20/01/2026",</v>
      </c>
    </row>
    <row r="8" spans="2:6" x14ac:dyDescent="0.25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5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"JACOBO LAPRESTA"</v>
      </c>
      <c r="F10" s="45" t="str">
        <f t="shared" si="0"/>
        <v>"Data_entry" : "JACOBO LAPRESTA",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"JOSE ANTONIO RODRIGUEZ"</v>
      </c>
      <c r="F11" s="45" t="str">
        <f t="shared" si="0"/>
        <v>"Caller_1" : "JOSE ANTONIO RODRIGUEZ",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"LUIS CEBRIAN MICO"</v>
      </c>
      <c r="F12" s="45" t="str">
        <f t="shared" si="0"/>
        <v>"Caller_2" : "LUIS CEBRIAN MICO",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"CRISTINA TORRES"</v>
      </c>
      <c r="F13" s="45" t="str">
        <f t="shared" si="0"/>
        <v>"Timerkeeper" : "CRISTINA TORRES",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"YOLANDA BAILACH MADERA"</v>
      </c>
      <c r="F14" s="45" t="str">
        <f t="shared" si="0"/>
        <v>"Shotclock" : "YOLANDA BAILACH MADERA",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"BORJA RODRIGUEZ"</v>
      </c>
      <c r="F15" s="45" t="str">
        <f t="shared" si="0"/>
        <v>"IRS" : "BORJA RODRIGUEZ",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728</v>
      </c>
      <c r="F25" s="45" t="str">
        <f t="shared" ref="F25:F48" si="1">""""&amp;C25&amp;"""" &amp; " : " &amp;D25&amp;","</f>
        <v>"total_actions" : 728,</v>
      </c>
    </row>
    <row r="26" spans="2:6" x14ac:dyDescent="0.25">
      <c r="C26" s="43" t="s">
        <v>132</v>
      </c>
      <c r="D26" s="43">
        <f>'SCOUT &amp; LOGISTICS'!F3</f>
        <v>7</v>
      </c>
      <c r="F26" s="45" t="str">
        <f t="shared" si="1"/>
        <v>"total_correcions" : 7,</v>
      </c>
    </row>
    <row r="27" spans="2:6" x14ac:dyDescent="0.25">
      <c r="C27" s="43" t="s">
        <v>133</v>
      </c>
      <c r="D27" s="43" t="str">
        <f>""""&amp;IF(OR(D25="",D25=0),"",TEXT(D26/D25,"0,0%"))&amp;""""</f>
        <v>"1,0%"</v>
      </c>
      <c r="F27" s="45" t="str">
        <f t="shared" si="1"/>
        <v>"%_corrections" : "1,0%",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"Si conseguís afinar los jugadores, daréis un paso bestial hacia delante. Buen trabajo y gracias por comentarlo todo"</v>
      </c>
      <c r="F51" s="45" t="str">
        <f>""""&amp;B51&amp;"""" &amp; " : " &amp;C51&amp;","</f>
        <v>"comments" : "Si conseguís afinar los jugadores, daréis un paso bestial hacia delante. Buen trabajo y gracias por comentarlo todo",</v>
      </c>
    </row>
    <row r="52" spans="2:6" x14ac:dyDescent="0.25">
      <c r="B52" s="43" t="s">
        <v>153</v>
      </c>
      <c r="C52" s="43" t="str">
        <f>TEXT('SCOUT &amp; LOGISTICS'!F1,"0,0")</f>
        <v>23_228_PAM_PRS_E2025</v>
      </c>
      <c r="F52" s="45" t="str">
        <f>""""&amp;B52&amp;"""" &amp; " : " &amp;C52</f>
        <v>"result" : 23_228_PAM_PRS_E2025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21875" style="47" customWidth="1"/>
    <col min="2" max="2" width="2.77734375" style="47" customWidth="1"/>
    <col min="3" max="31" width="3.218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E228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20/01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Valencia Basket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Paris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JACOBO LAPRESTA</v>
      </c>
      <c r="C8" s="206"/>
      <c r="D8" s="206"/>
      <c r="E8" s="206"/>
      <c r="F8" s="206"/>
      <c r="G8" s="206" t="str">
        <f>IF('SCOUT &amp; LOGISTICS'!D7="","",'SCOUT &amp; LOGISTICS'!D7)</f>
        <v>JOSE ANTONIO RODRIGUEZ</v>
      </c>
      <c r="H8" s="206"/>
      <c r="I8" s="206"/>
      <c r="J8" s="206"/>
      <c r="K8" s="206"/>
      <c r="L8" s="206" t="str">
        <f>IF('SCOUT &amp; LOGISTICS'!D8="","",'SCOUT &amp; LOGISTICS'!D8)</f>
        <v>LUIS CEBRIAN MICO</v>
      </c>
      <c r="M8" s="206"/>
      <c r="N8" s="206"/>
      <c r="O8" s="206"/>
      <c r="P8" s="206"/>
      <c r="Q8" s="206" t="str">
        <f>IF('SCOUT &amp; LOGISTICS'!D9="","",'SCOUT &amp; LOGISTICS'!D9)</f>
        <v>CRISTINA TORRES</v>
      </c>
      <c r="R8" s="206"/>
      <c r="S8" s="206"/>
      <c r="T8" s="206"/>
      <c r="U8" s="206"/>
      <c r="V8" s="206" t="str">
        <f>IF('SCOUT &amp; LOGISTICS'!D10="","",'SCOUT &amp; LOGISTICS'!D10)</f>
        <v>YOLANDA BAILACH MADERA</v>
      </c>
      <c r="W8" s="206"/>
      <c r="X8" s="206"/>
      <c r="Y8" s="206"/>
      <c r="Z8" s="206"/>
      <c r="AA8" s="206" t="str">
        <f>IF('SCOUT &amp; LOGISTICS'!D11="","",'SCOUT &amp; LOGISTICS'!D11)</f>
        <v>BORJA RODRIGUEZ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728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7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9.6153846153846159E-3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4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7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4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Si conseguís afinar los jugadores, daréis un paso bestial hacia delante. Buen trabajo y gracias por comentarlo todo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6.4615384615384617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6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DB339A-B9D3-4EC3-A541-4A17197C3B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2026-01-20T21:53:24Z</cp:lastPrinted>
  <dcterms:created xsi:type="dcterms:W3CDTF">2023-09-19T19:50:35Z</dcterms:created>
  <dcterms:modified xsi:type="dcterms:W3CDTF">2026-01-20T21:53:38Z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