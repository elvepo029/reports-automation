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51" documentId="8_{210F6964-2835-4837-AEA8-B0C7A291E828}" xr6:coauthVersionLast="47" xr6:coauthVersionMax="47" xr10:uidLastSave="{1FD1BDDD-92D1-40B9-B933-F0635F630DA1}"/>
  <bookViews>
    <workbookView xWindow="-28920" yWindow="675"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<sst xmlns="http://schemas.openxmlformats.org/spreadsheetml/2006/main" count="3265" uniqueCount="763">
  <si>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</si>
  <si>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</si>
  <si>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</si>
  <si>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</si>
  <si>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</si>
  <si>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</si>
  <si>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</si>
  <si>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</si>
  <si>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</si>
  <si>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</si>
  <si>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</si>
  <si>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</si>
  <si>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</si>
  <si>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</si>
  <si>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</si>
  <si>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</si>
  <si>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</si>
  <si>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</si>
  <si>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</si>
  <si>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</si>
  <si>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</si>
  <si>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</si>
  <si>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</si>
  <si>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</si>
  <si>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</si>
  <si>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</si>
  <si>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</si>
  <si>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</si>
  <si>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</si>
  <si>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</si>
  <si>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</si>
  <si>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</si>
  <si>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</si>
  <si>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</si>
  <si>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</si>
  <si>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</si>
  <si>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</si>
  <si>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</si>
  <si>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</si>
  <si>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</si>
  <si>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</si>
  <si>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</si>
  <si>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</si>
  <si>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</si>
  <si>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</si>
  <si>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</si>
  <si>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</si>
  <si>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</si>
  <si>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</si>
  <si>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</si>
  <si>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</si>
  <si>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</si>
  <si>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</si>
  <si>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</si>
  <si>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</si>
  <si>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</si>
  <si>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</si>
  <si>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</si>
  <si>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</si>
  <si>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</si>
  <si>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</si>
  <si>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</si>
  <si>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</si>
  <si>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</si>
  <si>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</si>
  <si>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</si>
  <si>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</si>
  <si>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</si>
  <si>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</si>
  <si>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</si>
  <si>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</si>
  <si>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</si>
  <si>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</si>
  <si>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</si>
  <si>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</si>
  <si>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</si>
  <si>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</si>
  <si>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</si>
  <si>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</si>
  <si>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</si>
  <si>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</si>
  <si>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</si>
  <si>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</si>
  <si>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</si>
  <si>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</si>
  <si>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</si>
  <si>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</si>
  <si>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</si>
  <si>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</si>
  <si>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</si>
  <si>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</si>
  <si>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</si>
  <si>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</si>
  <si>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</si>
  <si>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</si>
  <si>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</si>
  <si>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</si>
  <si>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</si>
  <si>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</si>
  <si>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</si>
  <si>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</si>
  <si>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</si>
  <si>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</si>
  <si>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</si>
  <si>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</si>
  <si>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</si>
  <si>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</si>
  <si>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</si>
  <si>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</si>
  <si>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</si>
  <si>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</si>
  <si>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</si>
  <si>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</si>
  <si>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</si>
  <si>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</si>
  <si>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</si>
  <si>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</si>
  <si>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</si>
  <si>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</si>
  <si>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</si>
  <si>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</si>
  <si>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</si>
  <si>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</si>
  <si>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</si>
  <si>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</si>
  <si>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</si>
  <si>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</si>
  <si>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</si>
  <si>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</si>
  <si>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</si>
  <si>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</si>
  <si>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</si>
  <si>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</si>
  <si>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</si>
  <si>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</si>
  <si>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</si>
  <si>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</si>
  <si>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</si>
  <si>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</si>
  <si>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</si>
  <si>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</si>
  <si>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</si>
  <si>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</si>
  <si>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</si>
  <si>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</si>
  <si>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</si>
  <si>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</si>
  <si>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</si>
  <si>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</si>
  <si>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</si>
  <si>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</si>
  <si>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</si>
  <si>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</si>
  <si>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</si>
  <si>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</si>
  <si>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</si>
  <si>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</si>
  <si>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</si>
  <si>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</si>
  <si>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</si>
  <si>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</si>
  <si>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</si>
  <si>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</si>
  <si>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</si>
  <si>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</si>
  <si>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</si>
  <si>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</si>
  <si>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</si>
  <si>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</si>
  <si>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</si>
  <si>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</si>
  <si>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</si>
  <si>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</si>
  <si>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</si>
  <si>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</si>
  <si>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</si>
  <si>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</si>
  <si>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</si>
  <si>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</si>
  <si>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</si>
  <si>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</si>
  <si>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</si>
  <si>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</si>
  <si>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</si>
  <si>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</si>
  <si>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</si>
  <si>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</si>
  <si>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</si>
  <si>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</si>
  <si>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</si>
  <si>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</si>
  <si>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</si>
  <si>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</si>
  <si>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</si>
  <si>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</si>
  <si>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</si>
  <si>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</si>
  <si>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</si>
  <si>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</si>
  <si>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</si>
  <si>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</si>
  <si>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</si>
  <si>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</si>
  <si>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</si>
  <si>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</si>
  <si>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</si>
  <si>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</si>
  <si>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</si>
  <si>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</si>
  <si>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</si>
  <si>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</si>
  <si>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</si>
  <si>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</si>
  <si>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</si>
  <si>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</si>
  <si>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</si>
  <si>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</si>
  <si>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</si>
  <si>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</si>
  <si>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</si>
  <si>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</si>
  <si>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</si>
  <si>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</si>
  <si>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</si>
  <si>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</si>
  <si>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</si>
  <si>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</si>
  <si>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</si>
  <si>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</si>
  <si>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</si>
  <si>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</si>
  <si>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</si>
  <si>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</si>
  <si>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</si>
  <si>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</si>
  <si>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</si>
  <si>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</si>
  <si>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</si>
  <si>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</si>
  <si>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</si>
  <si>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</si>
  <si>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</si>
  <si>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</si>
  <si>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</si>
  <si>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</si>
  <si>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</si>
  <si>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</si>
  <si>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</si>
  <si>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</si>
  <si>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</si>
  <si>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</si>
  <si>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</si>
  <si>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</si>
  <si>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</si>
  <si>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</si>
  <si>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</si>
  <si>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</si>
  <si>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</si>
  <si>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</si>
  <si>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</si>
  <si>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</si>
  <si>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</si>
  <si>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</si>
  <si>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</si>
  <si>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</si>
  <si>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</si>
  <si>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</si>
  <si>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</si>
  <si>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</si>
  <si>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</si>
  <si>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</si>
  <si>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</si>
  <si>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</si>
  <si>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</si>
  <si>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</si>
  <si>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</si>
  <si>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</si>
  <si>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</si>
  <si>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</si>
  <si>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</si>
  <si>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</si>
  <si>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</si>
  <si>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</si>
  <si>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</si>
  <si>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</si>
  <si>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</si>
  <si>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</si>
  <si>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</si>
  <si>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</si>
  <si>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</si>
  <si>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</si>
  <si>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</si>
  <si>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</si>
  <si>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</si>
  <si>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</si>
  <si>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</si>
  <si>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</si>
  <si>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</si>
  <si>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</si>
  <si>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</si>
  <si>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</si>
  <si>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</si>
  <si>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</si>
  <si>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</si>
  <si>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</si>
  <si>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</si>
  <si>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</si>
  <si>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</si>
  <si>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</si>
  <si>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</si>
  <si>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</si>
  <si>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</si>
  <si>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</si>
  <si>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</si>
  <si>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</si>
  <si>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</si>
  <si>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</si>
  <si>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</si>
  <si>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</si>
  <si>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</si>
  <si>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</si>
  <si>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</si>
  <si>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</si>
  <si>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</si>
  <si>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</si>
  <si>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</si>
  <si>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</si>
  <si>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</si>
  <si>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</si>
  <si>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</si>
  <si>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</si>
  <si>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</si>
  <si>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</si>
  <si>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</si>
  <si>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</si>
  <si>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</si>
  <si>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</si>
  <si>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</si>
  <si>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</si>
  <si>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</si>
  <si>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</si>
  <si>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</si>
  <si>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</si>
  <si>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</si>
  <si>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</si>
  <si>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</si>
  <si>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</si>
  <si>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</si>
  <si>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</si>
  <si>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</si>
  <si>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</si>
  <si>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</si>
  <si>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</si>
  <si>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</si>
  <si>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</si>
  <si>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</si>
  <si>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</si>
  <si>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</si>
  <si>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</si>
  <si>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</si>
  <si>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</si>
  <si>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</si>
  <si>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</si>
  <si>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</si>
  <si>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</si>
  <si>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</si>
  <si>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</si>
  <si>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</si>
  <si>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</si>
  <si>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</si>
  <si>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</si>
  <si>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</si>
  <si>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</si>
  <si>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</si>
  <si>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</si>
  <si>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</si>
  <si>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</si>
  <si>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</si>
  <si>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</si>
  <si>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</si>
  <si>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</si>
  <si>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</si>
  <si>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</si>
  <si>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</si>
  <si>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</si>
  <si>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</si>
  <si>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</si>
  <si>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</si>
  <si>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</si>
  <si>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</si>
  <si>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</si>
  <si>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</si>
  <si>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</si>
  <si>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</si>
  <si>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</si>
  <si>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</si>
  <si>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</si>
  <si>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</si>
  <si>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</si>
  <si>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</si>
  <si>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</si>
  <si>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</si>
  <si>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</si>
  <si>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</si>
  <si>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</si>
  <si>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</si>
  <si>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</si>
  <si>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</si>
  <si>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</si>
  <si>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</si>
  <si>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</si>
  <si>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</si>
  <si>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</si>
  <si>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</si>
  <si>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</si>
  <si>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</si>
  <si>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</si>
  <si>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</si>
  <si>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</si>
  <si>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</si>
  <si>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</si>
  <si>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</si>
  <si>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</si>
  <si>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</si>
  <si>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</si>
  <si>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</si>
  <si>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</si>
  <si>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</si>
  <si>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</si>
  <si>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</si>
  <si>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</si>
  <si>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</si>
  <si>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</si>
  <si>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</si>
  <si>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</si>
  <si>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</si>
  <si>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</si>
  <si>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</si>
  <si>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</si>
  <si>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</si>
  <si>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</si>
  <si>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</si>
  <si>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</si>
  <si>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</si>
  <si>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</si>
  <si>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</si>
  <si>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</si>
  <si>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</si>
  <si>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</si>
  <si>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</si>
  <si>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</si>
  <si>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</si>
  <si>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</si>
  <si>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</si>
  <si>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</si>
  <si>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</si>
  <si>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</si>
  <si>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</si>
  <si>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</si>
  <si>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</si>
  <si>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</si>
  <si>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</si>
  <si>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</si>
  <si>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</si>
  <si>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</si>
  <si>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</si>
  <si>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</si>
  <si>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</si>
  <si>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</si>
  <si>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</si>
  <si>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</si>
  <si>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</si>
  <si>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</si>
  <si>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</si>
  <si>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</si>
  <si>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</si>
  <si>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</si>
  <si>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</si>
  <si>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</si>
  <si>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</si>
  <si>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</si>
  <si>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</si>
  <si>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</si>
  <si>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</si>
  <si>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</si>
  <si>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</si>
  <si>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</si>
  <si>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</si>
  <si>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</si>
  <si>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</si>
  <si>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</si>
  <si>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</si>
  <si>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</si>
  <si>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</si>
  <si>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</si>
  <si>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</si>
  <si>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</si>
  <si>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</si>
  <si>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</si>
  <si>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</si>
  <si>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</si>
  <si>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</si>
  <si>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</si>
  <si>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</si>
  <si>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</si>
  <si>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</si>
  <si>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</si>
  <si>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</si>
  <si>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</si>
  <si>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</si>
  <si>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</si>
  <si>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</si>
  <si>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</si>
  <si>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</si>
  <si>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</si>
  <si>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</si>
  <si>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</si>
  <si>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</si>
  <si>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</si>
  <si>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</si>
  <si>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</si>
  <si>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</si>
  <si>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</si>
  <si>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</si>
  <si>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</si>
  <si>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</si>
  <si>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</si>
  <si>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</si>
  <si>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</si>
  <si>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</si>
  <si>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</si>
  <si>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</si>
  <si>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</si>
  <si>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</si>
  <si>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</si>
  <si>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</si>
  <si>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</si>
  <si>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</si>
  <si>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</si>
  <si>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</si>
  <si>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</si>
  <si>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</si>
  <si>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</si>
  <si>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</si>
  <si>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</si>
  <si>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</si>
  <si>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</si>
  <si>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</si>
  <si>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</si>
  <si>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</si>
  <si>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</si>
  <si>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</si>
  <si>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</si>
  <si>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</si>
  <si>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</si>
  <si>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</si>
  <si>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</si>
  <si>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</si>
  <si>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</si>
  <si>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</si>
  <si>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</si>
  <si>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</si>
  <si>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</si>
  <si>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</si>
  <si>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</si>
  <si>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</si>
  <si>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</si>
  <si>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</si>
  <si>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</si>
  <si>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</si>
  <si>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</si>
  <si>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</si>
  <si>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</si>
  <si>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</si>
  <si>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</si>
  <si>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</si>
  <si>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</si>
  <si>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</si>
  <si>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</si>
  <si>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</si>
  <si>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</si>
  <si>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</si>
  <si>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</si>
  <si>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</si>
  <si>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</si>
  <si>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</si>
  <si>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</si>
  <si>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</si>
  <si>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</si>
  <si>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</si>
  <si>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</si>
  <si>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</si>
  <si>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</si>
  <si>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</si>
  <si>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</si>
  <si>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</si>
  <si>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</si>
  <si>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</si>
  <si>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</si>
  <si>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</si>
  <si>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</si>
  <si>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</si>
  <si>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</si>
  <si>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</si>
  <si>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</si>
  <si>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</si>
  <si>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</si>
  <si>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</si>
  <si>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</si>
  <si>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</si>
  <si>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</si>
  <si>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</si>
  <si>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</si>
  <si>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</si>
  <si>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</si>
  <si>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</si>
  <si>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</si>
  <si>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</si>
  <si>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</si>
  <si>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</si>
  <si>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</si>
  <si>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</si>
  <si>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</si>
  <si>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</si>
  <si>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</si>
  <si>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</si>
  <si>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</si>
  <si>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</si>
  <si>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</si>
  <si>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</si>
  <si>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</si>
  <si>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</si>
  <si>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</si>
  <si>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</si>
  <si>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</si>
  <si>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</si>
  <si>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</si>
  <si>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</si>
  <si>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</si>
  <si>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</si>
  <si>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</si>
  <si>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</si>
  <si>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</si>
  <si>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</si>
  <si>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</si>
  <si>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</si>
  <si>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</si>
  <si>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</si>
  <si>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</si>
  <si>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</si>
  <si>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</si>
  <si>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</si>
  <si>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</si>
  <si>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</si>
  <si>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</si>
  <si>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</si>
  <si>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</si>
  <si>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</si>
  <si>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</si>
  <si>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</si>
  <si>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</si>
  <si>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</si>
  <si>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</si>
  <si>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</si>
  <si>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</si>
  <si>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</si>
  <si>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</si>
  <si>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</si>
  <si>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</si>
  <si>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</si>
  <si>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</si>
  <si>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</si>
  <si>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</si>
  <si>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</si>
  <si>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</si>
  <si>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</si>
  <si>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</si>
  <si>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</si>
  <si>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</si>
  <si>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</si>
  <si>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</si>
  <si>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</si>
  <si>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</si>
  <si>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</si>
  <si>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</si>
  <si>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</si>
  <si>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</si>
  <si>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</si>
  <si>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</si>
  <si>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</si>
  <si>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</si>
  <si>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</si>
  <si>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</si>
  <si>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</si>
  <si>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</si>
  <si>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</si>
  <si>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</si>
  <si>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</si>
  <si>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</si>
  <si>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</si>
  <si>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</si>
  <si>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</si>
  <si>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</si>
  <si>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</si>
  <si>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</si>
  <si>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</si>
  <si>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</si>
  <si>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</si>
  <si>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</si>
  <si>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</si>
  <si>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</si>
  <si>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</si>
  <si>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</si>
  <si>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</si>
  <si>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</si>
  <si>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</si>
  <si>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</si>
  <si>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</si>
  <si>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</si>
  <si>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</si>
  <si>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</si>
  <si>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</si>
  <si>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</si>
  <si>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</si>
  <si>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</si>
  <si>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</si>
  <si>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</si>
  <si>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</si>
  <si>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</si>
  <si>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</si>
  <si>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</si>
  <si>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</si>
  <si>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</si>
  <si>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</si>
  <si>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</si>
  <si>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</si>
  <si>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</si>
  <si>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</si>
  <si>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</si>
  <si>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</si>
  <si>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</si>
  <si>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</si>
  <si>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</si>
  <si>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</si>
  <si>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</si>
  <si>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</si>
  <si>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</si>
  <si>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</si>
  <si>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</si>
  <si>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</si>
  <si>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ORIOL GARCIA</t>
  </si>
  <si>
    <t>STEPHANE DURIEUX</t>
  </si>
  <si>
    <t>NT BOITON</t>
  </si>
  <si>
    <t>OLIVIER JAUFFRES</t>
  </si>
  <si>
    <t>CEDRIC LAURANCY</t>
  </si>
  <si>
    <t>HUGO MARTIN</t>
  </si>
  <si>
    <t>07:33</t>
  </si>
  <si>
    <t>04:45</t>
  </si>
  <si>
    <t>08:51</t>
  </si>
  <si>
    <t>04:26</t>
  </si>
  <si>
    <t>YOHAN STROBEL</t>
  </si>
  <si>
    <t>Very good procedures and communication during whole game. Only to comment that don't wait your LGM to warn you about testing backup PC. Good scouting with few criteria corrections difficicult to detect on court. Very good job!</t>
  </si>
  <si>
    <t>C:\Users\oriol.garcia\OneDrive - EUROLEAGUE\Documents\Season 25-26\Reports\Euroleague\Asvel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</si>
</sst>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26" sqref="N26"/>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23</v>
      </c>
      <c r="D1" s="124" t="s">
        <v>749</v>
      </c>
      <c r="E1" s="125">
        <v>2025</v>
      </c>
      <c r="F1" s="120" t="str">
        <f>TEXT(C1,"00") &amp; "_" &amp; TEXT(C2,"000")&amp; "_" &amp; H4 &amp; "_" &amp; H5 &amp; "_" &amp; B2</f>
        <v>23_229_ASV_ZAL_E2025</v>
      </c>
      <c r="G1" s="5"/>
      <c r="H1" s="5"/>
      <c r="I1" s="5"/>
      <c r="J1" s="8" t="s">
        <v>707</v>
      </c>
      <c r="K1" s="121" t="s">
        <v>742</v>
      </c>
      <c r="L1" s="121"/>
      <c r="M1" s="122" t="s">
        <v>239</v>
      </c>
      <c r="N1" s="121" t="s">
        <v>762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229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46042.833333333336</v>
      </c>
      <c r="C3" s="157"/>
      <c r="D3" s="39">
        <v>591</v>
      </c>
      <c r="E3" s="29"/>
      <c r="F3" s="26">
        <f>SUBTOTAL(3,I17:I106)</f>
        <v>4</v>
      </c>
      <c r="G3" s="27">
        <f>IF(OR(D3="",D3=0),"",F3/D3)</f>
        <v>6.7681895093062603E-3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LDLC ASVEL Villeurbanne</v>
      </c>
      <c r="E4" s="161"/>
      <c r="F4" s="161"/>
      <c r="G4" s="162"/>
      <c r="H4" s="118" t="str">
        <f>IF(ISERROR(VLOOKUP($B$2&amp;TEXT($C$2,"000"),GAMES!$A$3:$I$562,6,FALSE)),"LOC",VLOOKUP($B$2&amp;TEXT($C$2,"000"),GAMES!$A$3:$I$562,6,FALSE))</f>
        <v>ASV</v>
      </c>
      <c r="I4" s="5"/>
      <c r="J4" s="119" t="s">
        <v>714</v>
      </c>
      <c r="K4" s="54" t="s">
        <v>743</v>
      </c>
      <c r="L4" s="5"/>
      <c r="M4" s="167" t="s">
        <v>761</v>
      </c>
      <c r="N4" s="168"/>
      <c r="O4" s="2"/>
      <c r="P4" s="2"/>
      <c r="Q4" s="84" t="s">
        <v>175</v>
      </c>
      <c r="R4" s="94">
        <f>(IF(G3="",0,G3))</f>
        <v>6.7681895093062603E-3</v>
      </c>
      <c r="S4" s="61">
        <f>SUM(I13:M13)</f>
        <v>0</v>
      </c>
      <c r="T4" s="78"/>
      <c r="U4" s="61">
        <f>AC18</f>
        <v>3</v>
      </c>
      <c r="V4" s="61">
        <f>+AC22</f>
        <v>1</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Zalgiris Kaunas</v>
      </c>
      <c r="E5" s="174"/>
      <c r="F5" s="174"/>
      <c r="G5" s="175"/>
      <c r="H5" s="118" t="str">
        <f>IF(ISERROR(VLOOKUP($B$2&amp;TEXT($C$2,"000"),GAMES!$A$3:$I$562,7,FALSE)),"VIS",VLOOKUP($B$2&amp;TEXT($C$2,"000"),GAMES!$A$3:$I$562,7,FALSE))</f>
        <v>ZAL</v>
      </c>
      <c r="I5" s="5"/>
      <c r="J5" s="5"/>
      <c r="K5" s="5"/>
      <c r="L5" s="5"/>
      <c r="M5" s="169"/>
      <c r="N5" s="170"/>
      <c r="O5" s="2"/>
      <c r="P5" s="2"/>
      <c r="Q5" s="89" t="s">
        <v>174</v>
      </c>
      <c r="R5" s="94">
        <f>R4*R3</f>
        <v>0.67681895093062605</v>
      </c>
      <c r="S5" s="70">
        <f t="shared" ref="S5" si="0">S4*S3</f>
        <v>0</v>
      </c>
      <c r="T5" s="92"/>
      <c r="U5" s="70">
        <f t="shared" ref="U5:AG5" si="1">U4*U3</f>
        <v>1.5</v>
      </c>
      <c r="V5" s="70">
        <f t="shared" si="1"/>
        <v>1</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3.1768189509306262</v>
      </c>
      <c r="N7" s="58"/>
      <c r="O7" s="2"/>
      <c r="P7" s="2"/>
      <c r="Q7" s="86">
        <f>SUM(R5,S5,AC16)</f>
        <v>3.1768189509306262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3.1768189509306262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760</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229</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4</v>
      </c>
      <c r="J15" s="24">
        <f>SUBTOTAL(3,J17:J106)</f>
        <v>4</v>
      </c>
      <c r="K15" s="24">
        <f>SUBTOTAL(3,K17:K106)</f>
        <v>4</v>
      </c>
      <c r="L15" s="24">
        <f>SUBTOTAL(3,L17:L106)</f>
        <v>4</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4</v>
      </c>
      <c r="Z16" s="90" t="s">
        <v>110</v>
      </c>
      <c r="AA16" s="75">
        <f>SUM(AA17:AA24)</f>
        <v>4</v>
      </c>
      <c r="AB16" s="76" t="s">
        <v>54</v>
      </c>
      <c r="AC16" s="75">
        <f>SUM(AC17*AD17,AC18*AD18,AC19*AD19,AC20*AD20,AC21*AD21,AC22*AD22,AC23*AD23,AC24*AD24,AC25*AD25,AC26*AD26,AC27*AD27,AC28*AD28,AC29*AD29,AC30*AD30,AC30*AD30,AC31*AD31,AC32*AD32,AC33*AD33,AC34*AD34,AC35*AD35,AC36*AD36)</f>
        <v>2.5</v>
      </c>
      <c r="AD16" s="75">
        <f>SUM(AD17:AD24)</f>
        <v>45</v>
      </c>
      <c r="AE16" s="76" t="s">
        <v>42</v>
      </c>
      <c r="AF16" s="75">
        <f>SUM(AF17:AF24)</f>
        <v>0</v>
      </c>
      <c r="AG16" s="75">
        <f>SUM(AG17:AG21)</f>
        <v>4</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229</v>
      </c>
      <c r="D17" s="32" t="s">
        <v>756</v>
      </c>
      <c r="E17" s="33">
        <v>1</v>
      </c>
      <c r="F17" s="36">
        <v>0</v>
      </c>
      <c r="G17" s="36">
        <v>11</v>
      </c>
      <c r="H17" s="38" t="str">
        <f>IF(I17="","",$I$14)</f>
        <v>SCOUTING</v>
      </c>
      <c r="I17" s="34">
        <v>44</v>
      </c>
      <c r="J17" s="13" t="s">
        <v>4</v>
      </c>
      <c r="K17" s="13" t="s">
        <v>62</v>
      </c>
      <c r="L17" s="13" t="s">
        <v>5</v>
      </c>
      <c r="M17" s="13" t="s">
        <v>40</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4</v>
      </c>
      <c r="Z17" s="105" t="s">
        <v>63</v>
      </c>
      <c r="AA17" s="62">
        <f>COUNTIF($K$17:$K$106,Z17)</f>
        <v>3</v>
      </c>
      <c r="AB17" s="66" t="s">
        <v>19</v>
      </c>
      <c r="AC17" s="61">
        <f t="shared" ref="AC17:AC29" si="5">COUNTIF($L$17:$L$106,AB17)</f>
        <v>0</v>
      </c>
      <c r="AD17" s="61">
        <f t="shared" ref="AD17:AD25" si="6">P17</f>
        <v>10</v>
      </c>
      <c r="AE17" s="66" t="s">
        <v>11</v>
      </c>
      <c r="AF17" s="65">
        <f t="shared" ref="AF17:AF48" si="7">COUNTIF($M$17:$M$106,AE17)</f>
        <v>0</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229</v>
      </c>
      <c r="D18" s="32" t="s">
        <v>757</v>
      </c>
      <c r="E18" s="33">
        <v>3</v>
      </c>
      <c r="F18" s="36">
        <v>45</v>
      </c>
      <c r="G18" s="36">
        <v>57</v>
      </c>
      <c r="H18" s="38" t="str">
        <f t="shared" ref="H18:H81" si="8">IF(I18="","",$I$14)</f>
        <v>SCOUTING</v>
      </c>
      <c r="I18" s="34">
        <v>366</v>
      </c>
      <c r="J18" s="13" t="s">
        <v>4</v>
      </c>
      <c r="K18" s="13" t="s">
        <v>63</v>
      </c>
      <c r="L18" s="13" t="s">
        <v>5</v>
      </c>
      <c r="M18" s="13" t="s">
        <v>10</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v>
      </c>
      <c r="AB18" s="66" t="s">
        <v>5</v>
      </c>
      <c r="AC18" s="61">
        <f t="shared" si="5"/>
        <v>3</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229</v>
      </c>
      <c r="D19" s="32" t="s">
        <v>758</v>
      </c>
      <c r="E19" s="33">
        <v>3</v>
      </c>
      <c r="F19" s="36">
        <v>55</v>
      </c>
      <c r="G19" s="36">
        <v>77</v>
      </c>
      <c r="H19" s="38" t="str">
        <f t="shared" si="8"/>
        <v>SCOUTING</v>
      </c>
      <c r="I19" s="34">
        <v>456</v>
      </c>
      <c r="J19" s="13" t="s">
        <v>4</v>
      </c>
      <c r="K19" s="13" t="s">
        <v>63</v>
      </c>
      <c r="L19" s="13" t="s">
        <v>5</v>
      </c>
      <c r="M19" s="13" t="s">
        <v>10</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229</v>
      </c>
      <c r="D20" s="32" t="s">
        <v>759</v>
      </c>
      <c r="E20" s="33">
        <v>4</v>
      </c>
      <c r="F20" s="36">
        <v>62</v>
      </c>
      <c r="G20" s="36">
        <v>86</v>
      </c>
      <c r="H20" s="38" t="str">
        <f t="shared" si="8"/>
        <v>SCOUTING</v>
      </c>
      <c r="I20" s="34">
        <v>529</v>
      </c>
      <c r="J20" s="13" t="s">
        <v>4</v>
      </c>
      <c r="K20" s="13" t="s">
        <v>63</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1</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2</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1</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REPORT_E2025229</v>
      </c>
    </row>
    <row r="2" spans="2:6" x14ac:dyDescent="0.25">
      <c r="F2" s="45" t="s">
        <v>157</v>
      </c>
    </row>
    <row r="3" spans="2:6" x14ac:dyDescent="0.25">
      <c r="B3" s="43" t="s">
        <v>156</v>
      </c>
      <c r="C3" s="43" t="str">
        <f>""""&amp;'SCOUT &amp; LOGISTICS'!B2&amp;TEXT('SCOUT &amp; LOGISTICS'!C2,"000")&amp;""""</f>
        <v>"E2025229"</v>
      </c>
      <c r="F3" s="45" t="str">
        <f t="shared" ref="F3:F16" si="0">""""&amp;B3&amp;"""" &amp; " : " &amp;C3&amp;","</f>
        <v>"name" : "E2025229",</v>
      </c>
    </row>
    <row r="4" spans="2:6" x14ac:dyDescent="0.25">
      <c r="B4" s="43" t="s">
        <v>119</v>
      </c>
      <c r="C4" s="43" t="str">
        <f>""""&amp;LEFT('SCOUT &amp; LOGISTICS'!B2,1) &amp; TEXT('SCOUT &amp; LOGISTICS'!C2,"000")&amp;""""</f>
        <v>"E229"</v>
      </c>
      <c r="F4" s="45" t="str">
        <f t="shared" si="0"/>
        <v>"cod" : "E229",</v>
      </c>
    </row>
    <row r="5" spans="2:6" x14ac:dyDescent="0.25">
      <c r="B5" s="43" t="s">
        <v>117</v>
      </c>
      <c r="C5" s="43" t="str">
        <f>""""&amp;LEFT('SCOUT &amp; LOGISTICS'!B2,1)&amp;""""</f>
        <v>"E"</v>
      </c>
      <c r="F5" s="45" t="str">
        <f t="shared" si="0"/>
        <v>"competition" : "E",</v>
      </c>
    </row>
    <row r="6" spans="2:6" x14ac:dyDescent="0.25">
      <c r="B6" s="43" t="s">
        <v>118</v>
      </c>
      <c r="C6" s="43" t="str">
        <f>TEXT('SCOUT &amp; LOGISTICS'!C2,"000")</f>
        <v>229</v>
      </c>
      <c r="F6" s="45" t="str">
        <f t="shared" si="0"/>
        <v>"number" : 229,</v>
      </c>
    </row>
    <row r="7" spans="2:6" x14ac:dyDescent="0.25">
      <c r="B7" s="43" t="s">
        <v>116</v>
      </c>
      <c r="C7" s="43" t="str">
        <f ca="1">""""&amp;TEXT('SCOUT &amp; LOGISTICS'!B3,"dd/mm/aaaa")&amp;""""</f>
        <v>"20/01/Tuesday"</v>
      </c>
      <c r="F7" s="45" t="str">
        <f t="shared" ca="1" si="0"/>
        <v>"date" : "20/01/Tuesday",</v>
      </c>
    </row>
    <row r="8" spans="2:6" x14ac:dyDescent="0.25">
      <c r="B8" s="43" t="s">
        <v>125</v>
      </c>
      <c r="C8" s="43" t="str">
        <f>""""&amp;'SCOUT &amp; LOGISTICS'!D4 &amp;""""</f>
        <v>"LDLC ASVEL Villeurbanne"</v>
      </c>
      <c r="F8" s="45" t="str">
        <f t="shared" si="0"/>
        <v>"home_team" : "LDLC ASVEL Villeurbanne",</v>
      </c>
    </row>
    <row r="9" spans="2:6" x14ac:dyDescent="0.25">
      <c r="B9" s="43" t="s">
        <v>126</v>
      </c>
      <c r="C9" s="43" t="str">
        <f>""""&amp;'SCOUT &amp; LOGISTICS'!D5&amp;""""</f>
        <v>"Zalgiris Kaunas"</v>
      </c>
      <c r="F9" s="45" t="str">
        <f t="shared" si="0"/>
        <v>"away_team" : "Zalgiris Kaunas",</v>
      </c>
    </row>
    <row r="10" spans="2:6" x14ac:dyDescent="0.25">
      <c r="B10" s="43" t="s">
        <v>127</v>
      </c>
      <c r="C10" s="43" t="str">
        <f>""""&amp;IF('SCOUT &amp; LOGISTICS'!D6="","",'SCOUT &amp; LOGISTICS'!D6)&amp;""""</f>
        <v>"STEPHANE DURIEUX"</v>
      </c>
      <c r="F10" s="45" t="str">
        <f t="shared" si="0"/>
        <v>"Data_entry" : "STEPHANE DURIEUX",</v>
      </c>
    </row>
    <row r="11" spans="2:6" x14ac:dyDescent="0.25">
      <c r="B11" s="43" t="s">
        <v>128</v>
      </c>
      <c r="C11" s="43" t="str">
        <f>""""&amp;IF('SCOUT &amp; LOGISTICS'!D7="","",'SCOUT &amp; LOGISTICS'!D7)&amp;""""</f>
        <v>"NT BOITON"</v>
      </c>
      <c r="F11" s="45" t="str">
        <f t="shared" si="0"/>
        <v>"Caller_1" : "NT BOITON",</v>
      </c>
    </row>
    <row r="12" spans="2:6" x14ac:dyDescent="0.25">
      <c r="B12" s="43" t="s">
        <v>129</v>
      </c>
      <c r="C12" s="43" t="str">
        <f>""""&amp;IF('SCOUT &amp; LOGISTICS'!D8="","",'SCOUT &amp; LOGISTICS'!D8)&amp;""""</f>
        <v>"OLIVIER JAUFFRES"</v>
      </c>
      <c r="F12" s="45" t="str">
        <f t="shared" si="0"/>
        <v>"Caller_2" : "OLIVIER JAUFFRES",</v>
      </c>
    </row>
    <row r="13" spans="2:6" x14ac:dyDescent="0.25">
      <c r="B13" s="43" t="s">
        <v>98</v>
      </c>
      <c r="C13" s="43" t="str">
        <f>""""&amp;IF('SCOUT &amp; LOGISTICS'!D9="","",'SCOUT &amp; LOGISTICS'!D9)&amp;""""</f>
        <v>"CEDRIC LAURANCY"</v>
      </c>
      <c r="F13" s="45" t="str">
        <f t="shared" si="0"/>
        <v>"Timerkeeper" : "CEDRIC LAURANCY",</v>
      </c>
    </row>
    <row r="14" spans="2:6" x14ac:dyDescent="0.25">
      <c r="B14" s="43" t="s">
        <v>99</v>
      </c>
      <c r="C14" s="43" t="str">
        <f>""""&amp;IF('SCOUT &amp; LOGISTICS'!D10="","",'SCOUT &amp; LOGISTICS'!D10)&amp;""""</f>
        <v>"HUGO MARTIN"</v>
      </c>
      <c r="F14" s="45" t="str">
        <f t="shared" si="0"/>
        <v>"Shotclock" : "HUGO MARTIN",</v>
      </c>
    </row>
    <row r="15" spans="2:6" x14ac:dyDescent="0.25">
      <c r="B15" s="43" t="s">
        <v>108</v>
      </c>
      <c r="C15" s="43" t="str">
        <f>""""&amp;IF('SCOUT &amp; LOGISTICS'!D11="","",'SCOUT &amp; LOGISTICS'!D11)&amp;""""</f>
        <v>"YOHAN STROBEL"</v>
      </c>
      <c r="F15" s="45" t="str">
        <f t="shared" si="0"/>
        <v>"IRS" : "YOHAN STROBEL",</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591</v>
      </c>
      <c r="F25" s="45" t="str">
        <f t="shared" ref="F25:F48" si="1">""""&amp;C25&amp;"""" &amp; " : " &amp;D25&amp;","</f>
        <v>"total_actions" : 591,</v>
      </c>
    </row>
    <row r="26" spans="2:6" x14ac:dyDescent="0.25">
      <c r="C26" s="43" t="s">
        <v>132</v>
      </c>
      <c r="D26" s="43">
        <f>'SCOUT &amp; LOGISTICS'!F3</f>
        <v>4</v>
      </c>
      <c r="F26" s="45" t="str">
        <f t="shared" si="1"/>
        <v>"total_correcions" : 4,</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0</v>
      </c>
      <c r="F32" s="45" t="str">
        <f t="shared" si="1"/>
        <v>"q2" : 0,</v>
      </c>
    </row>
    <row r="33" spans="3:6" x14ac:dyDescent="0.25">
      <c r="C33" s="43" t="s">
        <v>137</v>
      </c>
      <c r="D33" s="43">
        <f>'SCOUT &amp; LOGISTICS'!AG19</f>
        <v>2</v>
      </c>
      <c r="F33" s="45" t="str">
        <f t="shared" si="1"/>
        <v>"q3" : 2,</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4</v>
      </c>
      <c r="F37" s="45" t="str">
        <f t="shared" si="1"/>
        <v>"scoresheet_corrections" : 4,</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"Very good procedures and communication during whole game. Only to comment that don't wait your LGM to warn you about testing backup PC. Good scouting with few criteria corrections difficicult to detect on court. Very good job!"</v>
      </c>
      <c r="F51" s="45" t="str">
        <f>""""&amp;B51&amp;"""" &amp; " : " &amp;C51&amp;","</f>
        <v>"comments" : "Very good procedures and communication during whole game. Only to comment that don't wait your LGM to warn you about testing backup PC. Good scouting with few criteria corrections difficicult to detect on court. Very good job!",</v>
      </c>
    </row>
    <row r="52" spans="2:6" x14ac:dyDescent="0.25">
      <c r="B52" s="43" t="s">
        <v>153</v>
      </c>
      <c r="C52" s="43" t="str">
        <f>TEXT('SCOUT &amp; LOGISTICS'!F1,"0,0")</f>
        <v>23_229_ASV_ZAL_E2025</v>
      </c>
      <c r="F52" s="45" t="str">
        <f>""""&amp;B52&amp;"""" &amp; " : " &amp;C52</f>
        <v>"result" : 23_229_ASV_ZAL_E2025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E229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20/01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Ldlc Asvel Villeurbanne</v>
      </c>
      <c r="C6" s="212"/>
      <c r="D6" s="212"/>
      <c r="E6" s="212"/>
      <c r="F6" s="212"/>
      <c r="G6" s="212"/>
      <c r="H6" s="212"/>
      <c r="I6" s="212"/>
      <c r="J6" s="212"/>
      <c r="K6" s="212"/>
      <c r="L6" s="212"/>
      <c r="M6" s="212"/>
      <c r="N6" s="212"/>
      <c r="O6" s="212"/>
      <c r="P6" s="212"/>
      <c r="Q6" s="212" t="str">
        <f>PROPER('SCOUT &amp; LOGISTICS'!D5)</f>
        <v>Zalgiris Kaunas</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STEPHANE DURIEUX</v>
      </c>
      <c r="C8" s="206"/>
      <c r="D8" s="206"/>
      <c r="E8" s="206"/>
      <c r="F8" s="206"/>
      <c r="G8" s="206" t="str">
        <f>IF('SCOUT &amp; LOGISTICS'!D7="","",'SCOUT &amp; LOGISTICS'!D7)</f>
        <v>NT BOITON</v>
      </c>
      <c r="H8" s="206"/>
      <c r="I8" s="206"/>
      <c r="J8" s="206"/>
      <c r="K8" s="206"/>
      <c r="L8" s="206" t="str">
        <f>IF('SCOUT &amp; LOGISTICS'!D8="","",'SCOUT &amp; LOGISTICS'!D8)</f>
        <v>OLIVIER JAUFFRES</v>
      </c>
      <c r="M8" s="206"/>
      <c r="N8" s="206"/>
      <c r="O8" s="206"/>
      <c r="P8" s="206"/>
      <c r="Q8" s="206" t="str">
        <f>IF('SCOUT &amp; LOGISTICS'!D9="","",'SCOUT &amp; LOGISTICS'!D9)</f>
        <v>CEDRIC LAURANCY</v>
      </c>
      <c r="R8" s="206"/>
      <c r="S8" s="206"/>
      <c r="T8" s="206"/>
      <c r="U8" s="206"/>
      <c r="V8" s="206" t="str">
        <f>IF('SCOUT &amp; LOGISTICS'!D10="","",'SCOUT &amp; LOGISTICS'!D10)</f>
        <v>HUGO MARTIN</v>
      </c>
      <c r="W8" s="206"/>
      <c r="X8" s="206"/>
      <c r="Y8" s="206"/>
      <c r="Z8" s="206"/>
      <c r="AA8" s="206" t="str">
        <f>IF('SCOUT &amp; LOGISTICS'!D11="","",'SCOUT &amp; LOGISTICS'!D11)</f>
        <v>YOHAN STROBEL</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591</v>
      </c>
      <c r="C17" s="204"/>
      <c r="D17" s="204"/>
      <c r="E17" s="204"/>
      <c r="F17" s="204"/>
      <c r="G17" s="204"/>
      <c r="H17" s="204"/>
      <c r="I17" s="204"/>
      <c r="J17" s="204"/>
      <c r="K17" s="204"/>
      <c r="L17" s="204">
        <f>'SCOUT &amp; LOGISTICS'!F3</f>
        <v>4</v>
      </c>
      <c r="M17" s="204"/>
      <c r="N17" s="204"/>
      <c r="O17" s="204"/>
      <c r="P17" s="204"/>
      <c r="Q17" s="204"/>
      <c r="R17" s="204"/>
      <c r="S17" s="204"/>
      <c r="T17" s="204"/>
      <c r="U17" s="204"/>
      <c r="V17" s="205">
        <f>IF(OR(B17="",B17=0),"",L17/B17)</f>
        <v>6.7681895093062603E-3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3</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0</v>
      </c>
      <c r="I22" s="197"/>
      <c r="J22" s="197"/>
      <c r="K22" s="197"/>
      <c r="L22" s="197"/>
      <c r="M22" s="197"/>
      <c r="N22" s="197">
        <f>'SCOUT &amp; LOGISTICS'!AG19</f>
        <v>2</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4</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3</v>
      </c>
      <c r="C27" s="197"/>
      <c r="D27" s="197"/>
      <c r="E27" s="197"/>
      <c r="F27" s="197"/>
      <c r="G27" s="197">
        <f>'SCOUT &amp; LOGISTICS'!AC22</f>
        <v>1</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Very good procedures and communication during whole game. Only to comment that don't wait your LGM to warn you about testing backup PC. Good scouting with few criteria corrections difficicult to detect on court. Very good job!</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3.1768189509306262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4C58FFA3-3881-4DD4-BE61-1584237A3723}"/>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2026-01-21T15:59:01Z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