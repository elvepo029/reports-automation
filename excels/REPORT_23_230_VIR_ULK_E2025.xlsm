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2" documentId="8_{B81327E9-1249-4E08-B206-717B160C8EDB}" xr6:coauthVersionLast="47" xr6:coauthVersionMax="47" xr10:uidLastSave="{51B13732-FB96-4089-A416-5EC3B8C42757}"/>
  <bookViews>
    <workbookView xWindow="-6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3" i="1" s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<sst xmlns="http://schemas.openxmlformats.org/spreadsheetml/2006/main" count="3260" uniqueCount="761">
  <si>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</si>
  <si>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</si>
  <si>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</si>
  <si>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</si>
  <si>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</si>
  <si>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</si>
  <si>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</si>
  <si>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</si>
  <si>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</si>
  <si>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</si>
  <si>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</si>
  <si>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</si>
  <si>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</si>
  <si>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</si>
  <si>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</si>
  <si>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</si>
  <si>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</si>
  <si>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</si>
  <si>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</si>
  <si>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</si>
  <si>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</si>
  <si>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</si>
  <si>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</si>
  <si>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</si>
  <si>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</si>
  <si>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</si>
  <si>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</si>
  <si>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</si>
  <si>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</si>
  <si>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</si>
  <si>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</si>
  <si>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</si>
  <si>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</si>
  <si>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</si>
  <si>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</si>
  <si>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</si>
  <si>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</si>
  <si>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</si>
  <si>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</si>
  <si>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</si>
  <si>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</si>
  <si>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</si>
  <si>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</si>
  <si>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</si>
  <si>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</si>
  <si>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</si>
  <si>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</si>
  <si>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</si>
  <si>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</si>
  <si>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</si>
  <si>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</si>
  <si>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</si>
  <si>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</si>
  <si>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</si>
  <si>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</si>
  <si>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</si>
  <si>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</si>
  <si>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</si>
  <si>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</si>
  <si>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</si>
  <si>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</si>
  <si>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</si>
  <si>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</si>
  <si>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</si>
  <si>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</si>
  <si>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</si>
  <si>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</si>
  <si>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</si>
  <si>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</si>
  <si>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</si>
  <si>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</si>
  <si>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</si>
  <si>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</si>
  <si>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</si>
  <si>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</si>
  <si>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</si>
  <si>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</si>
  <si>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</si>
  <si>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</si>
  <si>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</si>
  <si>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</si>
  <si>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</si>
  <si>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</si>
  <si>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</si>
  <si>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</si>
  <si>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</si>
  <si>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</si>
  <si>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</si>
  <si>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</si>
  <si>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</si>
  <si>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</si>
  <si>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</si>
  <si>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</si>
  <si>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</si>
  <si>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</si>
  <si>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</si>
  <si>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</si>
  <si>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</si>
  <si>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</si>
  <si>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</si>
  <si>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</si>
  <si>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</si>
  <si>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</si>
  <si>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</si>
  <si>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</si>
  <si>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</si>
  <si>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</si>
  <si>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</si>
  <si>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</si>
  <si>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</si>
  <si>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</si>
  <si>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</si>
  <si>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</si>
  <si>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</si>
  <si>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</si>
  <si>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</si>
  <si>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</si>
  <si>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</si>
  <si>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</si>
  <si>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</si>
  <si>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</si>
  <si>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</si>
  <si>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</si>
  <si>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</si>
  <si>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</si>
  <si>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</si>
  <si>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</si>
  <si>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</si>
  <si>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</si>
  <si>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</si>
  <si>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</si>
  <si>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</si>
  <si>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</si>
  <si>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</si>
  <si>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</si>
  <si>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</si>
  <si>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</si>
  <si>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</si>
  <si>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</si>
  <si>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</si>
  <si>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</si>
  <si>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</si>
  <si>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</si>
  <si>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</si>
  <si>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</si>
  <si>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</si>
  <si>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</si>
  <si>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</si>
  <si>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</si>
  <si>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</si>
  <si>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</si>
  <si>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</si>
  <si>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</si>
  <si>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</si>
  <si>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</si>
  <si>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</si>
  <si>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</si>
  <si>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</si>
  <si>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</si>
  <si>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</si>
  <si>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</si>
  <si>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</si>
  <si>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</si>
  <si>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</si>
  <si>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</si>
  <si>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</si>
  <si>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</si>
  <si>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</si>
  <si>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</si>
  <si>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</si>
  <si>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</si>
  <si>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</si>
  <si>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</si>
  <si>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</si>
  <si>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</si>
  <si>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</si>
  <si>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</si>
  <si>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</si>
  <si>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</si>
  <si>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</si>
  <si>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</si>
  <si>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</si>
  <si>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</si>
  <si>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</si>
  <si>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</si>
  <si>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</si>
  <si>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</si>
  <si>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</si>
  <si>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</si>
  <si>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</si>
  <si>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</si>
  <si>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</si>
  <si>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</si>
  <si>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</si>
  <si>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</si>
  <si>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</si>
  <si>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</si>
  <si>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</si>
  <si>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</si>
  <si>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</si>
  <si>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</si>
  <si>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</si>
  <si>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</si>
  <si>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</si>
  <si>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</si>
  <si>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</si>
  <si>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</si>
  <si>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</si>
  <si>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</si>
  <si>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</si>
  <si>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</si>
  <si>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</si>
  <si>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</si>
  <si>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</si>
  <si>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</si>
  <si>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</si>
  <si>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</si>
  <si>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</si>
  <si>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</si>
  <si>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</si>
  <si>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</si>
  <si>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</si>
  <si>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</si>
  <si>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</si>
  <si>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</si>
  <si>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</si>
  <si>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</si>
  <si>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</si>
  <si>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</si>
  <si>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</si>
  <si>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</si>
  <si>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</si>
  <si>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</si>
  <si>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</si>
  <si>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</si>
  <si>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</si>
  <si>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</si>
  <si>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</si>
  <si>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</si>
  <si>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</si>
  <si>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</si>
  <si>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</si>
  <si>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</si>
  <si>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</si>
  <si>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</si>
  <si>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</si>
  <si>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</si>
  <si>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</si>
  <si>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</si>
  <si>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</si>
  <si>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</si>
  <si>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</si>
  <si>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</si>
  <si>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</si>
  <si>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</si>
  <si>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</si>
  <si>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</si>
  <si>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</si>
  <si>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</si>
  <si>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</si>
  <si>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</si>
  <si>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</si>
  <si>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</si>
  <si>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</si>
  <si>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</si>
  <si>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</si>
  <si>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</si>
  <si>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</si>
  <si>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</si>
  <si>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</si>
  <si>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</si>
  <si>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</si>
  <si>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</si>
  <si>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</si>
  <si>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</si>
  <si>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</si>
  <si>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</si>
  <si>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</si>
  <si>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</si>
  <si>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</si>
  <si>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</si>
  <si>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</si>
  <si>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</si>
  <si>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</si>
  <si>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</si>
  <si>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</si>
  <si>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</si>
  <si>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</si>
  <si>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</si>
  <si>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</si>
  <si>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</si>
  <si>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</si>
  <si>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</si>
  <si>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</si>
  <si>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</si>
  <si>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</si>
  <si>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</si>
  <si>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</si>
  <si>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</si>
  <si>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</si>
  <si>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</si>
  <si>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</si>
  <si>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</si>
  <si>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</si>
  <si>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</si>
  <si>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</si>
  <si>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</si>
  <si>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</si>
  <si>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</si>
  <si>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</si>
  <si>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</si>
  <si>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</si>
  <si>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</si>
  <si>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</si>
  <si>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</si>
  <si>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</si>
  <si>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</si>
  <si>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</si>
  <si>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</si>
  <si>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</si>
  <si>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</si>
  <si>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</si>
  <si>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</si>
  <si>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</si>
  <si>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</si>
  <si>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</si>
  <si>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</si>
  <si>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</si>
  <si>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</si>
  <si>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</si>
  <si>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</si>
  <si>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</si>
  <si>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</si>
  <si>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</si>
  <si>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</si>
  <si>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</si>
  <si>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</si>
  <si>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</si>
  <si>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</si>
  <si>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</si>
  <si>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</si>
  <si>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</si>
  <si>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</si>
  <si>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</si>
  <si>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</si>
  <si>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</si>
  <si>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</si>
  <si>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</si>
  <si>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</si>
  <si>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</si>
  <si>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</si>
  <si>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</si>
  <si>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</si>
  <si>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</si>
  <si>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</si>
  <si>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</si>
  <si>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</si>
  <si>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</si>
  <si>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</si>
  <si>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</si>
  <si>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</si>
  <si>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</si>
  <si>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</si>
  <si>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</si>
  <si>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</si>
  <si>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</si>
  <si>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</si>
  <si>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</si>
  <si>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</si>
  <si>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</si>
  <si>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</si>
  <si>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</si>
  <si>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</si>
  <si>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</si>
  <si>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</si>
  <si>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</si>
  <si>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</si>
  <si>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</si>
  <si>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</si>
  <si>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</si>
  <si>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</si>
  <si>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</si>
  <si>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</si>
  <si>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</si>
  <si>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</si>
  <si>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</si>
  <si>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</si>
  <si>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</si>
  <si>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</si>
  <si>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</si>
  <si>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</si>
  <si>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</si>
  <si>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</si>
  <si>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</si>
  <si>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</si>
  <si>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</si>
  <si>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</si>
  <si>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</si>
  <si>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</si>
  <si>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</si>
  <si>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</si>
  <si>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</si>
  <si>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</si>
  <si>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</si>
  <si>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</si>
  <si>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</si>
  <si>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</si>
  <si>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</si>
  <si>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</si>
  <si>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</si>
  <si>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</si>
  <si>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</si>
  <si>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</si>
  <si>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</si>
  <si>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</si>
  <si>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</si>
  <si>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</si>
  <si>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</si>
  <si>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</si>
  <si>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</si>
  <si>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</si>
  <si>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</si>
  <si>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</si>
  <si>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</si>
  <si>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</si>
  <si>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</si>
  <si>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</si>
  <si>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</si>
  <si>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</si>
  <si>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</si>
  <si>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</si>
  <si>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</si>
  <si>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</si>
  <si>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</si>
  <si>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</si>
  <si>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</si>
  <si>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</si>
  <si>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</si>
  <si>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</si>
  <si>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</si>
  <si>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</si>
  <si>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</si>
  <si>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</si>
  <si>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</si>
  <si>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</si>
  <si>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</si>
  <si>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</si>
  <si>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</si>
  <si>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</si>
  <si>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</si>
  <si>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</si>
  <si>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</si>
  <si>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</si>
  <si>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</si>
  <si>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</si>
  <si>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</si>
  <si>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</si>
  <si>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</si>
  <si>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</si>
  <si>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</si>
  <si>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</si>
  <si>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</si>
  <si>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</si>
  <si>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</si>
  <si>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</si>
  <si>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</si>
  <si>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</si>
  <si>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</si>
  <si>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</si>
  <si>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</si>
  <si>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</si>
  <si>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</si>
  <si>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</si>
  <si>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</si>
  <si>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</si>
  <si>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</si>
  <si>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</si>
  <si>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</si>
  <si>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</si>
  <si>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</si>
  <si>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</si>
  <si>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</si>
  <si>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</si>
  <si>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</si>
  <si>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</si>
  <si>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</si>
  <si>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</si>
  <si>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</si>
  <si>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</si>
  <si>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</si>
  <si>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</si>
  <si>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</si>
  <si>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</si>
  <si>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</si>
  <si>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</si>
  <si>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</si>
  <si>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</si>
  <si>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</si>
  <si>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</si>
  <si>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</si>
  <si>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</si>
  <si>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</si>
  <si>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</si>
  <si>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</si>
  <si>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</si>
  <si>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</si>
  <si>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</si>
  <si>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</si>
  <si>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</si>
  <si>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</si>
  <si>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</si>
  <si>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</si>
  <si>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</si>
  <si>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</si>
  <si>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</si>
  <si>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</si>
  <si>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</si>
  <si>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</si>
  <si>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</si>
  <si>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</si>
  <si>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</si>
  <si>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</si>
  <si>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</si>
  <si>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</si>
  <si>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</si>
  <si>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</si>
  <si>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</si>
  <si>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</si>
  <si>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</si>
  <si>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</si>
  <si>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</si>
  <si>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</si>
  <si>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</si>
  <si>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</si>
  <si>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</si>
  <si>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</si>
  <si>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</si>
  <si>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</si>
  <si>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</si>
  <si>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</si>
  <si>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</si>
  <si>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</si>
  <si>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</si>
  <si>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</si>
  <si>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</si>
  <si>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</si>
  <si>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</si>
  <si>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</si>
  <si>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</si>
  <si>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</si>
  <si>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</si>
  <si>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</si>
  <si>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</si>
  <si>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</si>
  <si>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</si>
  <si>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</si>
  <si>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</si>
  <si>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</si>
  <si>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</si>
  <si>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</si>
  <si>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</si>
  <si>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</si>
  <si>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</si>
  <si>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</si>
  <si>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</si>
  <si>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</si>
  <si>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</si>
  <si>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</si>
  <si>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</si>
  <si>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</si>
  <si>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</si>
  <si>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</si>
  <si>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</si>
  <si>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</si>
  <si>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</si>
  <si>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</si>
  <si>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</si>
  <si>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</si>
  <si>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</si>
  <si>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</si>
  <si>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</si>
  <si>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</si>
  <si>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</si>
  <si>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</si>
  <si>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</si>
  <si>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</si>
  <si>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</si>
  <si>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</si>
  <si>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</si>
  <si>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</si>
  <si>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</si>
  <si>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</si>
  <si>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</si>
  <si>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</si>
  <si>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</si>
  <si>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</si>
  <si>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</si>
  <si>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</si>
  <si>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</si>
  <si>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</si>
  <si>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</si>
  <si>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</si>
  <si>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</si>
  <si>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</si>
  <si>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</si>
  <si>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</si>
  <si>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</si>
  <si>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</si>
  <si>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</si>
  <si>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</si>
  <si>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</si>
  <si>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</si>
  <si>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</si>
  <si>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</si>
  <si>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</si>
  <si>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</si>
  <si>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</si>
  <si>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</si>
  <si>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</si>
  <si>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</si>
  <si>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</si>
  <si>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</si>
  <si>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</si>
  <si>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</si>
  <si>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</si>
  <si>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</si>
  <si>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</si>
  <si>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</si>
  <si>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</si>
  <si>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</si>
  <si>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</si>
  <si>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</si>
  <si>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</si>
  <si>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</si>
  <si>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</si>
  <si>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</si>
  <si>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</si>
  <si>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</si>
  <si>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</si>
  <si>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</si>
  <si>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</si>
  <si>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</si>
  <si>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</si>
  <si>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</si>
  <si>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</si>
  <si>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</si>
  <si>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</si>
  <si>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</si>
  <si>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</si>
  <si>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</si>
  <si>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</si>
  <si>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</si>
  <si>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</si>
  <si>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</si>
  <si>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</si>
  <si>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</si>
  <si>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</si>
  <si>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</si>
  <si>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</si>
  <si>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</si>
  <si>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</si>
  <si>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</si>
  <si>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</si>
  <si>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</si>
  <si>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</si>
  <si>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</si>
  <si>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</si>
  <si>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</si>
  <si>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</si>
  <si>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</si>
  <si>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</si>
  <si>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</si>
  <si>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</si>
  <si>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</si>
  <si>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</si>
  <si>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</si>
  <si>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</si>
  <si>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</si>
  <si>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</si>
  <si>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</si>
  <si>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</si>
  <si>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</si>
  <si>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</si>
  <si>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</si>
  <si>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</si>
  <si>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</si>
  <si>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</si>
  <si>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</si>
  <si>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</si>
  <si>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</si>
  <si>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</si>
  <si>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</si>
  <si>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</si>
  <si>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</si>
  <si>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</si>
  <si>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</si>
  <si>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</si>
  <si>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</si>
  <si>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</si>
  <si>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</si>
  <si>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</si>
  <si>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</si>
  <si>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</si>
  <si>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</si>
  <si>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</si>
  <si>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</si>
  <si>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</si>
  <si>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</si>
  <si>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</si>
  <si>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</si>
  <si>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</si>
  <si>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</si>
  <si>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</si>
  <si>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</si>
  <si>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</si>
  <si>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</si>
  <si>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</si>
  <si>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</si>
  <si>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</si>
  <si>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</si>
  <si>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</si>
  <si>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</si>
  <si>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</si>
  <si>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</si>
  <si>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</si>
  <si>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</si>
  <si>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</si>
  <si>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</si>
  <si>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</si>
  <si>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</si>
  <si>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</si>
  <si>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</si>
  <si>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</si>
  <si>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</si>
  <si>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</si>
  <si>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</si>
  <si>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</si>
  <si>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</si>
  <si>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</si>
  <si>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</si>
  <si>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</si>
  <si>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</si>
  <si>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</si>
  <si>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</si>
  <si>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</si>
  <si>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</si>
  <si>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</si>
  <si>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</si>
  <si>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</si>
  <si>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GIACOMO CAMPANELLA</t>
  </si>
  <si>
    <t>SIMONE LICEN</t>
  </si>
  <si>
    <t>MATTEO PAGLIARA</t>
  </si>
  <si>
    <t>ROBERTO PANTANI</t>
  </si>
  <si>
    <t>FEDERICA MARANTA</t>
  </si>
  <si>
    <t>DAVIDE PEDRINI</t>
  </si>
  <si>
    <t>NEREA FRAILE</t>
  </si>
  <si>
    <t>C:\Users\nerea.fraile\EUROLEAGUE\EB STATS - Documents\General\SEASON 2025-26\Reports\Euroleague\PDF</t>
  </si>
  <si>
    <t>C:\Users\nerea.fraile\EUROLEAGUE\EB STATS - Documents\General\SEASON 2025-26\Reports\Euroleague</t>
  </si>
  <si>
    <t>03:27</t>
  </si>
  <si>
    <t>08:51</t>
  </si>
  <si>
    <t>Good job! You have done a perfect first part. Get used to passing the result at the end of each quarter, to confirm, and explain what referees are looking at in the Coach Challenges.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</si>
</sst>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23_230_VIR_ULK_E2025</v>
      </c>
      <c r="G1" s="5"/>
      <c r="H1" s="5"/>
      <c r="I1" s="5"/>
      <c r="J1" s="8" t="s">
        <v>707</v>
      </c>
      <c r="K1" s="121" t="s">
        <v>757</v>
      </c>
      <c r="L1" s="121"/>
      <c r="M1" s="122" t="s">
        <v>239</v>
      </c>
      <c r="N1" s="121" t="s">
        <v>756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230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 cm="1">
        <f t="array" ref="B3">IF(ISERROR(VLOOKUP($B$2&amp;TEXT($C$2,"000"),GAMES!$A$3:$I$562,8,FALSE)),D6NOW(),VLOOKUP($B$2&amp;TEXT($C$2,"000"),GAMES!$A$3:$I$562,8,FALSE))</f>
        <v>46043.854166666664</v>
      </c>
      <c r="C3" s="178"/>
      <c r="D3" s="39">
        <v>617</v>
      </c>
      <c r="E3" s="29"/>
      <c r="F3" s="26">
        <f>SUBTOTAL(3,I17:I106)</f>
        <v>3</v>
      </c>
      <c r="G3" s="27">
        <f>IF(OR(D3="",D3=0),"",F3/D3)</f>
        <v>4.8622366288492711E-3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Virtus Bologna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VIR</v>
      </c>
      <c r="I4" s="5"/>
      <c r="J4" s="119" t="s">
        <v>714</v>
      </c>
      <c r="K4" s="54" t="s">
        <v>742</v>
      </c>
      <c r="L4" s="5"/>
      <c r="M4" s="185" t="s">
        <v>760</v>
      </c>
      <c r="N4" s="186"/>
      <c r="O4" s="2"/>
      <c r="P4" s="2"/>
      <c r="Q4" s="84" t="s">
        <v>175</v>
      </c>
      <c r="R4" s="94">
        <f>(IF(G3="",0,G3))</f>
        <v>4.8622366288492711E-3</v>
      </c>
      <c r="S4" s="61">
        <f>SUM(I13:M13)</f>
        <v>1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Fenerbahce Beko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0.48622366288492713</v>
      </c>
      <c r="S5" s="70">
        <f t="shared" ref="S5" si="0">S4*S3</f>
        <v>1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749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750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4.9862236628849272</v>
      </c>
      <c r="N7" s="58"/>
      <c r="O7" s="2"/>
      <c r="P7" s="2"/>
      <c r="Q7" s="86">
        <f>SUM(R5,S5,AC16)</f>
        <v>4.9862236628849272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751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4.9862236628849272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752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753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754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230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230</v>
      </c>
      <c r="D17" s="32" t="s">
        <v>758</v>
      </c>
      <c r="E17" s="33">
        <v>3</v>
      </c>
      <c r="F17" s="36">
        <v>48</v>
      </c>
      <c r="G17" s="36">
        <v>52</v>
      </c>
      <c r="H17" s="38" t="str">
        <f>IF(I17="","",$I$14)</f>
        <v>SCOUTING</v>
      </c>
      <c r="I17" s="34">
        <v>386</v>
      </c>
      <c r="J17" s="13" t="s">
        <v>4</v>
      </c>
      <c r="K17" s="13" t="s">
        <v>63</v>
      </c>
      <c r="L17" s="13" t="s">
        <v>6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230</v>
      </c>
      <c r="D18" s="32" t="s">
        <v>759</v>
      </c>
      <c r="E18" s="33">
        <v>4</v>
      </c>
      <c r="F18" s="36">
        <v>60</v>
      </c>
      <c r="G18" s="36">
        <v>65</v>
      </c>
      <c r="H18" s="38" t="str">
        <f t="shared" ref="H18:H81" si="8">IF(I18="","",$I$14)</f>
        <v>SCOUTING</v>
      </c>
      <c r="I18" s="34">
        <v>453</v>
      </c>
      <c r="J18" s="13" t="s">
        <v>4</v>
      </c>
      <c r="K18" s="13" t="s">
        <v>63</v>
      </c>
      <c r="L18" s="13" t="s">
        <v>48</v>
      </c>
      <c r="M18" s="13" t="s">
        <v>12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230</v>
      </c>
      <c r="D19" s="32" t="s">
        <v>759</v>
      </c>
      <c r="E19" s="33">
        <v>4</v>
      </c>
      <c r="F19" s="36">
        <v>60</v>
      </c>
      <c r="G19" s="36">
        <v>65</v>
      </c>
      <c r="H19" s="38" t="str">
        <f t="shared" si="8"/>
        <v>SCOUTING</v>
      </c>
      <c r="I19" s="34">
        <v>454</v>
      </c>
      <c r="J19" s="13" t="s">
        <v>4</v>
      </c>
      <c r="K19" s="13" t="s">
        <v>61</v>
      </c>
      <c r="L19" s="13" t="s">
        <v>5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REPORT_E2025230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"E2025230"</v>
      </c>
      <c r="F3" s="45" t="str">
        <f t="shared" ref="F3:F16" si="0">""""&amp;B3&amp;"""" &amp; " : " &amp;C3&amp;","</f>
        <v>"name" : "E2025230",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"E230"</v>
      </c>
      <c r="F4" s="45" t="str">
        <f t="shared" si="0"/>
        <v>"cod" : "E230",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230</v>
      </c>
      <c r="F6" s="45" t="str">
        <f t="shared" si="0"/>
        <v>"number" : 230,</v>
      </c>
    </row>
    <row r="7" spans="2:6" x14ac:dyDescent="0.25">
      <c r="B7" s="43" t="s">
        <v>116</v>
      </c>
      <c r="C7" s="43" t="str">
        <f>""""&amp;TEXT('SCOUT &amp; LOGISTICS'!B3,"dd/mm/aaaa")&amp;""""</f>
        <v>"21/01/Wednesday"</v>
      </c>
      <c r="F7" s="45" t="str">
        <f t="shared" si="0"/>
        <v>"date" : "21/01/Wednesday",</v>
      </c>
    </row>
    <row r="8" spans="2:6" x14ac:dyDescent="0.25">
      <c r="B8" s="43" t="s">
        <v>125</v>
      </c>
      <c r="C8" s="43" t="str">
        <f>""""&amp;'SCOUT &amp; LOGISTICS'!D4 &amp;""""</f>
        <v>"Virtus Bologna"</v>
      </c>
      <c r="F8" s="45" t="str">
        <f t="shared" si="0"/>
        <v>"home_team" : "Virtus Bologna",</v>
      </c>
    </row>
    <row r="9" spans="2:6" x14ac:dyDescent="0.25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"GIACOMO CAMPANELLA"</v>
      </c>
      <c r="F10" s="45" t="str">
        <f t="shared" si="0"/>
        <v>"Data_entry" : "GIACOMO CAMPANELLA",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"SIMONE LICEN"</v>
      </c>
      <c r="F11" s="45" t="str">
        <f t="shared" si="0"/>
        <v>"Caller_1" : "SIMONE LICEN",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"MATTEO PAGLIARA"</v>
      </c>
      <c r="F12" s="45" t="str">
        <f t="shared" si="0"/>
        <v>"Caller_2" : "MATTEO PAGLIARA",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"ROBERTO PANTANI"</v>
      </c>
      <c r="F13" s="45" t="str">
        <f t="shared" si="0"/>
        <v>"Timerkeeper" : "ROBERTO PANTANI",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"FEDERICA MARANTA"</v>
      </c>
      <c r="F14" s="45" t="str">
        <f t="shared" si="0"/>
        <v>"Shotclock" : "FEDERICA MARANTA",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"DAVIDE PEDRINI"</v>
      </c>
      <c r="F15" s="45" t="str">
        <f t="shared" si="0"/>
        <v>"IRS" : "DAVIDE PEDRINI",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617</v>
      </c>
      <c r="F25" s="45" t="str">
        <f t="shared" ref="F25:F48" si="1">""""&amp;C25&amp;"""" &amp; " : " &amp;D25&amp;","</f>
        <v>"total_actions" : 617,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job! You have done a perfect first part. Get used to passing the result at the end of each quarter, to confirm, and explain what referees are looking at in the Coach Challenges."</v>
      </c>
      <c r="F51" s="45" t="str">
        <f>""""&amp;B51&amp;"""" &amp; " : " &amp;C51&amp;","</f>
        <v>"comments" : "Good job! You have done a perfect first part. Get used to passing the result at the end of each quarter, to confirm, and explain what referees are looking at in the Coach Challenges.",</v>
      </c>
    </row>
    <row r="52" spans="2:6" x14ac:dyDescent="0.25">
      <c r="B52" s="43" t="s">
        <v>153</v>
      </c>
      <c r="C52" s="43" t="str">
        <f>TEXT('SCOUT &amp; LOGISTICS'!F1,"0,0")</f>
        <v>23_230_VIR_ULK_E2025</v>
      </c>
      <c r="F52" s="45" t="str">
        <f>""""&amp;B52&amp;"""" &amp; " : " &amp;C52</f>
        <v>"result" : 23_230_VIR_ULK_E2025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E230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>"DATE: " &amp; TEXT('SCOUT &amp; LOGISTICS'!B3,"dd/mm")</f>
        <v>DATE: 21/01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Virtus Bologna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Fenerbahce Beko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GIACOMO CAMPANELLA</v>
      </c>
      <c r="C8" s="201"/>
      <c r="D8" s="201"/>
      <c r="E8" s="201"/>
      <c r="F8" s="201"/>
      <c r="G8" s="201" t="str">
        <f>IF('SCOUT &amp; LOGISTICS'!D7="","",'SCOUT &amp; LOGISTICS'!D7)</f>
        <v>SIMONE LICEN</v>
      </c>
      <c r="H8" s="201"/>
      <c r="I8" s="201"/>
      <c r="J8" s="201"/>
      <c r="K8" s="201"/>
      <c r="L8" s="201" t="str">
        <f>IF('SCOUT &amp; LOGISTICS'!D8="","",'SCOUT &amp; LOGISTICS'!D8)</f>
        <v>MATTEO PAGLIARA</v>
      </c>
      <c r="M8" s="201"/>
      <c r="N8" s="201"/>
      <c r="O8" s="201"/>
      <c r="P8" s="201"/>
      <c r="Q8" s="201" t="str">
        <f>IF('SCOUT &amp; LOGISTICS'!D9="","",'SCOUT &amp; LOGISTICS'!D9)</f>
        <v>ROBERTO PANTANI</v>
      </c>
      <c r="R8" s="201"/>
      <c r="S8" s="201"/>
      <c r="T8" s="201"/>
      <c r="U8" s="201"/>
      <c r="V8" s="201" t="str">
        <f>IF('SCOUT &amp; LOGISTICS'!D10="","",'SCOUT &amp; LOGISTICS'!D10)</f>
        <v>FEDERICA MARANTA</v>
      </c>
      <c r="W8" s="201"/>
      <c r="X8" s="201"/>
      <c r="Y8" s="201"/>
      <c r="Z8" s="201"/>
      <c r="AA8" s="201" t="str">
        <f>IF('SCOUT &amp; LOGISTICS'!D11="","",'SCOUT &amp; LOGISTICS'!D11)</f>
        <v>DAVIDE PEDRINI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OK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617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3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4.8622366288492711E-3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2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1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2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3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Good job! You have done a perfect first part. Get used to passing the result at the end of each quarter, to confirm, and explain what referees are looking at in the Coach Challenges.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4.9862236628849272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FDBFB775-D9F7-4742-8EFE-E8153E256B3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2026-01-21T22:01:31Z</cp:lastPrinted>
  <dcterms:created xsi:type="dcterms:W3CDTF">2023-09-19T19:50:35Z</dcterms:created>
  <dcterms:modified xsi:type="dcterms:W3CDTF">2026-01-21T22:01:33Z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