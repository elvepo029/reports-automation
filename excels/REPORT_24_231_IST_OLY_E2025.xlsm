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1" documentId="8_{27093E6B-E6E6-47A8-A220-86709EAAC2A1}" xr6:coauthVersionLast="47" xr6:coauthVersionMax="47" xr10:uidLastSave="{D0F94F9C-8FCD-45AB-BF4F-0A0E42052A56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<sst xmlns="http://schemas.openxmlformats.org/spreadsheetml/2006/main" count="3255" uniqueCount="760">
  <si>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</si>
  <si>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</si>
  <si>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</si>
  <si>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</si>
  <si>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</si>
  <si>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</si>
  <si>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</si>
  <si>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</si>
  <si>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</si>
  <si>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</si>
  <si>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</si>
  <si>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</si>
  <si>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</si>
  <si>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</si>
  <si>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</si>
  <si>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</si>
  <si>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</si>
  <si>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</si>
  <si>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</si>
  <si>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</si>
  <si>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</si>
  <si>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</si>
  <si>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</si>
  <si>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</si>
  <si>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</si>
  <si>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</si>
  <si>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</si>
  <si>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</si>
  <si>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</si>
  <si>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</si>
  <si>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</si>
  <si>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</si>
  <si>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</si>
  <si>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</si>
  <si>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</si>
  <si>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</si>
  <si>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</si>
  <si>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</si>
  <si>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</si>
  <si>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</si>
  <si>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</si>
  <si>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</si>
  <si>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</si>
  <si>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</si>
  <si>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</si>
  <si>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</si>
  <si>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</si>
  <si>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</si>
  <si>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</si>
  <si>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</si>
  <si>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</si>
  <si>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</si>
  <si>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</si>
  <si>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</si>
  <si>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</si>
  <si>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</si>
  <si>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</si>
  <si>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</si>
  <si>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</si>
  <si>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</si>
  <si>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</si>
  <si>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</si>
  <si>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</si>
  <si>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</si>
  <si>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</si>
  <si>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</si>
  <si>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</si>
  <si>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</si>
  <si>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</si>
  <si>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</si>
  <si>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</si>
  <si>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</si>
  <si>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</si>
  <si>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</si>
  <si>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</si>
  <si>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</si>
  <si>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</si>
  <si>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</si>
  <si>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</si>
  <si>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</si>
  <si>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</si>
  <si>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</si>
  <si>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</si>
  <si>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</si>
  <si>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</si>
  <si>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</si>
  <si>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</si>
  <si>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</si>
  <si>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</si>
  <si>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</si>
  <si>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</si>
  <si>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</si>
  <si>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</si>
  <si>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</si>
  <si>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</si>
  <si>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</si>
  <si>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</si>
  <si>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</si>
  <si>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</si>
  <si>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</si>
  <si>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</si>
  <si>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</si>
  <si>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</si>
  <si>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</si>
  <si>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</si>
  <si>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</si>
  <si>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</si>
  <si>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</si>
  <si>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</si>
  <si>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</si>
  <si>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</si>
  <si>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</si>
  <si>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</si>
  <si>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</si>
  <si>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</si>
  <si>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</si>
  <si>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</si>
  <si>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</si>
  <si>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</si>
  <si>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</si>
  <si>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</si>
  <si>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</si>
  <si>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</si>
  <si>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</si>
  <si>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</si>
  <si>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</si>
  <si>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</si>
  <si>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</si>
  <si>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</si>
  <si>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</si>
  <si>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</si>
  <si>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</si>
  <si>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</si>
  <si>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</si>
  <si>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</si>
  <si>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</si>
  <si>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</si>
  <si>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</si>
  <si>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</si>
  <si>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</si>
  <si>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</si>
  <si>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</si>
  <si>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</si>
  <si>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</si>
  <si>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</si>
  <si>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</si>
  <si>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</si>
  <si>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</si>
  <si>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</si>
  <si>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</si>
  <si>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</si>
  <si>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</si>
  <si>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</si>
  <si>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</si>
  <si>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</si>
  <si>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</si>
  <si>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</si>
  <si>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</si>
  <si>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</si>
  <si>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</si>
  <si>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</si>
  <si>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</si>
  <si>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</si>
  <si>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</si>
  <si>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</si>
  <si>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</si>
  <si>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</si>
  <si>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</si>
  <si>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</si>
  <si>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</si>
  <si>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</si>
  <si>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</si>
  <si>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</si>
  <si>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</si>
  <si>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</si>
  <si>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</si>
  <si>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</si>
  <si>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</si>
  <si>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</si>
  <si>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</si>
  <si>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</si>
  <si>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</si>
  <si>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</si>
  <si>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</si>
  <si>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</si>
  <si>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</si>
  <si>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</si>
  <si>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</si>
  <si>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</si>
  <si>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</si>
  <si>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</si>
  <si>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</si>
  <si>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</si>
  <si>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</si>
  <si>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</si>
  <si>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</si>
  <si>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</si>
  <si>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</si>
  <si>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</si>
  <si>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</si>
  <si>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</si>
  <si>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</si>
  <si>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</si>
  <si>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</si>
  <si>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</si>
  <si>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</si>
  <si>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</si>
  <si>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</si>
  <si>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</si>
  <si>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</si>
  <si>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</si>
  <si>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</si>
  <si>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</si>
  <si>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</si>
  <si>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</si>
  <si>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</si>
  <si>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</si>
  <si>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</si>
  <si>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</si>
  <si>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</si>
  <si>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</si>
  <si>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</si>
  <si>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</si>
  <si>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</si>
  <si>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</si>
  <si>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</si>
  <si>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</si>
  <si>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</si>
  <si>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</si>
  <si>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</si>
  <si>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</si>
  <si>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</si>
  <si>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</si>
  <si>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</si>
  <si>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</si>
  <si>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</si>
  <si>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</si>
  <si>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</si>
  <si>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</si>
  <si>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</si>
  <si>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</si>
  <si>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</si>
  <si>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</si>
  <si>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</si>
  <si>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</si>
  <si>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</si>
  <si>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</si>
  <si>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</si>
  <si>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</si>
  <si>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</si>
  <si>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</si>
  <si>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</si>
  <si>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</si>
  <si>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</si>
  <si>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</si>
  <si>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</si>
  <si>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</si>
  <si>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</si>
  <si>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</si>
  <si>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</si>
  <si>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</si>
  <si>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</si>
  <si>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</si>
  <si>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</si>
  <si>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</si>
  <si>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</si>
  <si>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</si>
  <si>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</si>
  <si>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</si>
  <si>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</si>
  <si>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</si>
  <si>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</si>
  <si>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</si>
  <si>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</si>
  <si>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</si>
  <si>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</si>
  <si>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</si>
  <si>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</si>
  <si>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</si>
  <si>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</si>
  <si>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</si>
  <si>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</si>
  <si>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</si>
  <si>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</si>
  <si>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</si>
  <si>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</si>
  <si>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</si>
  <si>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</si>
  <si>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</si>
  <si>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</si>
  <si>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</si>
  <si>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</si>
  <si>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</si>
  <si>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</si>
  <si>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</si>
  <si>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</si>
  <si>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</si>
  <si>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</si>
  <si>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</si>
  <si>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</si>
  <si>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</si>
  <si>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</si>
  <si>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</si>
  <si>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</si>
  <si>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</si>
  <si>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</si>
  <si>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</si>
  <si>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</si>
  <si>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</si>
  <si>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</si>
  <si>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</si>
  <si>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</si>
  <si>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</si>
  <si>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</si>
  <si>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</si>
  <si>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</si>
  <si>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</si>
  <si>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</si>
  <si>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</si>
  <si>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</si>
  <si>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</si>
  <si>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</si>
  <si>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</si>
  <si>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</si>
  <si>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</si>
  <si>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</si>
  <si>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</si>
  <si>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</si>
  <si>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</si>
  <si>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</si>
  <si>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</si>
  <si>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</si>
  <si>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</si>
  <si>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</si>
  <si>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</si>
  <si>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</si>
  <si>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</si>
  <si>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</si>
  <si>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</si>
  <si>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</si>
  <si>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</si>
  <si>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</si>
  <si>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</si>
  <si>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</si>
  <si>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</si>
  <si>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</si>
  <si>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</si>
  <si>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</si>
  <si>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</si>
  <si>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</si>
  <si>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</si>
  <si>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</si>
  <si>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</si>
  <si>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</si>
  <si>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</si>
  <si>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</si>
  <si>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</si>
  <si>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</si>
  <si>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</si>
  <si>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</si>
  <si>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</si>
  <si>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</si>
  <si>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</si>
  <si>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</si>
  <si>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</si>
  <si>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</si>
  <si>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</si>
  <si>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</si>
  <si>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</si>
  <si>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</si>
  <si>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</si>
  <si>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</si>
  <si>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</si>
  <si>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</si>
  <si>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</si>
  <si>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</si>
  <si>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</si>
  <si>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</si>
  <si>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</si>
  <si>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</si>
  <si>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</si>
  <si>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</si>
  <si>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</si>
  <si>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</si>
  <si>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</si>
  <si>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</si>
  <si>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</si>
  <si>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</si>
  <si>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</si>
  <si>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</si>
  <si>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</si>
  <si>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</si>
  <si>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</si>
  <si>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</si>
  <si>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</si>
  <si>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</si>
  <si>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</si>
  <si>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</si>
  <si>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</si>
  <si>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</si>
  <si>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</si>
  <si>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</si>
  <si>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</si>
  <si>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</si>
  <si>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</si>
  <si>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</si>
  <si>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</si>
  <si>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</si>
  <si>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</si>
  <si>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</si>
  <si>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</si>
  <si>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</si>
  <si>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</si>
  <si>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</si>
  <si>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</si>
  <si>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</si>
  <si>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</si>
  <si>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</si>
  <si>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</si>
  <si>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</si>
  <si>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</si>
  <si>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</si>
  <si>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</si>
  <si>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</si>
  <si>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</si>
  <si>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</si>
  <si>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</si>
  <si>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</si>
  <si>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</si>
  <si>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</si>
  <si>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</si>
  <si>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</si>
  <si>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</si>
  <si>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</si>
  <si>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</si>
  <si>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</si>
  <si>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</si>
  <si>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</si>
  <si>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</si>
  <si>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</si>
  <si>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</si>
  <si>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</si>
  <si>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</si>
  <si>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</si>
  <si>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</si>
  <si>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</si>
  <si>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</si>
  <si>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</si>
  <si>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</si>
  <si>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</si>
  <si>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</si>
  <si>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</si>
  <si>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</si>
  <si>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</si>
  <si>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</si>
  <si>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</si>
  <si>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</si>
  <si>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</si>
  <si>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</si>
  <si>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</si>
  <si>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</si>
  <si>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</si>
  <si>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</si>
  <si>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</si>
  <si>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</si>
  <si>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</si>
  <si>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</si>
  <si>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</si>
  <si>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</si>
  <si>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</si>
  <si>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</si>
  <si>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</si>
  <si>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</si>
  <si>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</si>
  <si>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</si>
  <si>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</si>
  <si>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</si>
  <si>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</si>
  <si>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</si>
  <si>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</si>
  <si>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</si>
  <si>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</si>
  <si>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</si>
  <si>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</si>
  <si>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</si>
  <si>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</si>
  <si>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</si>
  <si>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</si>
  <si>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</si>
  <si>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</si>
  <si>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</si>
  <si>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</si>
  <si>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</si>
  <si>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</si>
  <si>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</si>
  <si>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</si>
  <si>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</si>
  <si>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</si>
  <si>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</si>
  <si>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</si>
  <si>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</si>
  <si>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</si>
  <si>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</si>
  <si>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</si>
  <si>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</si>
  <si>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</si>
  <si>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</si>
  <si>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</si>
  <si>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</si>
  <si>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</si>
  <si>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</si>
  <si>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</si>
  <si>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</si>
  <si>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</si>
  <si>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</si>
  <si>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</si>
  <si>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</si>
  <si>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</si>
  <si>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</si>
  <si>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</si>
  <si>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</si>
  <si>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</si>
  <si>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</si>
  <si>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</si>
  <si>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</si>
  <si>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</si>
  <si>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</si>
  <si>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</si>
  <si>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</si>
  <si>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</si>
  <si>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</si>
  <si>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</si>
  <si>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</si>
  <si>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</si>
  <si>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</si>
  <si>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</si>
  <si>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</si>
  <si>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</si>
  <si>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</si>
  <si>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</si>
  <si>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</si>
  <si>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</si>
  <si>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</si>
  <si>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</si>
  <si>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</si>
  <si>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</si>
  <si>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</si>
  <si>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</si>
  <si>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</si>
  <si>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</si>
  <si>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</si>
  <si>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</si>
  <si>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</si>
  <si>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</si>
  <si>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</si>
  <si>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</si>
  <si>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</si>
  <si>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</si>
  <si>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</si>
  <si>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</si>
  <si>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</si>
  <si>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</si>
  <si>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</si>
  <si>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</si>
  <si>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</si>
  <si>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</si>
  <si>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</si>
  <si>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</si>
  <si>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</si>
  <si>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</si>
  <si>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</si>
  <si>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</si>
  <si>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</si>
  <si>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</si>
  <si>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</si>
  <si>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</si>
  <si>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</si>
  <si>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</si>
  <si>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</si>
  <si>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</si>
  <si>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</si>
  <si>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</si>
  <si>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</si>
  <si>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</si>
  <si>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</si>
  <si>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</si>
  <si>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</si>
  <si>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</si>
  <si>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</si>
  <si>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</si>
  <si>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</si>
  <si>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</si>
  <si>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</si>
  <si>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</si>
  <si>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</si>
  <si>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</si>
  <si>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</si>
  <si>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</si>
  <si>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</si>
  <si>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</si>
  <si>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</si>
  <si>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</si>
  <si>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</si>
  <si>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</si>
  <si>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</si>
  <si>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</si>
  <si>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</si>
  <si>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</si>
  <si>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</si>
  <si>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</si>
  <si>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</si>
  <si>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</si>
  <si>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</si>
  <si>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</si>
  <si>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</si>
  <si>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</si>
  <si>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</si>
  <si>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</si>
  <si>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</si>
  <si>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</si>
  <si>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</si>
  <si>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</si>
  <si>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</si>
  <si>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</si>
  <si>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</si>
  <si>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</si>
  <si>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</si>
  <si>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</si>
  <si>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</si>
  <si>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</si>
  <si>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</si>
  <si>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</si>
  <si>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</si>
  <si>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</si>
  <si>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</si>
  <si>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</si>
  <si>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</si>
  <si>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</si>
  <si>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</si>
  <si>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</si>
  <si>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</si>
  <si>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</si>
  <si>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</si>
  <si>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</si>
  <si>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</si>
  <si>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</si>
  <si>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</si>
  <si>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</si>
  <si>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</si>
  <si>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</si>
  <si>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</si>
  <si>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</si>
  <si>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</si>
  <si>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</si>
  <si>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</si>
  <si>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</si>
  <si>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</si>
  <si>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</si>
  <si>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</si>
  <si>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</si>
  <si>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</si>
  <si>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</si>
  <si>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</si>
  <si>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</si>
  <si>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</si>
  <si>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</si>
  <si>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</si>
  <si>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</si>
  <si>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</si>
  <si>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</si>
  <si>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</si>
  <si>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</si>
  <si>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</si>
  <si>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</si>
  <si>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</si>
  <si>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</si>
  <si>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</si>
  <si>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</si>
  <si>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</si>
  <si>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</si>
  <si>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</si>
  <si>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</si>
  <si>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</si>
  <si>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</si>
  <si>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</si>
  <si>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</si>
  <si>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</si>
  <si>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</si>
  <si>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</si>
  <si>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</si>
  <si>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</si>
  <si>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</si>
  <si>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</si>
  <si>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</si>
  <si>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</si>
  <si>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</si>
  <si>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</si>
  <si>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</si>
  <si>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</si>
  <si>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</si>
  <si>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</si>
  <si>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</si>
  <si>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</si>
  <si>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</si>
  <si>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</si>
  <si>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</si>
  <si>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</si>
  <si>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</si>
  <si>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</si>
  <si>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</si>
  <si>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</si>
  <si>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</si>
  <si>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</si>
  <si>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</si>
  <si>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</si>
  <si>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</si>
  <si>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</si>
  <si>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</si>
  <si>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</si>
  <si>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</si>
  <si>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</si>
  <si>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</si>
  <si>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</si>
  <si>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</si>
  <si>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</si>
  <si>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</si>
  <si>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</si>
  <si>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</si>
  <si>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</si>
  <si>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</si>
  <si>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</si>
  <si>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</si>
  <si>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</si>
  <si>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</si>
  <si>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</si>
  <si>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</si>
  <si>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</si>
  <si>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</si>
  <si>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</si>
  <si>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</si>
  <si>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</si>
  <si>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</si>
  <si>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</si>
  <si>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</si>
  <si>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</si>
  <si>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</si>
  <si>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</si>
  <si>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</si>
  <si>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</si>
  <si>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C:\Users\eloi.verge\OneDrive - EUROLEAGUE\Desktop\GAME REPORTS\25-26</t>
  </si>
  <si>
    <t>03:39</t>
  </si>
  <si>
    <t>05:43</t>
  </si>
  <si>
    <t>JAIME LAQUIDAIN</t>
  </si>
  <si>
    <t>VICTOR LAQUIDAIN</t>
  </si>
  <si>
    <t>ALEX CORNET</t>
  </si>
  <si>
    <t>ANA MARTIN</t>
  </si>
  <si>
    <t>INES RAQUEL PIATKOWSKA</t>
  </si>
  <si>
    <t>ALBERTO GONZALEZ</t>
  </si>
  <si>
    <t>ELOI VERGE</t>
  </si>
  <si>
    <t>Fantastic job!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</si>
</sst>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J40" sqref="J40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24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24_231_IST_OLY_E2025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231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46044.854166666664</v>
      </c>
      <c r="C3" s="178"/>
      <c r="D3" s="39">
        <v>550</v>
      </c>
      <c r="E3" s="29"/>
      <c r="F3" s="26">
        <f>SUBTOTAL(3,I17:I106)</f>
        <v>2</v>
      </c>
      <c r="G3" s="27">
        <f>IF(OR(D3="",D3=0),"",F3/D3)</f>
        <v>3.6363636363636364E-3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Anadolu Efes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742</v>
      </c>
      <c r="L4" s="5"/>
      <c r="M4" s="185" t="s">
        <v>759</v>
      </c>
      <c r="N4" s="186"/>
      <c r="O4" s="2"/>
      <c r="P4" s="2"/>
      <c r="Q4" s="84" t="s">
        <v>175</v>
      </c>
      <c r="R4" s="94">
        <f>(IF(G3="",0,G3))</f>
        <v>3.6363636363636364E-3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Olympiacos Piraeus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0.36363636363636365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752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753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1.3636363636363638</v>
      </c>
      <c r="N7" s="58"/>
      <c r="O7" s="2"/>
      <c r="P7" s="2"/>
      <c r="Q7" s="86">
        <f>SUM(R5,S5,AC16)</f>
        <v>1.3636363636363638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754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1.3636363636363638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755</v>
      </c>
      <c r="E9" s="159"/>
      <c r="F9" s="159"/>
      <c r="G9" s="16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756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757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231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758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231</v>
      </c>
      <c r="D17" s="32" t="s">
        <v>750</v>
      </c>
      <c r="E17" s="33">
        <v>4</v>
      </c>
      <c r="F17" s="36">
        <v>61</v>
      </c>
      <c r="G17" s="36">
        <v>67</v>
      </c>
      <c r="H17" s="38" t="str">
        <f>IF(I17="","",$I$14)</f>
        <v>SCOUTING</v>
      </c>
      <c r="I17" s="34">
        <v>499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231</v>
      </c>
      <c r="D18" s="32" t="s">
        <v>751</v>
      </c>
      <c r="E18" s="33">
        <v>4</v>
      </c>
      <c r="F18" s="36">
        <v>56</v>
      </c>
      <c r="G18" s="36">
        <v>62</v>
      </c>
      <c r="H18" s="38" t="str">
        <f t="shared" ref="H18:H81" si="8">IF(I18="","",$I$14)</f>
        <v>SCOUTING</v>
      </c>
      <c r="I18" s="34">
        <v>466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REPORT_E2025231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"E2025231"</v>
      </c>
      <c r="F3" s="45" t="str">
        <f t="shared" ref="F3:F16" si="0">""""&amp;B3&amp;"""" &amp; " : " &amp;C3&amp;","</f>
        <v>"name" : "E2025231",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"E231"</v>
      </c>
      <c r="F4" s="45" t="str">
        <f t="shared" si="0"/>
        <v>"cod" : "E231",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231</v>
      </c>
      <c r="F6" s="45" t="str">
        <f t="shared" si="0"/>
        <v>"number" : 231,</v>
      </c>
    </row>
    <row r="7" spans="2:6" x14ac:dyDescent="0.25">
      <c r="B7" s="43" t="s">
        <v>116</v>
      </c>
      <c r="C7" s="43" t="str">
        <f ca="1">""""&amp;TEXT('SCOUT &amp; LOGISTICS'!B3,"dd/mm/aaaa")&amp;""""</f>
        <v>"22/01/2026"</v>
      </c>
      <c r="F7" s="45" t="str">
        <f t="shared" ca="1" si="0"/>
        <v>"date" : "22/01/2026",</v>
      </c>
    </row>
    <row r="8" spans="2:6" x14ac:dyDescent="0.25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5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"JAIME LAQUIDAIN"</v>
      </c>
      <c r="F10" s="45" t="str">
        <f t="shared" si="0"/>
        <v>"Data_entry" : "JAIME LAQUIDAIN",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"VICTOR LAQUIDAIN"</v>
      </c>
      <c r="F11" s="45" t="str">
        <f t="shared" si="0"/>
        <v>"Caller_1" : "VICTOR LAQUIDAIN",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"ALEX CORNET"</v>
      </c>
      <c r="F12" s="45" t="str">
        <f t="shared" si="0"/>
        <v>"Caller_2" : "ALEX CORNET",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"ANA MARTIN"</v>
      </c>
      <c r="F13" s="45" t="str">
        <f t="shared" si="0"/>
        <v>"Timerkeeper" : "ANA MARTIN",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"INES RAQUEL PIATKOWSKA"</v>
      </c>
      <c r="F14" s="45" t="str">
        <f t="shared" si="0"/>
        <v>"Shotclock" : "INES RAQUEL PIATKOWSKA",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"ALBERTO GONZALEZ"</v>
      </c>
      <c r="F15" s="45" t="str">
        <f t="shared" si="0"/>
        <v>"IRS" : "ALBERTO GONZALEZ",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550</v>
      </c>
      <c r="F25" s="45" t="str">
        <f t="shared" ref="F25:F48" si="1">""""&amp;C25&amp;"""" &amp; " : " &amp;D25&amp;","</f>
        <v>"total_actions" : 550,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"0,4%"</v>
      </c>
      <c r="F27" s="45" t="str">
        <f t="shared" si="1"/>
        <v>"%_corrections" : "0,4%",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"Fantastic job!"</v>
      </c>
      <c r="F51" s="45" t="str">
        <f>""""&amp;B51&amp;"""" &amp; " : " &amp;C51&amp;","</f>
        <v>"comments" : "Fantastic job!",</v>
      </c>
    </row>
    <row r="52" spans="2:6" x14ac:dyDescent="0.25">
      <c r="B52" s="43" t="s">
        <v>153</v>
      </c>
      <c r="C52" s="43" t="str">
        <f>TEXT('SCOUT &amp; LOGISTICS'!F1,"0,0")</f>
        <v>24_231_IST_OLY_E2025</v>
      </c>
      <c r="F52" s="45" t="str">
        <f>""""&amp;B52&amp;"""" &amp; " : " &amp;C52</f>
        <v>"result" : 24_231_IST_OLY_E2025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E231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22/01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Anadolu Efes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Olympiacos Piraeus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JAIME LAQUIDAIN</v>
      </c>
      <c r="C8" s="201"/>
      <c r="D8" s="201"/>
      <c r="E8" s="201"/>
      <c r="F8" s="201"/>
      <c r="G8" s="201" t="str">
        <f>IF('SCOUT &amp; LOGISTICS'!D7="","",'SCOUT &amp; LOGISTICS'!D7)</f>
        <v>VICTOR LAQUIDAIN</v>
      </c>
      <c r="H8" s="201"/>
      <c r="I8" s="201"/>
      <c r="J8" s="201"/>
      <c r="K8" s="201"/>
      <c r="L8" s="201" t="str">
        <f>IF('SCOUT &amp; LOGISTICS'!D8="","",'SCOUT &amp; LOGISTICS'!D8)</f>
        <v>ALEX CORNET</v>
      </c>
      <c r="M8" s="201"/>
      <c r="N8" s="201"/>
      <c r="O8" s="201"/>
      <c r="P8" s="201"/>
      <c r="Q8" s="201" t="str">
        <f>IF('SCOUT &amp; LOGISTICS'!D9="","",'SCOUT &amp; LOGISTICS'!D9)</f>
        <v>ANA MARTIN</v>
      </c>
      <c r="R8" s="201"/>
      <c r="S8" s="201"/>
      <c r="T8" s="201"/>
      <c r="U8" s="201"/>
      <c r="V8" s="201" t="str">
        <f>IF('SCOUT &amp; LOGISTICS'!D10="","",'SCOUT &amp; LOGISTICS'!D10)</f>
        <v>INES RAQUEL PIATKOWSKA</v>
      </c>
      <c r="W8" s="201"/>
      <c r="X8" s="201"/>
      <c r="Y8" s="201"/>
      <c r="Z8" s="201"/>
      <c r="AA8" s="201" t="str">
        <f>IF('SCOUT &amp; LOGISTICS'!D11="","",'SCOUT &amp; LOGISTICS'!D11)</f>
        <v>ALBERTO GONZALEZ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L G M: : ELOI VERGE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550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3.6363636363636364E-3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2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Fantastic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1.3636363636363638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DE85468C-9801-4EC0-AA98-CFCA7AEC9B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2026-01-23T15:39:00Z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