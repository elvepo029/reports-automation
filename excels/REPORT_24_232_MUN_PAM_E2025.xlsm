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9" documentId="8_{840E05AD-3EC7-41CD-92B4-DD4E0CC8BDA1}" xr6:coauthVersionLast="47" xr6:coauthVersionMax="47" xr10:uidLastSave="{2DBAEF70-3357-401D-AD74-6345A0FEDD94}"/>
  <bookViews>
    <workbookView xWindow="-28920" yWindow="63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<sst xmlns="http://schemas.openxmlformats.org/spreadsheetml/2006/main" count="3285" uniqueCount="762">
  <si>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</si>
  <si>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</si>
  <si>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</si>
  <si>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</si>
  <si>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</si>
  <si>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</si>
  <si>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</si>
  <si>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</si>
  <si>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</si>
  <si>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</si>
  <si>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</si>
  <si>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</si>
  <si>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</si>
  <si>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</si>
  <si>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</si>
  <si>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</si>
  <si>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</si>
  <si>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</si>
  <si>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</si>
  <si>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</si>
  <si>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</si>
  <si>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</si>
  <si>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</si>
  <si>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</si>
  <si>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</si>
  <si>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</si>
  <si>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</si>
  <si>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</si>
  <si>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</si>
  <si>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</si>
  <si>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</si>
  <si>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</si>
  <si>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</si>
  <si>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</si>
  <si>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</si>
  <si>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</si>
  <si>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</si>
  <si>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</si>
  <si>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</si>
  <si>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</si>
  <si>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</si>
  <si>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</si>
  <si>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</si>
  <si>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</si>
  <si>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</si>
  <si>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</si>
  <si>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</si>
  <si>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</si>
  <si>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</si>
  <si>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</si>
  <si>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</si>
  <si>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</si>
  <si>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</si>
  <si>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</si>
  <si>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</si>
  <si>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</si>
  <si>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</si>
  <si>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</si>
  <si>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</si>
  <si>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</si>
  <si>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</si>
  <si>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</si>
  <si>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</si>
  <si>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</si>
  <si>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</si>
  <si>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</si>
  <si>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</si>
  <si>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</si>
  <si>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</si>
  <si>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</si>
  <si>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</si>
  <si>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</si>
  <si>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</si>
  <si>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</si>
  <si>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</si>
  <si>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</si>
  <si>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</si>
  <si>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</si>
  <si>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</si>
  <si>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</si>
  <si>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</si>
  <si>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</si>
  <si>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</si>
  <si>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</si>
  <si>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</si>
  <si>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</si>
  <si>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</si>
  <si>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</si>
  <si>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</si>
  <si>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</si>
  <si>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</si>
  <si>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</si>
  <si>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</si>
  <si>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</si>
  <si>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</si>
  <si>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</si>
  <si>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</si>
  <si>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</si>
  <si>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</si>
  <si>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</si>
  <si>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</si>
  <si>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</si>
  <si>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</si>
  <si>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</si>
  <si>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</si>
  <si>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</si>
  <si>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</si>
  <si>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</si>
  <si>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</si>
  <si>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</si>
  <si>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</si>
  <si>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</si>
  <si>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</si>
  <si>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</si>
  <si>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</si>
  <si>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</si>
  <si>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</si>
  <si>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</si>
  <si>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</si>
  <si>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</si>
  <si>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</si>
  <si>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</si>
  <si>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</si>
  <si>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</si>
  <si>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</si>
  <si>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</si>
  <si>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</si>
  <si>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</si>
  <si>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</si>
  <si>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</si>
  <si>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</si>
  <si>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</si>
  <si>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</si>
  <si>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</si>
  <si>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</si>
  <si>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</si>
  <si>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</si>
  <si>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</si>
  <si>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</si>
  <si>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</si>
  <si>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</si>
  <si>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</si>
  <si>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</si>
  <si>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</si>
  <si>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</si>
  <si>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</si>
  <si>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</si>
  <si>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</si>
  <si>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</si>
  <si>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</si>
  <si>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</si>
  <si>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</si>
  <si>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</si>
  <si>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</si>
  <si>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</si>
  <si>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</si>
  <si>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</si>
  <si>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</si>
  <si>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</si>
  <si>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</si>
  <si>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</si>
  <si>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</si>
  <si>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</si>
  <si>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</si>
  <si>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</si>
  <si>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</si>
  <si>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</si>
  <si>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</si>
  <si>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</si>
  <si>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</si>
  <si>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</si>
  <si>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</si>
  <si>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</si>
  <si>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</si>
  <si>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</si>
  <si>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</si>
  <si>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</si>
  <si>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</si>
  <si>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</si>
  <si>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</si>
  <si>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</si>
  <si>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</si>
  <si>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</si>
  <si>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</si>
  <si>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</si>
  <si>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</si>
  <si>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</si>
  <si>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</si>
  <si>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</si>
  <si>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</si>
  <si>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</si>
  <si>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</si>
  <si>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</si>
  <si>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</si>
  <si>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</si>
  <si>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</si>
  <si>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</si>
  <si>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</si>
  <si>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</si>
  <si>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</si>
  <si>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</si>
  <si>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</si>
  <si>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</si>
  <si>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</si>
  <si>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</si>
  <si>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</si>
  <si>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</si>
  <si>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</si>
  <si>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</si>
  <si>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</si>
  <si>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</si>
  <si>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</si>
  <si>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</si>
  <si>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</si>
  <si>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</si>
  <si>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</si>
  <si>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</si>
  <si>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</si>
  <si>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</si>
  <si>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</si>
  <si>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</si>
  <si>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</si>
  <si>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</si>
  <si>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</si>
  <si>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</si>
  <si>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</si>
  <si>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</si>
  <si>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</si>
  <si>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</si>
  <si>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</si>
  <si>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</si>
  <si>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</si>
  <si>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</si>
  <si>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</si>
  <si>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</si>
  <si>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</si>
  <si>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</si>
  <si>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</si>
  <si>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</si>
  <si>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</si>
  <si>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</si>
  <si>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</si>
  <si>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</si>
  <si>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</si>
  <si>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</si>
  <si>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</si>
  <si>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</si>
  <si>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</si>
  <si>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</si>
  <si>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</si>
  <si>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</si>
  <si>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</si>
  <si>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</si>
  <si>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</si>
  <si>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</si>
  <si>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</si>
  <si>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</si>
  <si>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</si>
  <si>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</si>
  <si>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</si>
  <si>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</si>
  <si>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</si>
  <si>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</si>
  <si>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</si>
  <si>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</si>
  <si>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</si>
  <si>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</si>
  <si>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</si>
  <si>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</si>
  <si>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</si>
  <si>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</si>
  <si>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</si>
  <si>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</si>
  <si>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</si>
  <si>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</si>
  <si>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</si>
  <si>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</si>
  <si>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</si>
  <si>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</si>
  <si>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</si>
  <si>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</si>
  <si>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</si>
  <si>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</si>
  <si>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</si>
  <si>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</si>
  <si>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</si>
  <si>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</si>
  <si>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</si>
  <si>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</si>
  <si>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</si>
  <si>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</si>
  <si>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</si>
  <si>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</si>
  <si>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</si>
  <si>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</si>
  <si>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</si>
  <si>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</si>
  <si>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</si>
  <si>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</si>
  <si>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</si>
  <si>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</si>
  <si>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</si>
  <si>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</si>
  <si>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</si>
  <si>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</si>
  <si>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</si>
  <si>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</si>
  <si>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</si>
  <si>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</si>
  <si>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</si>
  <si>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</si>
  <si>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</si>
  <si>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</si>
  <si>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</si>
  <si>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</si>
  <si>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</si>
  <si>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</si>
  <si>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</si>
  <si>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</si>
  <si>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</si>
  <si>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</si>
  <si>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</si>
  <si>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</si>
  <si>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</si>
  <si>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</si>
  <si>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</si>
  <si>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</si>
  <si>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</si>
  <si>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</si>
  <si>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</si>
  <si>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</si>
  <si>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</si>
  <si>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</si>
  <si>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</si>
  <si>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</si>
  <si>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</si>
  <si>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</si>
  <si>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</si>
  <si>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</si>
  <si>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</si>
  <si>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</si>
  <si>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</si>
  <si>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</si>
  <si>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</si>
  <si>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</si>
  <si>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</si>
  <si>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</si>
  <si>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</si>
  <si>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</si>
  <si>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</si>
  <si>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</si>
  <si>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</si>
  <si>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</si>
  <si>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</si>
  <si>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</si>
  <si>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</si>
  <si>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</si>
  <si>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</si>
  <si>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</si>
  <si>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</si>
  <si>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</si>
  <si>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</si>
  <si>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</si>
  <si>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</si>
  <si>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</si>
  <si>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</si>
  <si>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</si>
  <si>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</si>
  <si>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</si>
  <si>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</si>
  <si>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</si>
  <si>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</si>
  <si>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</si>
  <si>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</si>
  <si>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</si>
  <si>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</si>
  <si>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</si>
  <si>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</si>
  <si>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</si>
  <si>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</si>
  <si>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</si>
  <si>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</si>
  <si>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</si>
  <si>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</si>
  <si>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</si>
  <si>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</si>
  <si>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</si>
  <si>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</si>
  <si>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</si>
  <si>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</si>
  <si>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</si>
  <si>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</si>
  <si>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</si>
  <si>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</si>
  <si>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</si>
  <si>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</si>
  <si>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</si>
  <si>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</si>
  <si>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</si>
  <si>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</si>
  <si>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</si>
  <si>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</si>
  <si>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</si>
  <si>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</si>
  <si>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</si>
  <si>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</si>
  <si>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</si>
  <si>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</si>
  <si>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</si>
  <si>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</si>
  <si>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</si>
  <si>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</si>
  <si>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</si>
  <si>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</si>
  <si>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</si>
  <si>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</si>
  <si>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</si>
  <si>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</si>
  <si>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</si>
  <si>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</si>
  <si>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</si>
  <si>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</si>
  <si>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</si>
  <si>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</si>
  <si>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</si>
  <si>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</si>
  <si>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</si>
  <si>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</si>
  <si>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</si>
  <si>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</si>
  <si>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</si>
  <si>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</si>
  <si>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</si>
  <si>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</si>
  <si>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</si>
  <si>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</si>
  <si>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</si>
  <si>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</si>
  <si>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</si>
  <si>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</si>
  <si>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</si>
  <si>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</si>
  <si>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</si>
  <si>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</si>
  <si>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</si>
  <si>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</si>
  <si>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</si>
  <si>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</si>
  <si>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</si>
  <si>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</si>
  <si>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</si>
  <si>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</si>
  <si>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</si>
  <si>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</si>
  <si>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</si>
  <si>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</si>
  <si>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</si>
  <si>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</si>
  <si>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</si>
  <si>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</si>
  <si>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</si>
  <si>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</si>
  <si>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</si>
  <si>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</si>
  <si>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</si>
  <si>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</si>
  <si>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</si>
  <si>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</si>
  <si>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</si>
  <si>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</si>
  <si>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</si>
  <si>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</si>
  <si>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</si>
  <si>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</si>
  <si>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</si>
  <si>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</si>
  <si>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</si>
  <si>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</si>
  <si>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</si>
  <si>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</si>
  <si>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</si>
  <si>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</si>
  <si>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</si>
  <si>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</si>
  <si>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</si>
  <si>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</si>
  <si>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</si>
  <si>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</si>
  <si>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</si>
  <si>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</si>
  <si>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</si>
  <si>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</si>
  <si>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</si>
  <si>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</si>
  <si>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</si>
  <si>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</si>
  <si>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</si>
  <si>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</si>
  <si>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</si>
  <si>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</si>
  <si>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</si>
  <si>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</si>
  <si>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</si>
  <si>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</si>
  <si>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</si>
  <si>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</si>
  <si>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</si>
  <si>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</si>
  <si>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</si>
  <si>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</si>
  <si>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</si>
  <si>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</si>
  <si>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</si>
  <si>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</si>
  <si>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</si>
  <si>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</si>
  <si>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</si>
  <si>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</si>
  <si>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</si>
  <si>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</si>
  <si>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</si>
  <si>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</si>
  <si>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</si>
  <si>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</si>
  <si>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</si>
  <si>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</si>
  <si>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</si>
  <si>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</si>
  <si>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</si>
  <si>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</si>
  <si>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</si>
  <si>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</si>
  <si>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</si>
  <si>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</si>
  <si>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</si>
  <si>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</si>
  <si>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</si>
  <si>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</si>
  <si>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</si>
  <si>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</si>
  <si>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</si>
  <si>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</si>
  <si>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</si>
  <si>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</si>
  <si>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</si>
  <si>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</si>
  <si>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</si>
  <si>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</si>
  <si>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</si>
  <si>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</si>
  <si>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</si>
  <si>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</si>
  <si>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</si>
  <si>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</si>
  <si>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</si>
  <si>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</si>
  <si>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</si>
  <si>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</si>
  <si>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</si>
  <si>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</si>
  <si>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</si>
  <si>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</si>
  <si>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</si>
  <si>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</si>
  <si>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</si>
  <si>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</si>
  <si>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</si>
  <si>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</si>
  <si>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</si>
  <si>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</si>
  <si>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</si>
  <si>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</si>
  <si>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</si>
  <si>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</si>
  <si>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</si>
  <si>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</si>
  <si>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</si>
  <si>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</si>
  <si>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</si>
  <si>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</si>
  <si>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</si>
  <si>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</si>
  <si>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</si>
  <si>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</si>
  <si>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</si>
  <si>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</si>
  <si>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</si>
  <si>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</si>
  <si>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</si>
  <si>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</si>
  <si>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</si>
  <si>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</si>
  <si>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</si>
  <si>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</si>
  <si>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</si>
  <si>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</si>
  <si>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</si>
  <si>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</si>
  <si>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</si>
  <si>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</si>
  <si>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</si>
  <si>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</si>
  <si>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</si>
  <si>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</si>
  <si>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</si>
  <si>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</si>
  <si>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</si>
  <si>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</si>
  <si>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</si>
  <si>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</si>
  <si>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</si>
  <si>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</si>
  <si>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</si>
  <si>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</si>
  <si>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</si>
  <si>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</si>
  <si>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</si>
  <si>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</si>
  <si>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</si>
  <si>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</si>
  <si>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</si>
  <si>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</si>
  <si>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</si>
  <si>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</si>
  <si>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</si>
  <si>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</si>
  <si>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</si>
  <si>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</si>
  <si>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</si>
  <si>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</si>
  <si>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</si>
  <si>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</si>
  <si>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</si>
  <si>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</si>
  <si>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</si>
  <si>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</si>
  <si>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</si>
  <si>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</si>
  <si>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</si>
  <si>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</si>
  <si>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</si>
  <si>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</si>
  <si>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</si>
  <si>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</si>
  <si>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</si>
  <si>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</si>
  <si>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</si>
  <si>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</si>
  <si>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</si>
  <si>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</si>
  <si>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</si>
  <si>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</si>
  <si>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</si>
  <si>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</si>
  <si>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</si>
  <si>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</si>
  <si>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</si>
  <si>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</si>
  <si>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</si>
  <si>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</si>
  <si>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</si>
  <si>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</si>
  <si>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</si>
  <si>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</si>
  <si>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</si>
  <si>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</si>
  <si>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</si>
  <si>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</si>
  <si>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</si>
  <si>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</si>
  <si>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</si>
  <si>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</si>
  <si>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</si>
  <si>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</si>
  <si>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</si>
  <si>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</si>
  <si>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</si>
  <si>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</si>
  <si>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</si>
  <si>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</si>
  <si>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</si>
  <si>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</si>
  <si>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</si>
  <si>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</si>
  <si>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</si>
  <si>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</si>
  <si>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</si>
  <si>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</si>
  <si>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</si>
  <si>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</si>
  <si>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</si>
  <si>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</si>
  <si>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</si>
  <si>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</si>
  <si>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</si>
  <si>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</si>
  <si>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</si>
  <si>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</si>
  <si>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</si>
  <si>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</si>
  <si>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</si>
  <si>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</si>
  <si>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</si>
  <si>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</si>
  <si>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</si>
  <si>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</si>
  <si>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</si>
  <si>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</si>
  <si>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</si>
  <si>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</si>
  <si>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</si>
  <si>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</si>
  <si>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</si>
  <si>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</si>
  <si>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</si>
  <si>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</si>
  <si>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</si>
  <si>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</si>
  <si>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</si>
  <si>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</si>
  <si>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</si>
  <si>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</si>
  <si>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</si>
  <si>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</si>
  <si>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</si>
  <si>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</si>
  <si>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</si>
  <si>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</si>
  <si>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</si>
  <si>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</si>
  <si>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</si>
  <si>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</si>
  <si>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</si>
  <si>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</si>
  <si>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</si>
  <si>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</si>
  <si>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</si>
  <si>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</si>
  <si>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</si>
  <si>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</si>
  <si>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</si>
  <si>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</si>
  <si>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</si>
  <si>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</si>
  <si>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</si>
  <si>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</si>
  <si>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</si>
  <si>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</si>
  <si>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</si>
  <si>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</si>
  <si>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MARKUS SKUBATZ</t>
  </si>
  <si>
    <t>CHRISTIAN HONLE</t>
  </si>
  <si>
    <t>ORIOL GARCIA</t>
  </si>
  <si>
    <t>08:30</t>
  </si>
  <si>
    <t>04:38</t>
  </si>
  <si>
    <t>08:17</t>
  </si>
  <si>
    <t>00:06</t>
  </si>
  <si>
    <t>03:14</t>
  </si>
  <si>
    <t>00:16</t>
  </si>
  <si>
    <t>05:32</t>
  </si>
  <si>
    <t>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t>
  </si>
  <si>
    <t>C:\Users\oriol.garcia\OneDrive - EUROLEAGUE\Documents\Season 25-26\Reports\Euroleague\Bayern Munchen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</si>
</sst>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35" sqref="M35"/>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24</v>
      </c>
      <c r="D1" s="124" t="s">
        <v>749</v>
      </c>
      <c r="E1" s="125">
        <v>2025</v>
      </c>
      <c r="F1" s="120" t="str">
        <f>TEXT(C1,"00") &amp; "_" &amp; TEXT(C2,"000")&amp; "_" &amp; H4 &amp; "_" &amp; H5 &amp; "_" &amp; B2</f>
        <v>24_232_MUN_PAM_E2025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232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46044.854166666664</v>
      </c>
      <c r="C3" s="157"/>
      <c r="D3" s="39">
        <v>680</v>
      </c>
      <c r="E3" s="29"/>
      <c r="F3" s="26">
        <f>SUBTOTAL(3,I17:I106)</f>
        <v>8</v>
      </c>
      <c r="G3" s="27">
        <f>IF(OR(D3="",D3=0),"",F3/D3)</f>
        <v>1.1764705882352941E-2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FC Bayern Munich</v>
      </c>
      <c r="E4" s="161"/>
      <c r="F4" s="161"/>
      <c r="G4" s="162"/>
      <c r="H4" s="118" t="str">
        <f>IF(ISERROR(VLOOKUP($B$2&amp;TEXT($C$2,"000"),GAMES!$A$3:$I$562,6,FALSE)),"LOC",VLOOKUP($B$2&amp;TEXT($C$2,"000"),GAMES!$A$3:$I$562,6,FALSE))</f>
        <v>MUN</v>
      </c>
      <c r="I4" s="5"/>
      <c r="J4" s="119" t="s">
        <v>714</v>
      </c>
      <c r="K4" s="54" t="s">
        <v>743</v>
      </c>
      <c r="L4" s="5"/>
      <c r="M4" s="167" t="s">
        <v>760</v>
      </c>
      <c r="N4" s="168"/>
      <c r="O4" s="2"/>
      <c r="P4" s="2"/>
      <c r="Q4" s="84" t="s">
        <v>175</v>
      </c>
      <c r="R4" s="94">
        <f>(IF(G3="",0,G3))</f>
        <v>1.1764705882352941E-2</v>
      </c>
      <c r="S4" s="61">
        <f>SUM(I13:M13)</f>
        <v>1</v>
      </c>
      <c r="T4" s="78"/>
      <c r="U4" s="61">
        <f>AC18</f>
        <v>3</v>
      </c>
      <c r="V4" s="61">
        <f>+AC22</f>
        <v>3</v>
      </c>
      <c r="W4" s="61">
        <f>AC24</f>
        <v>0</v>
      </c>
      <c r="X4" s="61">
        <f>AC29</f>
        <v>0</v>
      </c>
      <c r="Y4" s="61">
        <f>AC25</f>
        <v>0</v>
      </c>
      <c r="Z4" s="84">
        <f>AC23</f>
        <v>0</v>
      </c>
      <c r="AA4" s="61">
        <f>AC21</f>
        <v>0</v>
      </c>
      <c r="AB4" s="61">
        <f>AC27</f>
        <v>1</v>
      </c>
      <c r="AC4" s="61">
        <f>AC17</f>
        <v>0</v>
      </c>
      <c r="AD4" s="61">
        <f>AC20</f>
        <v>0</v>
      </c>
      <c r="AE4" s="61">
        <f>AC28</f>
        <v>1</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Valencia Basket</v>
      </c>
      <c r="E5" s="174"/>
      <c r="F5" s="174"/>
      <c r="G5" s="175"/>
      <c r="H5" s="118" t="str">
        <f>IF(ISERROR(VLOOKUP($B$2&amp;TEXT($C$2,"000"),GAMES!$A$3:$I$562,7,FALSE)),"VIS",VLOOKUP($B$2&amp;TEXT($C$2,"000"),GAMES!$A$3:$I$562,7,FALSE))</f>
        <v>PAM</v>
      </c>
      <c r="I5" s="5"/>
      <c r="J5" s="5"/>
      <c r="K5" s="5"/>
      <c r="L5" s="5"/>
      <c r="M5" s="169"/>
      <c r="N5" s="170"/>
      <c r="O5" s="2"/>
      <c r="P5" s="2"/>
      <c r="Q5" s="89" t="s">
        <v>174</v>
      </c>
      <c r="R5" s="94">
        <f>R4*R3</f>
        <v>1.1764705882352942</v>
      </c>
      <c r="S5" s="70">
        <f t="shared" ref="S5" si="0">S4*S3</f>
        <v>1</v>
      </c>
      <c r="T5" s="92"/>
      <c r="U5" s="70">
        <f t="shared" ref="U5:AG5" si="1">U4*U3</f>
        <v>1.5</v>
      </c>
      <c r="V5" s="70">
        <f t="shared" si="1"/>
        <v>3</v>
      </c>
      <c r="W5" s="70">
        <f t="shared" si="1"/>
        <v>0</v>
      </c>
      <c r="X5" s="70">
        <f t="shared" si="1"/>
        <v>0</v>
      </c>
      <c r="Y5" s="70">
        <f t="shared" si="1"/>
        <v>0</v>
      </c>
      <c r="Z5" s="89">
        <f t="shared" si="1"/>
        <v>0</v>
      </c>
      <c r="AA5" s="70">
        <f t="shared" si="1"/>
        <v>0</v>
      </c>
      <c r="AB5" s="70">
        <f t="shared" si="1"/>
        <v>5</v>
      </c>
      <c r="AC5" s="70">
        <f t="shared" si="1"/>
        <v>0</v>
      </c>
      <c r="AD5" s="70">
        <f t="shared" si="1"/>
        <v>0</v>
      </c>
      <c r="AE5" s="70">
        <f t="shared" si="1"/>
        <v>10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723</v>
      </c>
      <c r="E7" s="179"/>
      <c r="F7" s="179"/>
      <c r="G7" s="180"/>
      <c r="H7" s="129" t="s">
        <v>709</v>
      </c>
      <c r="I7" s="129" t="s">
        <v>710</v>
      </c>
      <c r="J7" s="129" t="s">
        <v>711</v>
      </c>
      <c r="K7" s="129" t="s">
        <v>712</v>
      </c>
      <c r="L7" s="129" t="s">
        <v>713</v>
      </c>
      <c r="M7" s="58">
        <f>Q7</f>
        <v>21.676470588235293</v>
      </c>
      <c r="N7" s="58"/>
      <c r="O7" s="2"/>
      <c r="P7" s="2"/>
      <c r="Q7" s="86">
        <f>SUM(R5,S5,AC16)</f>
        <v>21.676470588235293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725</v>
      </c>
      <c r="E8" s="182"/>
      <c r="F8" s="182"/>
      <c r="G8" s="183"/>
      <c r="H8" s="129" t="s">
        <v>747</v>
      </c>
      <c r="I8" s="129" t="s">
        <v>747</v>
      </c>
      <c r="J8" s="129" t="s">
        <v>748</v>
      </c>
      <c r="K8" s="129" t="s">
        <v>744</v>
      </c>
      <c r="L8" s="129" t="s">
        <v>745</v>
      </c>
      <c r="M8" s="129" t="s">
        <v>108</v>
      </c>
      <c r="N8" s="2"/>
      <c r="O8" s="2"/>
      <c r="P8" s="2"/>
      <c r="Q8" s="85">
        <f>SUM(R5:BA5)</f>
        <v>21.676470588235293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751</v>
      </c>
      <c r="E9" s="179"/>
      <c r="F9" s="179"/>
      <c r="G9" s="180"/>
      <c r="H9" s="130" t="str">
        <f>VLOOKUP($H$4,Teams!$B$3:$O$44,3,FALSE)</f>
        <v>SEBASTIAN BLANZ</v>
      </c>
      <c r="I9" s="130" t="str">
        <f>VLOOKUP($H$4,Teams!$B$3:$O$44,3,FALSE)</f>
        <v>SEBASTIAN BLANZ</v>
      </c>
      <c r="J9" s="130" t="str">
        <f>VLOOKUP($H$4,Teams!$B$3:$O$44,5,FALSE)</f>
        <v>THOMAS ROEHLICH</v>
      </c>
      <c r="K9" s="130" t="str">
        <f>VLOOKUP($H$4,Teams!$B$3:$O$44,6,FALSE)</f>
        <v>JURGEN JOST</v>
      </c>
      <c r="L9" s="130" t="str">
        <f>VLOOKUP($H$4,Teams!$B$3:$O$44,7,FALSE)</f>
        <v>ANDREAS GREPPMAYR</v>
      </c>
      <c r="M9" s="131" t="str">
        <f>VLOOKUP($H$4,Teams!$B$3:$O$44,8,FALSE)</f>
        <v>ROBERT TAVASZI</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727</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728</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232</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19.5</v>
      </c>
      <c r="AD16" s="75">
        <f>SUM(AD17:AD24)</f>
        <v>45</v>
      </c>
      <c r="AE16" s="76" t="s">
        <v>42</v>
      </c>
      <c r="AF16" s="75">
        <f>SUM(AF17:AF24)</f>
        <v>2</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232</v>
      </c>
      <c r="D17" s="32" t="s">
        <v>753</v>
      </c>
      <c r="E17" s="33">
        <v>1</v>
      </c>
      <c r="F17" s="36">
        <v>7</v>
      </c>
      <c r="G17" s="36">
        <v>5</v>
      </c>
      <c r="H17" s="38" t="str">
        <f>IF(I17="","",$I$14)</f>
        <v>SCOUTING</v>
      </c>
      <c r="I17" s="34">
        <v>22</v>
      </c>
      <c r="J17" s="13" t="s">
        <v>4</v>
      </c>
      <c r="K17" s="13" t="s">
        <v>63</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232</v>
      </c>
      <c r="D18" s="32" t="s">
        <v>754</v>
      </c>
      <c r="E18" s="33">
        <v>1</v>
      </c>
      <c r="F18" s="36">
        <v>11</v>
      </c>
      <c r="G18" s="36">
        <v>9</v>
      </c>
      <c r="H18" s="38" t="str">
        <f t="shared" ref="H18:H81" si="8">IF(I18="","",$I$14)</f>
        <v>SCOUTING</v>
      </c>
      <c r="I18" s="34">
        <v>70</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1</v>
      </c>
      <c r="AB18" s="66" t="s">
        <v>5</v>
      </c>
      <c r="AC18" s="61">
        <f t="shared" si="5"/>
        <v>3</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232</v>
      </c>
      <c r="D19" s="32" t="s">
        <v>755</v>
      </c>
      <c r="E19" s="33">
        <v>2</v>
      </c>
      <c r="F19" s="36">
        <v>28</v>
      </c>
      <c r="G19" s="36">
        <v>27</v>
      </c>
      <c r="H19" s="38" t="str">
        <f t="shared" si="8"/>
        <v>SCOUTING</v>
      </c>
      <c r="I19" s="34">
        <v>172</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2</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232</v>
      </c>
      <c r="D20" s="32" t="s">
        <v>756</v>
      </c>
      <c r="E20" s="33">
        <v>2</v>
      </c>
      <c r="F20" s="36">
        <v>51</v>
      </c>
      <c r="G20" s="36">
        <v>43</v>
      </c>
      <c r="H20" s="38" t="str">
        <f t="shared" si="8"/>
        <v>SCOUTING</v>
      </c>
      <c r="I20" s="34">
        <v>322</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232</v>
      </c>
      <c r="D21" s="32" t="s">
        <v>756</v>
      </c>
      <c r="E21" s="33">
        <v>2</v>
      </c>
      <c r="F21" s="36">
        <v>51</v>
      </c>
      <c r="G21" s="36">
        <v>43</v>
      </c>
      <c r="H21" s="38" t="str">
        <f t="shared" si="8"/>
        <v>SCOUTING</v>
      </c>
      <c r="I21" s="34">
        <v>324</v>
      </c>
      <c r="J21" s="13" t="s">
        <v>3</v>
      </c>
      <c r="K21" s="13" t="s">
        <v>61</v>
      </c>
      <c r="L21" s="13" t="s">
        <v>78</v>
      </c>
      <c r="M21" s="13" t="s">
        <v>78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232</v>
      </c>
      <c r="D22" s="32" t="s">
        <v>757</v>
      </c>
      <c r="E22" s="33">
        <v>3</v>
      </c>
      <c r="F22" s="36">
        <v>73</v>
      </c>
      <c r="G22" s="36">
        <v>61</v>
      </c>
      <c r="H22" s="38" t="str">
        <f t="shared" si="8"/>
        <v>SCOUTING</v>
      </c>
      <c r="I22" s="34">
        <v>450</v>
      </c>
      <c r="J22" s="13" t="s">
        <v>4</v>
      </c>
      <c r="K22" s="13" t="s">
        <v>63</v>
      </c>
      <c r="L22" s="13" t="s">
        <v>5</v>
      </c>
      <c r="M22" s="13" t="s">
        <v>10</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232</v>
      </c>
      <c r="D23" s="32" t="s">
        <v>758</v>
      </c>
      <c r="E23" s="33">
        <v>3</v>
      </c>
      <c r="F23" s="36">
        <v>76</v>
      </c>
      <c r="G23" s="36">
        <v>68</v>
      </c>
      <c r="H23" s="38" t="str">
        <f t="shared" si="8"/>
        <v>SCOUTING</v>
      </c>
      <c r="I23" s="34">
        <v>504</v>
      </c>
      <c r="J23" s="13" t="s">
        <v>3</v>
      </c>
      <c r="K23" s="13" t="s">
        <v>61</v>
      </c>
      <c r="L23" s="13" t="s">
        <v>36</v>
      </c>
      <c r="M23" s="13" t="s">
        <v>36</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232</v>
      </c>
      <c r="D24" s="32" t="s">
        <v>759</v>
      </c>
      <c r="E24" s="33">
        <v>4</v>
      </c>
      <c r="F24" s="36">
        <v>83</v>
      </c>
      <c r="G24" s="36">
        <v>75</v>
      </c>
      <c r="H24" s="38" t="str">
        <f t="shared" si="8"/>
        <v>SCOUTING</v>
      </c>
      <c r="I24" s="34">
        <v>582</v>
      </c>
      <c r="J24" s="13" t="s">
        <v>4</v>
      </c>
      <c r="K24" s="13" t="s">
        <v>63</v>
      </c>
      <c r="L24" s="13" t="s">
        <v>6</v>
      </c>
      <c r="M24" s="13" t="s">
        <v>22</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1</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REPORT_E2025232</v>
      </c>
    </row>
    <row r="2" spans="2:6" x14ac:dyDescent="0.25">
      <c r="F2" s="45" t="s">
        <v>157</v>
      </c>
    </row>
    <row r="3" spans="2:6" x14ac:dyDescent="0.25">
      <c r="B3" s="43" t="s">
        <v>156</v>
      </c>
      <c r="C3" s="43" t="str">
        <f>""""&amp;'SCOUT &amp; LOGISTICS'!B2&amp;TEXT('SCOUT &amp; LOGISTICS'!C2,"000")&amp;""""</f>
        <v>"E2025232"</v>
      </c>
      <c r="F3" s="45" t="str">
        <f t="shared" ref="F3:F16" si="0">""""&amp;B3&amp;"""" &amp; " : " &amp;C3&amp;","</f>
        <v>"name" : "E2025232",</v>
      </c>
    </row>
    <row r="4" spans="2:6" x14ac:dyDescent="0.25">
      <c r="B4" s="43" t="s">
        <v>119</v>
      </c>
      <c r="C4" s="43" t="str">
        <f>""""&amp;LEFT('SCOUT &amp; LOGISTICS'!B2,1) &amp; TEXT('SCOUT &amp; LOGISTICS'!C2,"000")&amp;""""</f>
        <v>"E232"</v>
      </c>
      <c r="F4" s="45" t="str">
        <f t="shared" si="0"/>
        <v>"cod" : "E232",</v>
      </c>
    </row>
    <row r="5" spans="2:6" x14ac:dyDescent="0.25">
      <c r="B5" s="43" t="s">
        <v>117</v>
      </c>
      <c r="C5" s="43" t="str">
        <f>""""&amp;LEFT('SCOUT &amp; LOGISTICS'!B2,1)&amp;""""</f>
        <v>"E"</v>
      </c>
      <c r="F5" s="45" t="str">
        <f t="shared" si="0"/>
        <v>"competition" : "E",</v>
      </c>
    </row>
    <row r="6" spans="2:6" x14ac:dyDescent="0.25">
      <c r="B6" s="43" t="s">
        <v>118</v>
      </c>
      <c r="C6" s="43" t="str">
        <f>TEXT('SCOUT &amp; LOGISTICS'!C2,"000")</f>
        <v>232</v>
      </c>
      <c r="F6" s="45" t="str">
        <f t="shared" si="0"/>
        <v>"number" : 232,</v>
      </c>
    </row>
    <row r="7" spans="2:6" x14ac:dyDescent="0.25">
      <c r="B7" s="43" t="s">
        <v>116</v>
      </c>
      <c r="C7" s="43" t="str">
        <f ca="1">""""&amp;TEXT('SCOUT &amp; LOGISTICS'!B3,"dd/mm/aaaa")&amp;""""</f>
        <v>"22/01/Thursday"</v>
      </c>
      <c r="F7" s="45" t="str">
        <f t="shared" ca="1" si="0"/>
        <v>"date" : "22/01/Thursday",</v>
      </c>
    </row>
    <row r="8" spans="2:6" x14ac:dyDescent="0.25">
      <c r="B8" s="43" t="s">
        <v>125</v>
      </c>
      <c r="C8" s="43" t="str">
        <f>""""&amp;'SCOUT &amp; LOGISTICS'!D4 &amp;""""</f>
        <v>"FC Bayern Munich"</v>
      </c>
      <c r="F8" s="45" t="str">
        <f t="shared" si="0"/>
        <v>"home_team" : "FC Bayern Munich",</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"MARKUS SKUBATZ"</v>
      </c>
      <c r="F10" s="45" t="str">
        <f t="shared" si="0"/>
        <v>"Data_entry" : "MARKUS SKUBATZ",</v>
      </c>
    </row>
    <row r="11" spans="2:6" x14ac:dyDescent="0.25">
      <c r="B11" s="43" t="s">
        <v>128</v>
      </c>
      <c r="C11" s="43" t="str">
        <f>""""&amp;IF('SCOUT &amp; LOGISTICS'!D7="","",'SCOUT &amp; LOGISTICS'!D7)&amp;""""</f>
        <v>"SEBASTIAN BLANZ"</v>
      </c>
      <c r="F11" s="45" t="str">
        <f t="shared" si="0"/>
        <v>"Caller_1" : "SEBASTIAN BLANZ",</v>
      </c>
    </row>
    <row r="12" spans="2:6" x14ac:dyDescent="0.25">
      <c r="B12" s="43" t="s">
        <v>129</v>
      </c>
      <c r="C12" s="43" t="str">
        <f>""""&amp;IF('SCOUT &amp; LOGISTICS'!D8="","",'SCOUT &amp; LOGISTICS'!D8)&amp;""""</f>
        <v>"THOMAS ROEHLICH"</v>
      </c>
      <c r="F12" s="45" t="str">
        <f t="shared" si="0"/>
        <v>"Caller_2" : "THOMAS ROEHLICH",</v>
      </c>
    </row>
    <row r="13" spans="2:6" x14ac:dyDescent="0.25">
      <c r="B13" s="43" t="s">
        <v>98</v>
      </c>
      <c r="C13" s="43" t="str">
        <f>""""&amp;IF('SCOUT &amp; LOGISTICS'!D9="","",'SCOUT &amp; LOGISTICS'!D9)&amp;""""</f>
        <v>"CHRISTIAN HONLE"</v>
      </c>
      <c r="F13" s="45" t="str">
        <f t="shared" si="0"/>
        <v>"Timerkeeper" : "CHRISTIAN HONLE",</v>
      </c>
    </row>
    <row r="14" spans="2:6" x14ac:dyDescent="0.25">
      <c r="B14" s="43" t="s">
        <v>99</v>
      </c>
      <c r="C14" s="43" t="str">
        <f>""""&amp;IF('SCOUT &amp; LOGISTICS'!D10="","",'SCOUT &amp; LOGISTICS'!D10)&amp;""""</f>
        <v>"ANDREAS GREPPMAYR"</v>
      </c>
      <c r="F14" s="45" t="str">
        <f t="shared" si="0"/>
        <v>"Shotclock" : "ANDREAS GREPPMAYR",</v>
      </c>
    </row>
    <row r="15" spans="2:6" x14ac:dyDescent="0.25">
      <c r="B15" s="43" t="s">
        <v>108</v>
      </c>
      <c r="C15" s="43" t="str">
        <f>""""&amp;IF('SCOUT &amp; LOGISTICS'!D11="","",'SCOUT &amp; LOGISTICS'!D11)&amp;""""</f>
        <v>"ROBERT TAVASZI"</v>
      </c>
      <c r="F15" s="45" t="str">
        <f t="shared" si="0"/>
        <v>"IRS" : "ROBERT TAVASZI",</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680</v>
      </c>
      <c r="F25" s="45" t="str">
        <f t="shared" ref="F25:F48" si="1">""""&amp;C25&amp;"""" &amp; " : " &amp;D25&amp;","</f>
        <v>"total_actions" : 680,</v>
      </c>
    </row>
    <row r="26" spans="2:6" x14ac:dyDescent="0.25">
      <c r="C26" s="43" t="s">
        <v>132</v>
      </c>
      <c r="D26" s="43">
        <f>'SCOUT &amp; LOGISTICS'!F3</f>
        <v>8</v>
      </c>
      <c r="F26" s="45" t="str">
        <f t="shared" si="1"/>
        <v>"total_correcions" : 8,</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2</v>
      </c>
      <c r="F30" s="45" t="str">
        <f t="shared" si="1"/>
        <v>"away_team" : 2,</v>
      </c>
    </row>
    <row r="31" spans="2:6" x14ac:dyDescent="0.25">
      <c r="C31" s="43" t="s">
        <v>135</v>
      </c>
      <c r="D31" s="43">
        <f>'SCOUT &amp; LOGISTICS'!AG17</f>
        <v>2</v>
      </c>
      <c r="F31" s="45" t="str">
        <f t="shared" si="1"/>
        <v>"q1" : 2,</v>
      </c>
    </row>
    <row r="32" spans="2:6" x14ac:dyDescent="0.25">
      <c r="C32" s="43" t="s">
        <v>136</v>
      </c>
      <c r="D32" s="43">
        <f>'SCOUT &amp; LOGISTICS'!AG18</f>
        <v>3</v>
      </c>
      <c r="F32" s="45" t="str">
        <f t="shared" si="1"/>
        <v>"q2" : 3,</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c r="F51" s="45" t="str">
        <f>""""&amp;B51&amp;"""" &amp; " : " &amp;C51&amp;","</f>
        <v>"comments" : "The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row>
    <row r="52" spans="2:6" x14ac:dyDescent="0.25">
      <c r="B52" s="43" t="s">
        <v>153</v>
      </c>
      <c r="C52" s="43" t="str">
        <f>TEXT('SCOUT &amp; LOGISTICS'!F1,"0,0")</f>
        <v>24_232_MUN_PAM_E2025</v>
      </c>
      <c r="F52" s="45" t="str">
        <f>""""&amp;B52&amp;"""" &amp; " : " &amp;C52</f>
        <v>"result" : 24_232_MUN_PAM_E2025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E232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22/01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Fc Bayern Munich</v>
      </c>
      <c r="C6" s="212"/>
      <c r="D6" s="212"/>
      <c r="E6" s="212"/>
      <c r="F6" s="212"/>
      <c r="G6" s="212"/>
      <c r="H6" s="212"/>
      <c r="I6" s="212"/>
      <c r="J6" s="212"/>
      <c r="K6" s="212"/>
      <c r="L6" s="212"/>
      <c r="M6" s="212"/>
      <c r="N6" s="212"/>
      <c r="O6" s="212"/>
      <c r="P6" s="212"/>
      <c r="Q6" s="212" t="str">
        <f>PROPER('SCOUT &amp; LOGISTICS'!D5)</f>
        <v>Valencia Basket</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MARKUS SKUBATZ</v>
      </c>
      <c r="C8" s="206"/>
      <c r="D8" s="206"/>
      <c r="E8" s="206"/>
      <c r="F8" s="206"/>
      <c r="G8" s="206" t="str">
        <f>IF('SCOUT &amp; LOGISTICS'!D7="","",'SCOUT &amp; LOGISTICS'!D7)</f>
        <v>SEBASTIAN BLANZ</v>
      </c>
      <c r="H8" s="206"/>
      <c r="I8" s="206"/>
      <c r="J8" s="206"/>
      <c r="K8" s="206"/>
      <c r="L8" s="206" t="str">
        <f>IF('SCOUT &amp; LOGISTICS'!D8="","",'SCOUT &amp; LOGISTICS'!D8)</f>
        <v>THOMAS ROEHLICH</v>
      </c>
      <c r="M8" s="206"/>
      <c r="N8" s="206"/>
      <c r="O8" s="206"/>
      <c r="P8" s="206"/>
      <c r="Q8" s="206" t="str">
        <f>IF('SCOUT &amp; LOGISTICS'!D9="","",'SCOUT &amp; LOGISTICS'!D9)</f>
        <v>CHRISTIAN HONLE</v>
      </c>
      <c r="R8" s="206"/>
      <c r="S8" s="206"/>
      <c r="T8" s="206"/>
      <c r="U8" s="206"/>
      <c r="V8" s="206" t="str">
        <f>IF('SCOUT &amp; LOGISTICS'!D10="","",'SCOUT &amp; LOGISTICS'!D10)</f>
        <v>ANDREAS GREPPMAYR</v>
      </c>
      <c r="W8" s="206"/>
      <c r="X8" s="206"/>
      <c r="Y8" s="206"/>
      <c r="Z8" s="206"/>
      <c r="AA8" s="206" t="str">
        <f>IF('SCOUT &amp; LOGISTICS'!D11="","",'SCOUT &amp; LOGISTICS'!D11)</f>
        <v>ROBERT TAVASZI</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680</v>
      </c>
      <c r="C17" s="204"/>
      <c r="D17" s="204"/>
      <c r="E17" s="204"/>
      <c r="F17" s="204"/>
      <c r="G17" s="204"/>
      <c r="H17" s="204"/>
      <c r="I17" s="204"/>
      <c r="J17" s="204"/>
      <c r="K17" s="204"/>
      <c r="L17" s="204">
        <f>'SCOUT &amp; LOGISTICS'!F3</f>
        <v>8</v>
      </c>
      <c r="M17" s="204"/>
      <c r="N17" s="204"/>
      <c r="O17" s="204"/>
      <c r="P17" s="204"/>
      <c r="Q17" s="204"/>
      <c r="R17" s="204"/>
      <c r="S17" s="204"/>
      <c r="T17" s="204"/>
      <c r="U17" s="204"/>
      <c r="V17" s="205">
        <f>IF(OR(B17="",B17=0),"",L17/B17)</f>
        <v>1.1764705882352941E-2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5</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2</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3</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6</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3</v>
      </c>
      <c r="H27" s="197"/>
      <c r="I27" s="197"/>
      <c r="J27" s="197"/>
      <c r="K27" s="197"/>
      <c r="L27" s="197">
        <f>'SCOUT &amp; LOGISTICS'!AC23</f>
        <v>0</v>
      </c>
      <c r="M27" s="197"/>
      <c r="N27" s="197"/>
      <c r="O27" s="197"/>
      <c r="P27" s="197"/>
      <c r="Q27" s="197">
        <f>'SCOUT &amp; LOGISTICS'!AC21</f>
        <v>0</v>
      </c>
      <c r="R27" s="197"/>
      <c r="S27" s="197"/>
      <c r="T27" s="197"/>
      <c r="U27" s="197"/>
      <c r="V27" s="197">
        <f>'SCOUT &amp; LOGISTICS'!AC27</f>
        <v>1</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1</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21.676470588235293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84EAF3B7-5B71-44FA-9B5A-3A28C7F15F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2026-02-05T14:37:18Z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