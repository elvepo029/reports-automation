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15D3DC51-3A89-4141-8B66-E00868C7E2D3}" xr6:coauthVersionLast="47" xr6:coauthVersionMax="47" xr10:uidLastSave="{CCA15EB8-2E7E-430C-BE03-440E4623D594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<sst xmlns="http://schemas.openxmlformats.org/spreadsheetml/2006/main" count="3245" uniqueCount="759">
  <si>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</si>
  <si>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</si>
  <si>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</si>
  <si>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</si>
  <si>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</si>
  <si>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</si>
  <si>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</si>
  <si>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</si>
  <si>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</si>
  <si>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</si>
  <si>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</si>
  <si>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</si>
  <si>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</si>
  <si>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</si>
  <si>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</si>
  <si>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</si>
  <si>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</si>
  <si>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</si>
  <si>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</si>
  <si>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</si>
  <si>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</si>
  <si>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</si>
  <si>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</si>
  <si>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</si>
  <si>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</si>
  <si>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</si>
  <si>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</si>
  <si>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</si>
  <si>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</si>
  <si>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</si>
  <si>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</si>
  <si>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</si>
  <si>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</si>
  <si>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</si>
  <si>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</si>
  <si>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</si>
  <si>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</si>
  <si>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</si>
  <si>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</si>
  <si>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</si>
  <si>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</si>
  <si>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</si>
  <si>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</si>
  <si>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</si>
  <si>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</si>
  <si>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</si>
  <si>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</si>
  <si>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</si>
  <si>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</si>
  <si>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</si>
  <si>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</si>
  <si>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</si>
  <si>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</si>
  <si>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</si>
  <si>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</si>
  <si>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</si>
  <si>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</si>
  <si>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</si>
  <si>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</si>
  <si>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</si>
  <si>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</si>
  <si>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</si>
  <si>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</si>
  <si>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</si>
  <si>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</si>
  <si>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</si>
  <si>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</si>
  <si>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</si>
  <si>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</si>
  <si>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</si>
  <si>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</si>
  <si>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</si>
  <si>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</si>
  <si>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</si>
  <si>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</si>
  <si>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</si>
  <si>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</si>
  <si>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</si>
  <si>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</si>
  <si>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</si>
  <si>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</si>
  <si>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</si>
  <si>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</si>
  <si>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</si>
  <si>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</si>
  <si>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</si>
  <si>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</si>
  <si>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</si>
  <si>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</si>
  <si>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</si>
  <si>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</si>
  <si>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</si>
  <si>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</si>
  <si>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</si>
  <si>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</si>
  <si>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</si>
  <si>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</si>
  <si>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</si>
  <si>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</si>
  <si>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</si>
  <si>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</si>
  <si>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</si>
  <si>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</si>
  <si>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</si>
  <si>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</si>
  <si>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</si>
  <si>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</si>
  <si>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</si>
  <si>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</si>
  <si>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</si>
  <si>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</si>
  <si>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</si>
  <si>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</si>
  <si>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</si>
  <si>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</si>
  <si>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</si>
  <si>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</si>
  <si>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</si>
  <si>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</si>
  <si>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</si>
  <si>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</si>
  <si>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</si>
  <si>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</si>
  <si>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</si>
  <si>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</si>
  <si>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</si>
  <si>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</si>
  <si>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</si>
  <si>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</si>
  <si>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</si>
  <si>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</si>
  <si>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</si>
  <si>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</si>
  <si>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</si>
  <si>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</si>
  <si>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</si>
  <si>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</si>
  <si>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</si>
  <si>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</si>
  <si>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</si>
  <si>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</si>
  <si>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</si>
  <si>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</si>
  <si>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</si>
  <si>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</si>
  <si>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</si>
  <si>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</si>
  <si>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</si>
  <si>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</si>
  <si>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</si>
  <si>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</si>
  <si>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</si>
  <si>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</si>
  <si>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</si>
  <si>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</si>
  <si>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</si>
  <si>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</si>
  <si>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</si>
  <si>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</si>
  <si>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</si>
  <si>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</si>
  <si>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</si>
  <si>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</si>
  <si>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</si>
  <si>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</si>
  <si>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</si>
  <si>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</si>
  <si>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</si>
  <si>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</si>
  <si>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</si>
  <si>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</si>
  <si>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</si>
  <si>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</si>
  <si>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</si>
  <si>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</si>
  <si>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</si>
  <si>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</si>
  <si>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</si>
  <si>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</si>
  <si>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</si>
  <si>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</si>
  <si>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</si>
  <si>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</si>
  <si>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</si>
  <si>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</si>
  <si>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</si>
  <si>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</si>
  <si>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</si>
  <si>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</si>
  <si>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</si>
  <si>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</si>
  <si>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</si>
  <si>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</si>
  <si>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</si>
  <si>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</si>
  <si>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</si>
  <si>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</si>
  <si>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</si>
  <si>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</si>
  <si>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</si>
  <si>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</si>
  <si>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</si>
  <si>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</si>
  <si>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</si>
  <si>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</si>
  <si>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</si>
  <si>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</si>
  <si>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</si>
  <si>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</si>
  <si>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</si>
  <si>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</si>
  <si>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</si>
  <si>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</si>
  <si>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</si>
  <si>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</si>
  <si>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</si>
  <si>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</si>
  <si>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</si>
  <si>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</si>
  <si>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</si>
  <si>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</si>
  <si>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</si>
  <si>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</si>
  <si>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</si>
  <si>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</si>
  <si>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</si>
  <si>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</si>
  <si>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</si>
  <si>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</si>
  <si>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</si>
  <si>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</si>
  <si>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</si>
  <si>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</si>
  <si>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</si>
  <si>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</si>
  <si>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</si>
  <si>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</si>
  <si>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</si>
  <si>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</si>
  <si>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</si>
  <si>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</si>
  <si>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</si>
  <si>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</si>
  <si>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</si>
  <si>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</si>
  <si>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</si>
  <si>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</si>
  <si>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</si>
  <si>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</si>
  <si>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</si>
  <si>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</si>
  <si>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</si>
  <si>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</si>
  <si>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</si>
  <si>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</si>
  <si>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</si>
  <si>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</si>
  <si>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</si>
  <si>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</si>
  <si>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</si>
  <si>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</si>
  <si>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</si>
  <si>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</si>
  <si>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</si>
  <si>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</si>
  <si>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</si>
  <si>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</si>
  <si>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</si>
  <si>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</si>
  <si>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</si>
  <si>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</si>
  <si>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</si>
  <si>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</si>
  <si>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</si>
  <si>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</si>
  <si>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</si>
  <si>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</si>
  <si>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</si>
  <si>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</si>
  <si>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</si>
  <si>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</si>
  <si>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</si>
  <si>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</si>
  <si>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</si>
  <si>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</si>
  <si>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</si>
  <si>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</si>
  <si>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</si>
  <si>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</si>
  <si>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</si>
  <si>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</si>
  <si>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</si>
  <si>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</si>
  <si>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</si>
  <si>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</si>
  <si>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</si>
  <si>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</si>
  <si>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</si>
  <si>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</si>
  <si>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</si>
  <si>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</si>
  <si>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</si>
  <si>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</si>
  <si>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</si>
  <si>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</si>
  <si>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</si>
  <si>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</si>
  <si>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</si>
  <si>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</si>
  <si>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</si>
  <si>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</si>
  <si>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</si>
  <si>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</si>
  <si>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</si>
  <si>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</si>
  <si>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</si>
  <si>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</si>
  <si>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</si>
  <si>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</si>
  <si>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</si>
  <si>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</si>
  <si>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</si>
  <si>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</si>
  <si>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</si>
  <si>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</si>
  <si>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</si>
  <si>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</si>
  <si>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</si>
  <si>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</si>
  <si>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</si>
  <si>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</si>
  <si>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</si>
  <si>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</si>
  <si>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</si>
  <si>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</si>
  <si>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</si>
  <si>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</si>
  <si>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</si>
  <si>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</si>
  <si>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</si>
  <si>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</si>
  <si>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</si>
  <si>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</si>
  <si>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</si>
  <si>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</si>
  <si>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</si>
  <si>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</si>
  <si>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</si>
  <si>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</si>
  <si>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</si>
  <si>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</si>
  <si>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</si>
  <si>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</si>
  <si>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</si>
  <si>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</si>
  <si>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</si>
  <si>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</si>
  <si>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</si>
  <si>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</si>
  <si>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</si>
  <si>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</si>
  <si>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</si>
  <si>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</si>
  <si>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</si>
  <si>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</si>
  <si>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</si>
  <si>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</si>
  <si>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</si>
  <si>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</si>
  <si>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</si>
  <si>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</si>
  <si>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</si>
  <si>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</si>
  <si>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</si>
  <si>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</si>
  <si>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</si>
  <si>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</si>
  <si>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</si>
  <si>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</si>
  <si>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</si>
  <si>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</si>
  <si>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</si>
  <si>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</si>
  <si>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</si>
  <si>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</si>
  <si>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</si>
  <si>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</si>
  <si>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</si>
  <si>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</si>
  <si>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</si>
  <si>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</si>
  <si>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</si>
  <si>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</si>
  <si>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</si>
  <si>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</si>
  <si>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</si>
  <si>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</si>
  <si>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</si>
  <si>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</si>
  <si>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</si>
  <si>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</si>
  <si>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</si>
  <si>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</si>
  <si>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</si>
  <si>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</si>
  <si>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</si>
  <si>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</si>
  <si>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</si>
  <si>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</si>
  <si>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</si>
  <si>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</si>
  <si>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</si>
  <si>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</si>
  <si>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</si>
  <si>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</si>
  <si>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</si>
  <si>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</si>
  <si>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</si>
  <si>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</si>
  <si>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</si>
  <si>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</si>
  <si>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</si>
  <si>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</si>
  <si>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</si>
  <si>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</si>
  <si>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</si>
  <si>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</si>
  <si>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</si>
  <si>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</si>
  <si>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</si>
  <si>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</si>
  <si>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</si>
  <si>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</si>
  <si>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</si>
  <si>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</si>
  <si>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</si>
  <si>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</si>
  <si>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</si>
  <si>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</si>
  <si>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</si>
  <si>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</si>
  <si>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</si>
  <si>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</si>
  <si>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</si>
  <si>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</si>
  <si>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</si>
  <si>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</si>
  <si>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</si>
  <si>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</si>
  <si>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</si>
  <si>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</si>
  <si>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</si>
  <si>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</si>
  <si>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</si>
  <si>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</si>
  <si>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</si>
  <si>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</si>
  <si>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</si>
  <si>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</si>
  <si>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</si>
  <si>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</si>
  <si>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</si>
  <si>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</si>
  <si>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</si>
  <si>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</si>
  <si>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</si>
  <si>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</si>
  <si>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</si>
  <si>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</si>
  <si>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</si>
  <si>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</si>
  <si>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</si>
  <si>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</si>
  <si>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</si>
  <si>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</si>
  <si>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</si>
  <si>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</si>
  <si>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</si>
  <si>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</si>
  <si>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</si>
  <si>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</si>
  <si>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</si>
  <si>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</si>
  <si>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</si>
  <si>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</si>
  <si>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</si>
  <si>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</si>
  <si>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</si>
  <si>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</si>
  <si>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</si>
  <si>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</si>
  <si>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</si>
  <si>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</si>
  <si>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</si>
  <si>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</si>
  <si>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</si>
  <si>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</si>
  <si>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</si>
  <si>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</si>
  <si>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</si>
  <si>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</si>
  <si>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</si>
  <si>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</si>
  <si>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</si>
  <si>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</si>
  <si>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</si>
  <si>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</si>
  <si>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</si>
  <si>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</si>
  <si>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</si>
  <si>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</si>
  <si>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</si>
  <si>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</si>
  <si>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</si>
  <si>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</si>
  <si>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</si>
  <si>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</si>
  <si>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</si>
  <si>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</si>
  <si>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</si>
  <si>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</si>
  <si>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</si>
  <si>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</si>
  <si>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</si>
  <si>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</si>
  <si>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</si>
  <si>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</si>
  <si>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</si>
  <si>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</si>
  <si>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</si>
  <si>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</si>
  <si>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</si>
  <si>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</si>
  <si>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</si>
  <si>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</si>
  <si>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</si>
  <si>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</si>
  <si>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</si>
  <si>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</si>
  <si>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</si>
  <si>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</si>
  <si>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</si>
  <si>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</si>
  <si>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</si>
  <si>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</si>
  <si>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</si>
  <si>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</si>
  <si>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</si>
  <si>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</si>
  <si>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</si>
  <si>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</si>
  <si>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</si>
  <si>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</si>
  <si>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</si>
  <si>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</si>
  <si>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</si>
  <si>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</si>
  <si>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</si>
  <si>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</si>
  <si>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</si>
  <si>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</si>
  <si>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</si>
  <si>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</si>
  <si>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</si>
  <si>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</si>
  <si>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</si>
  <si>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</si>
  <si>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</si>
  <si>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</si>
  <si>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</si>
  <si>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</si>
  <si>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</si>
  <si>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</si>
  <si>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</si>
  <si>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</si>
  <si>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</si>
  <si>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</si>
  <si>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</si>
  <si>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</si>
  <si>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</si>
  <si>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</si>
  <si>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</si>
  <si>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</si>
  <si>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</si>
  <si>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</si>
  <si>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</si>
  <si>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</si>
  <si>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</si>
  <si>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</si>
  <si>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</si>
  <si>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</si>
  <si>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</si>
  <si>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</si>
  <si>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</si>
  <si>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</si>
  <si>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</si>
  <si>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</si>
  <si>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</si>
  <si>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</si>
  <si>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</si>
  <si>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</si>
  <si>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</si>
  <si>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</si>
  <si>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</si>
  <si>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</si>
  <si>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</si>
  <si>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</si>
  <si>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</si>
  <si>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</si>
  <si>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</si>
  <si>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</si>
  <si>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</si>
  <si>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</si>
  <si>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</si>
  <si>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</si>
  <si>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</si>
  <si>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</si>
  <si>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</si>
  <si>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</si>
  <si>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</si>
  <si>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</si>
  <si>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</si>
  <si>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</si>
  <si>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</si>
  <si>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</si>
  <si>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</si>
  <si>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</si>
  <si>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</si>
  <si>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</si>
  <si>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</si>
  <si>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</si>
  <si>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</si>
  <si>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</si>
  <si>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</si>
  <si>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</si>
  <si>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</si>
  <si>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</si>
  <si>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</si>
  <si>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</si>
  <si>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</si>
  <si>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</si>
  <si>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</si>
  <si>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</si>
  <si>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</si>
  <si>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</si>
  <si>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</si>
  <si>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</si>
  <si>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</si>
  <si>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</si>
  <si>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</si>
  <si>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</si>
  <si>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</si>
  <si>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</si>
  <si>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</si>
  <si>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</si>
  <si>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</si>
  <si>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</si>
  <si>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</si>
  <si>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</si>
  <si>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</si>
  <si>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</si>
  <si>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</si>
  <si>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</si>
  <si>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</si>
  <si>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</si>
  <si>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</si>
  <si>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</si>
  <si>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</si>
  <si>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</si>
  <si>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</si>
  <si>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</si>
  <si>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</si>
  <si>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</si>
  <si>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</si>
  <si>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</si>
  <si>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</si>
  <si>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</si>
  <si>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</si>
  <si>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</si>
  <si>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</si>
  <si>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</si>
  <si>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</si>
  <si>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</si>
  <si>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</si>
  <si>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</si>
  <si>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</si>
  <si>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</si>
  <si>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</si>
  <si>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</si>
  <si>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</si>
  <si>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</si>
  <si>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</si>
  <si>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</si>
  <si>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</si>
  <si>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</si>
  <si>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</si>
  <si>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</si>
  <si>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</si>
  <si>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</si>
  <si>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</si>
  <si>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</si>
  <si>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</si>
  <si>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</si>
  <si>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</si>
  <si>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</si>
  <si>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</si>
  <si>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</si>
  <si>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</si>
  <si>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</si>
  <si>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</si>
  <si>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</si>
  <si>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</si>
  <si>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</si>
  <si>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</si>
  <si>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</si>
  <si>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</si>
  <si>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</si>
  <si>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</si>
  <si>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</si>
  <si>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</si>
  <si>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</si>
  <si>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</si>
  <si>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</si>
  <si>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</si>
  <si>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</si>
  <si>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</si>
  <si>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</si>
  <si>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</si>
  <si>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</si>
  <si>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</si>
  <si>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</si>
  <si>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</si>
  <si>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</si>
  <si>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</si>
  <si>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</si>
  <si>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</si>
  <si>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</si>
  <si>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</si>
  <si>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</si>
  <si>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</si>
  <si>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</si>
  <si>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</si>
  <si>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</si>
  <si>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</si>
  <si>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</si>
  <si>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</si>
  <si>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</si>
  <si>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</si>
  <si>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</si>
  <si>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BAR GAL ON</t>
  </si>
  <si>
    <t>ELAD CIFLIK</t>
  </si>
  <si>
    <t>EILAM NUSBOUM</t>
  </si>
  <si>
    <t>KFIR REFAEL BEN ZION</t>
  </si>
  <si>
    <t>HADAR DAGAN</t>
  </si>
  <si>
    <t>HADAS MALKIN</t>
  </si>
  <si>
    <t>HECTOR GUILLEN</t>
  </si>
  <si>
    <t>The scouting was perfect but, please, remember not to head to the locker room with the referees unless we confirm that we have received the end game first.</t>
  </si>
  <si>
    <t>C:\Users\hector.guillen\EUROLEAGUE\EB STATS - Documents\General\SEASON 2025-26\Reports\Euroleague</t>
  </si>
  <si>
    <t>C:\Users\hector.guillen\EUROLEAGUE\EB STATS - Documents\General\SEASON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</si>
</sst>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24_233_TEL_PAN_E2025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46044.836805555555</v>
      </c>
      <c r="C3" s="178"/>
      <c r="D3" s="39">
        <v>540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742</v>
      </c>
      <c r="L4" s="5"/>
      <c r="M4" s="185" t="s">
        <v>756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</v>
      </c>
      <c r="N7" s="58"/>
      <c r="O7" s="2"/>
      <c r="P7" s="2"/>
      <c r="Q7" s="86">
        <f>SUM(R5,S5,AC16)</f>
        <v>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233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"E2025233"</v>
      </c>
      <c r="F3" s="45" t="str">
        <f t="shared" ref="F3:F16" si="0">""""&amp;B3&amp;"""" &amp; " : " &amp;C3&amp;","</f>
        <v>"name" : "E2025233",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"E233"</v>
      </c>
      <c r="F4" s="45" t="str">
        <f t="shared" si="0"/>
        <v>"cod" : "E233",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233</v>
      </c>
      <c r="F6" s="45" t="str">
        <f t="shared" si="0"/>
        <v>"number" : 233,</v>
      </c>
    </row>
    <row r="7" spans="2:6" x14ac:dyDescent="0.25">
      <c r="B7" s="43" t="s">
        <v>116</v>
      </c>
      <c r="C7" s="43" t="str">
        <f ca="1">""""&amp;TEXT('SCOUT &amp; LOGISTICS'!B3,"dd/mm/aaaa")&amp;""""</f>
        <v>"22/01/Thursday"</v>
      </c>
      <c r="F7" s="45" t="str">
        <f t="shared" ca="1" si="0"/>
        <v>"date" : "22/01/Thursday",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"KFIR REFAEL BEN ZION"</v>
      </c>
      <c r="F13" s="45" t="str">
        <f t="shared" si="0"/>
        <v>"Timerkeeper" : "KFIR REFAEL BEN ZION",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"HADAR DAGAN"</v>
      </c>
      <c r="F14" s="45" t="str">
        <f t="shared" si="0"/>
        <v>"Shotclock" : "HADAR DAGAN",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"HADAS MALKIN"</v>
      </c>
      <c r="F15" s="45" t="str">
        <f t="shared" si="0"/>
        <v>"IRS" : "HADAS MALKIN",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540</v>
      </c>
      <c r="F25" s="45" t="str">
        <f t="shared" ref="F25:F48" si="1">""""&amp;C25&amp;"""" &amp; " : " &amp;D25&amp;","</f>
        <v>"total_actions" : 540,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was perfect but, please, remember not to head to the locker room with the referees unless we confirm that we have received the end game first."</v>
      </c>
      <c r="F51" s="45" t="str">
        <f>""""&amp;B51&amp;"""" &amp; " : " &amp;C51&amp;","</f>
        <v>"comments" : "The scouting was perfect but, please, remember not to head to the locker room with the referees unless we confirm that we have received the end game first.",</v>
      </c>
    </row>
    <row r="52" spans="2:6" x14ac:dyDescent="0.25">
      <c r="B52" s="43" t="s">
        <v>153</v>
      </c>
      <c r="C52" s="43" t="str">
        <f>TEXT('SCOUT &amp; LOGISTICS'!F1,"0,0")</f>
        <v>24_233_TEL_PAN_E2025</v>
      </c>
      <c r="F52" s="45" t="str">
        <f>""""&amp;B52&amp;"""" &amp; " : " &amp;C52</f>
        <v>"result" : 24_233_TEL_PAN_E2025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E233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KFIR REFAEL BEN ZION</v>
      </c>
      <c r="R8" s="201"/>
      <c r="S8" s="201"/>
      <c r="T8" s="201"/>
      <c r="U8" s="201"/>
      <c r="V8" s="201" t="str">
        <f>IF('SCOUT &amp; LOGISTICS'!D10="","",'SCOUT &amp; LOGISTICS'!D10)</f>
        <v>HADAR DAGAN</v>
      </c>
      <c r="W8" s="201"/>
      <c r="X8" s="201"/>
      <c r="Y8" s="201"/>
      <c r="Z8" s="201"/>
      <c r="AA8" s="201" t="str">
        <f>IF('SCOUT &amp; LOGISTICS'!D11="","",'SCOUT &amp; LOGISTICS'!D11)</f>
        <v>HADAS MALKIN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540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scouting was perfect but, please, remember not to head to the locker room with the referees unless we confirm that we have received the end game first.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C4CF2041-43E1-4344-B157-F9FF23C9C2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2026-01-27T21:31:28Z</cp:lastPrinted>
  <dcterms:created xsi:type="dcterms:W3CDTF">2023-09-19T19:50:35Z</dcterms:created>
  <dcterms:modified xsi:type="dcterms:W3CDTF">2026-01-27T21:31:30Z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