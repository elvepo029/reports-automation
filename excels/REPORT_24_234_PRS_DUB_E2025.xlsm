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8" documentId="8_{544B91C3-3CEC-482A-9ED0-13E1FC8AC3FC}" xr6:coauthVersionLast="47" xr6:coauthVersionMax="47" xr10:uidLastSave="{7A58F0D4-B730-401B-87F1-60FEF7D2C0F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<sst xmlns="http://schemas.openxmlformats.org/spreadsheetml/2006/main" count="3270" uniqueCount="763">
  <si>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</si>
  <si>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</si>
  <si>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</si>
  <si>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</si>
  <si>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</si>
  <si>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</si>
  <si>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</si>
  <si>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</si>
  <si>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</si>
  <si>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</si>
  <si>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</si>
  <si>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</si>
  <si>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</si>
  <si>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</si>
  <si>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</si>
  <si>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</si>
  <si>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</si>
  <si>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</si>
  <si>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</si>
  <si>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</si>
  <si>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</si>
  <si>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</si>
  <si>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</si>
  <si>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</si>
  <si>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</si>
  <si>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</si>
  <si>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</si>
  <si>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</si>
  <si>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</si>
  <si>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</si>
  <si>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</si>
  <si>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</si>
  <si>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</si>
  <si>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</si>
  <si>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</si>
  <si>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</si>
  <si>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</si>
  <si>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</si>
  <si>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</si>
  <si>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</si>
  <si>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</si>
  <si>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</si>
  <si>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</si>
  <si>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</si>
  <si>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</si>
  <si>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</si>
  <si>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</si>
  <si>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</si>
  <si>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</si>
  <si>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</si>
  <si>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</si>
  <si>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</si>
  <si>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</si>
  <si>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</si>
  <si>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</si>
  <si>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</si>
  <si>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</si>
  <si>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</si>
  <si>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</si>
  <si>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</si>
  <si>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</si>
  <si>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</si>
  <si>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</si>
  <si>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</si>
  <si>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</si>
  <si>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</si>
  <si>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</si>
  <si>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</si>
  <si>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</si>
  <si>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</si>
  <si>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</si>
  <si>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</si>
  <si>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</si>
  <si>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</si>
  <si>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</si>
  <si>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</si>
  <si>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</si>
  <si>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</si>
  <si>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</si>
  <si>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</si>
  <si>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</si>
  <si>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</si>
  <si>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</si>
  <si>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</si>
  <si>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</si>
  <si>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</si>
  <si>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</si>
  <si>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</si>
  <si>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</si>
  <si>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</si>
  <si>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</si>
  <si>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</si>
  <si>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</si>
  <si>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</si>
  <si>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</si>
  <si>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</si>
  <si>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</si>
  <si>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</si>
  <si>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</si>
  <si>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</si>
  <si>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</si>
  <si>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</si>
  <si>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</si>
  <si>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</si>
  <si>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</si>
  <si>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</si>
  <si>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</si>
  <si>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</si>
  <si>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</si>
  <si>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</si>
  <si>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</si>
  <si>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</si>
  <si>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</si>
  <si>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</si>
  <si>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</si>
  <si>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</si>
  <si>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</si>
  <si>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</si>
  <si>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</si>
  <si>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</si>
  <si>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</si>
  <si>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</si>
  <si>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</si>
  <si>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</si>
  <si>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</si>
  <si>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</si>
  <si>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</si>
  <si>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</si>
  <si>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</si>
  <si>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</si>
  <si>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</si>
  <si>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</si>
  <si>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</si>
  <si>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</si>
  <si>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</si>
  <si>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</si>
  <si>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</si>
  <si>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</si>
  <si>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</si>
  <si>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</si>
  <si>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</si>
  <si>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</si>
  <si>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</si>
  <si>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</si>
  <si>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</si>
  <si>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</si>
  <si>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</si>
  <si>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</si>
  <si>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</si>
  <si>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</si>
  <si>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</si>
  <si>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</si>
  <si>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</si>
  <si>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</si>
  <si>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</si>
  <si>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</si>
  <si>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</si>
  <si>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</si>
  <si>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</si>
  <si>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</si>
  <si>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</si>
  <si>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</si>
  <si>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</si>
  <si>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</si>
  <si>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</si>
  <si>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</si>
  <si>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</si>
  <si>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</si>
  <si>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</si>
  <si>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</si>
  <si>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</si>
  <si>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</si>
  <si>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</si>
  <si>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</si>
  <si>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</si>
  <si>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</si>
  <si>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</si>
  <si>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</si>
  <si>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</si>
  <si>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</si>
  <si>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</si>
  <si>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</si>
  <si>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</si>
  <si>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</si>
  <si>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</si>
  <si>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</si>
  <si>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</si>
  <si>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</si>
  <si>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</si>
  <si>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</si>
  <si>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</si>
  <si>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</si>
  <si>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</si>
  <si>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</si>
  <si>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</si>
  <si>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</si>
  <si>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</si>
  <si>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</si>
  <si>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</si>
  <si>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</si>
  <si>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</si>
  <si>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</si>
  <si>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</si>
  <si>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</si>
  <si>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</si>
  <si>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</si>
  <si>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</si>
  <si>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</si>
  <si>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</si>
  <si>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</si>
  <si>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</si>
  <si>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</si>
  <si>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</si>
  <si>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</si>
  <si>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</si>
  <si>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</si>
  <si>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</si>
  <si>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</si>
  <si>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</si>
  <si>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</si>
  <si>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</si>
  <si>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</si>
  <si>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</si>
  <si>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</si>
  <si>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</si>
  <si>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</si>
  <si>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</si>
  <si>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</si>
  <si>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</si>
  <si>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</si>
  <si>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</si>
  <si>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</si>
  <si>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</si>
  <si>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</si>
  <si>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</si>
  <si>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</si>
  <si>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</si>
  <si>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</si>
  <si>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</si>
  <si>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</si>
  <si>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</si>
  <si>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</si>
  <si>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</si>
  <si>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</si>
  <si>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</si>
  <si>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</si>
  <si>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</si>
  <si>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</si>
  <si>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</si>
  <si>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</si>
  <si>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</si>
  <si>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</si>
  <si>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</si>
  <si>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</si>
  <si>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</si>
  <si>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</si>
  <si>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</si>
  <si>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</si>
  <si>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</si>
  <si>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</si>
  <si>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</si>
  <si>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</si>
  <si>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</si>
  <si>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</si>
  <si>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</si>
  <si>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</si>
  <si>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</si>
  <si>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</si>
  <si>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</si>
  <si>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</si>
  <si>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</si>
  <si>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</si>
  <si>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</si>
  <si>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</si>
  <si>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</si>
  <si>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</si>
  <si>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</si>
  <si>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</si>
  <si>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</si>
  <si>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</si>
  <si>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</si>
  <si>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</si>
  <si>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</si>
  <si>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</si>
  <si>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</si>
  <si>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</si>
  <si>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</si>
  <si>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</si>
  <si>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</si>
  <si>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</si>
  <si>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</si>
  <si>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</si>
  <si>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</si>
  <si>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</si>
  <si>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</si>
  <si>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</si>
  <si>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</si>
  <si>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</si>
  <si>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</si>
  <si>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</si>
  <si>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</si>
  <si>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</si>
  <si>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</si>
  <si>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</si>
  <si>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</si>
  <si>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</si>
  <si>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</si>
  <si>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</si>
  <si>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</si>
  <si>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</si>
  <si>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</si>
  <si>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</si>
  <si>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</si>
  <si>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</si>
  <si>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</si>
  <si>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</si>
  <si>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</si>
  <si>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</si>
  <si>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</si>
  <si>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</si>
  <si>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</si>
  <si>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</si>
  <si>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</si>
  <si>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</si>
  <si>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</si>
  <si>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</si>
  <si>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</si>
  <si>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</si>
  <si>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</si>
  <si>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</si>
  <si>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</si>
  <si>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</si>
  <si>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</si>
  <si>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</si>
  <si>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</si>
  <si>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</si>
  <si>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</si>
  <si>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</si>
  <si>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</si>
  <si>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</si>
  <si>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</si>
  <si>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</si>
  <si>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</si>
  <si>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</si>
  <si>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</si>
  <si>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</si>
  <si>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</si>
  <si>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</si>
  <si>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</si>
  <si>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</si>
  <si>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</si>
  <si>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</si>
  <si>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</si>
  <si>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</si>
  <si>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</si>
  <si>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</si>
  <si>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</si>
  <si>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</si>
  <si>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</si>
  <si>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</si>
  <si>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</si>
  <si>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</si>
  <si>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</si>
  <si>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</si>
  <si>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</si>
  <si>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</si>
  <si>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</si>
  <si>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</si>
  <si>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</si>
  <si>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</si>
  <si>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</si>
  <si>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</si>
  <si>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</si>
  <si>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</si>
  <si>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</si>
  <si>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</si>
  <si>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</si>
  <si>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</si>
  <si>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</si>
  <si>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</si>
  <si>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</si>
  <si>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</si>
  <si>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</si>
  <si>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</si>
  <si>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</si>
  <si>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</si>
  <si>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</si>
  <si>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</si>
  <si>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</si>
  <si>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</si>
  <si>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</si>
  <si>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</si>
  <si>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</si>
  <si>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</si>
  <si>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</si>
  <si>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</si>
  <si>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</si>
  <si>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</si>
  <si>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</si>
  <si>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</si>
  <si>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</si>
  <si>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</si>
  <si>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</si>
  <si>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</si>
  <si>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</si>
  <si>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</si>
  <si>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</si>
  <si>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</si>
  <si>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</si>
  <si>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</si>
  <si>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</si>
  <si>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</si>
  <si>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</si>
  <si>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</si>
  <si>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</si>
  <si>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</si>
  <si>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</si>
  <si>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</si>
  <si>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</si>
  <si>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</si>
  <si>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</si>
  <si>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</si>
  <si>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</si>
  <si>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</si>
  <si>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</si>
  <si>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</si>
  <si>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</si>
  <si>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</si>
  <si>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</si>
  <si>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</si>
  <si>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</si>
  <si>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</si>
  <si>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</si>
  <si>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</si>
  <si>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</si>
  <si>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</si>
  <si>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</si>
  <si>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</si>
  <si>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</si>
  <si>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</si>
  <si>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</si>
  <si>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</si>
  <si>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</si>
  <si>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</si>
  <si>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</si>
  <si>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</si>
  <si>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</si>
  <si>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</si>
  <si>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</si>
  <si>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</si>
  <si>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</si>
  <si>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</si>
  <si>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</si>
  <si>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</si>
  <si>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</si>
  <si>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</si>
  <si>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</si>
  <si>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</si>
  <si>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</si>
  <si>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</si>
  <si>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</si>
  <si>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</si>
  <si>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</si>
  <si>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</si>
  <si>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</si>
  <si>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</si>
  <si>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</si>
  <si>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</si>
  <si>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</si>
  <si>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</si>
  <si>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</si>
  <si>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</si>
  <si>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</si>
  <si>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</si>
  <si>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</si>
  <si>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</si>
  <si>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</si>
  <si>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</si>
  <si>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</si>
  <si>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</si>
  <si>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</si>
  <si>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</si>
  <si>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</si>
  <si>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</si>
  <si>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</si>
  <si>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</si>
  <si>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</si>
  <si>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</si>
  <si>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</si>
  <si>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</si>
  <si>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</si>
  <si>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</si>
  <si>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</si>
  <si>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</si>
  <si>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</si>
  <si>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</si>
  <si>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</si>
  <si>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</si>
  <si>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</si>
  <si>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</si>
  <si>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</si>
  <si>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</si>
  <si>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</si>
  <si>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</si>
  <si>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</si>
  <si>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</si>
  <si>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</si>
  <si>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</si>
  <si>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</si>
  <si>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</si>
  <si>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</si>
  <si>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</si>
  <si>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</si>
  <si>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</si>
  <si>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</si>
  <si>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</si>
  <si>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</si>
  <si>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</si>
  <si>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</si>
  <si>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</si>
  <si>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</si>
  <si>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</si>
  <si>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</si>
  <si>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</si>
  <si>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</si>
  <si>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</si>
  <si>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</si>
  <si>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</si>
  <si>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</si>
  <si>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</si>
  <si>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</si>
  <si>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</si>
  <si>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</si>
  <si>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</si>
  <si>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</si>
  <si>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</si>
  <si>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</si>
  <si>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</si>
  <si>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</si>
  <si>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</si>
  <si>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</si>
  <si>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</si>
  <si>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</si>
  <si>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</si>
  <si>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</si>
  <si>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</si>
  <si>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</si>
  <si>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</si>
  <si>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</si>
  <si>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</si>
  <si>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</si>
  <si>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</si>
  <si>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</si>
  <si>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</si>
  <si>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</si>
  <si>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</si>
  <si>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</si>
  <si>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</si>
  <si>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</si>
  <si>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</si>
  <si>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</si>
  <si>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</si>
  <si>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</si>
  <si>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</si>
  <si>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</si>
  <si>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</si>
  <si>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</si>
  <si>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</si>
  <si>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</si>
  <si>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</si>
  <si>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</si>
  <si>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</si>
  <si>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</si>
  <si>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</si>
  <si>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</si>
  <si>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</si>
  <si>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</si>
  <si>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</si>
  <si>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</si>
  <si>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</si>
  <si>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</si>
  <si>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</si>
  <si>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</si>
  <si>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</si>
  <si>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</si>
  <si>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</si>
  <si>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</si>
  <si>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</si>
  <si>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</si>
  <si>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</si>
  <si>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</si>
  <si>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</si>
  <si>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</si>
  <si>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</si>
  <si>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</si>
  <si>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</si>
  <si>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</si>
  <si>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</si>
  <si>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</si>
  <si>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</si>
  <si>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</si>
  <si>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</si>
  <si>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</si>
  <si>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</si>
  <si>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</si>
  <si>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</si>
  <si>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</si>
  <si>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</si>
  <si>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</si>
  <si>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</si>
  <si>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</si>
  <si>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</si>
  <si>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</si>
  <si>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</si>
  <si>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</si>
  <si>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</si>
  <si>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</si>
  <si>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</si>
  <si>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</si>
  <si>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</si>
  <si>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</si>
  <si>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</si>
  <si>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</si>
  <si>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</si>
  <si>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</si>
  <si>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</si>
  <si>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</si>
  <si>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</si>
  <si>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</si>
  <si>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</si>
  <si>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</si>
  <si>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</si>
  <si>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</si>
  <si>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</si>
  <si>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</si>
  <si>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</si>
  <si>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</si>
  <si>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</si>
  <si>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</si>
  <si>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</si>
  <si>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</si>
  <si>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</si>
  <si>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</si>
  <si>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</si>
  <si>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</si>
  <si>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</si>
  <si>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</si>
  <si>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</si>
  <si>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</si>
  <si>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</si>
  <si>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</si>
  <si>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</si>
  <si>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</si>
  <si>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</si>
  <si>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</si>
  <si>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</si>
  <si>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</si>
  <si>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</si>
  <si>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</si>
  <si>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</si>
  <si>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</si>
  <si>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</si>
  <si>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</si>
  <si>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</si>
  <si>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</si>
  <si>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</si>
  <si>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</si>
  <si>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</si>
  <si>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</si>
  <si>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</si>
  <si>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</si>
  <si>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</si>
  <si>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</si>
  <si>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</si>
  <si>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</si>
  <si>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</si>
  <si>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</si>
  <si>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</si>
  <si>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</si>
  <si>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</si>
  <si>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</si>
  <si>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</si>
  <si>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</si>
  <si>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</si>
  <si>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</si>
  <si>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</si>
  <si>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</si>
  <si>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</si>
  <si>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</si>
  <si>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</si>
  <si>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</si>
  <si>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</si>
  <si>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</si>
  <si>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</si>
  <si>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</si>
  <si>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</si>
  <si>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</si>
  <si>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</si>
  <si>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</si>
  <si>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</si>
  <si>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</si>
  <si>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</si>
  <si>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</si>
  <si>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</si>
  <si>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</si>
  <si>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</si>
  <si>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</si>
  <si>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</si>
  <si>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</si>
  <si>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</si>
  <si>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</si>
  <si>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</si>
  <si>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</si>
  <si>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</si>
  <si>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</si>
  <si>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</si>
  <si>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</si>
  <si>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</si>
  <si>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</si>
  <si>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</si>
  <si>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</si>
  <si>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</si>
  <si>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</si>
  <si>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</si>
  <si>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</si>
  <si>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</si>
  <si>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</si>
  <si>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</si>
  <si>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</si>
  <si>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</si>
  <si>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</si>
  <si>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</si>
  <si>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</si>
  <si>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</si>
  <si>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</si>
  <si>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</si>
  <si>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</si>
  <si>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</si>
  <si>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</si>
  <si>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</si>
  <si>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</si>
  <si>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</si>
  <si>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</si>
  <si>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</si>
  <si>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</si>
  <si>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</si>
  <si>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</si>
  <si>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</si>
  <si>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</si>
  <si>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</si>
  <si>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</si>
  <si>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DJAMEL SOUDANI</t>
  </si>
  <si>
    <t>CHRISTIAN MOLLET</t>
  </si>
  <si>
    <t>BASTIEN BONNETON</t>
  </si>
  <si>
    <t>MAGALI CARTIER</t>
  </si>
  <si>
    <t>CYRIL LONGELIN</t>
  </si>
  <si>
    <t>BRIAN PETER</t>
  </si>
  <si>
    <t>00:35</t>
  </si>
  <si>
    <t>07:59</t>
  </si>
  <si>
    <t>03:09</t>
  </si>
  <si>
    <t>01:18</t>
  </si>
  <si>
    <t>You have worked at a very good level. However, just as you have informed me of any corrections, please tell me if you have an out-of-place substitution so that I can check it.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</si>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</sst>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24_234_PRS_DUB_E2025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46044.864583333336</v>
      </c>
      <c r="C3" s="157"/>
      <c r="D3" s="39">
        <v>643</v>
      </c>
      <c r="E3" s="29"/>
      <c r="F3" s="26">
        <f>SUBTOTAL(3,I17:I106)</f>
        <v>5</v>
      </c>
      <c r="G3" s="27">
        <f>IF(OR(D3="",D3=0),"",F3/D3)</f>
        <v>7.7760497667185074E-3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7.7760497667185074E-3</v>
      </c>
      <c r="S4" s="61">
        <f>SUM(I13:M13)</f>
        <v>1</v>
      </c>
      <c r="T4" s="78"/>
      <c r="U4" s="61">
        <f>AC18</f>
        <v>1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0.77760497667185069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10.277604976671851</v>
      </c>
      <c r="N7" s="58"/>
      <c r="O7" s="2"/>
      <c r="P7" s="2"/>
      <c r="Q7" s="86">
        <f>SUM(R5,S5,AC16)</f>
        <v>10.277604976671851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10.277604976671851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234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234</v>
      </c>
      <c r="D17" s="32" t="s">
        <v>53</v>
      </c>
      <c r="E17" s="33">
        <v>1</v>
      </c>
      <c r="F17" s="36">
        <v>18</v>
      </c>
      <c r="G17" s="36">
        <v>27</v>
      </c>
      <c r="H17" s="38" t="str">
        <f>IF(I17="","",$I$14)</f>
        <v>SCOUTING</v>
      </c>
      <c r="I17" s="34">
        <v>159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234</v>
      </c>
      <c r="D18" s="32" t="s">
        <v>757</v>
      </c>
      <c r="E18" s="33">
        <v>1</v>
      </c>
      <c r="F18" s="36">
        <v>18</v>
      </c>
      <c r="G18" s="36">
        <v>24</v>
      </c>
      <c r="H18" s="38" t="str">
        <f t="shared" ref="H18:H81" si="8">IF(I18="","",$I$14)</f>
        <v>SCOUTING</v>
      </c>
      <c r="I18" s="34">
        <v>145</v>
      </c>
      <c r="J18" s="13" t="s">
        <v>3</v>
      </c>
      <c r="K18" s="13" t="s">
        <v>63</v>
      </c>
      <c r="L18" s="13" t="s">
        <v>78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234</v>
      </c>
      <c r="D19" s="32" t="s">
        <v>758</v>
      </c>
      <c r="E19" s="33">
        <v>2</v>
      </c>
      <c r="F19" s="36">
        <v>19</v>
      </c>
      <c r="G19" s="36">
        <v>29</v>
      </c>
      <c r="H19" s="38" t="str">
        <f t="shared" si="8"/>
        <v>SCOUTING</v>
      </c>
      <c r="I19" s="34">
        <v>200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234</v>
      </c>
      <c r="D20" s="32" t="s">
        <v>759</v>
      </c>
      <c r="E20" s="33">
        <v>2</v>
      </c>
      <c r="F20" s="36">
        <v>51</v>
      </c>
      <c r="G20" s="36">
        <v>64</v>
      </c>
      <c r="H20" s="38" t="str">
        <f t="shared" si="8"/>
        <v>SCOUTING</v>
      </c>
      <c r="I20" s="34">
        <v>428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234</v>
      </c>
      <c r="D21" s="32" t="s">
        <v>760</v>
      </c>
      <c r="E21" s="33">
        <v>2</v>
      </c>
      <c r="F21" s="36">
        <v>53</v>
      </c>
      <c r="G21" s="36">
        <v>70</v>
      </c>
      <c r="H21" s="38" t="str">
        <f t="shared" si="8"/>
        <v>SCOUTING</v>
      </c>
      <c r="I21" s="34">
        <v>477</v>
      </c>
      <c r="J21" s="13" t="s">
        <v>4</v>
      </c>
      <c r="K21" s="13" t="s">
        <v>62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"E2025234"</v>
      </c>
      <c r="F3" s="45" t="str">
        <f t="shared" ref="F3:F16" si="0">""""&amp;B3&amp;"""" &amp; " : " &amp;C3&amp;","</f>
        <v>"name" : "E2025234",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"E234"</v>
      </c>
      <c r="F4" s="45" t="str">
        <f t="shared" si="0"/>
        <v>"cod" : "E234",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234</v>
      </c>
      <c r="F6" s="45" t="str">
        <f t="shared" si="0"/>
        <v>"number" : 234,</v>
      </c>
    </row>
    <row r="7" spans="2:6" x14ac:dyDescent="0.25">
      <c r="B7" s="43" t="s">
        <v>116</v>
      </c>
      <c r="C7" s="43" t="str">
        <f ca="1">""""&amp;TEXT('SCOUT &amp; LOGISTICS'!B3,"dd/mm/aaaa")&amp;""""</f>
        <v>"22/01/Thursday"</v>
      </c>
      <c r="F7" s="45" t="str">
        <f t="shared" ca="1" si="0"/>
        <v>"date" : "22/01/Thursday",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"MAGALI CARTIER"</v>
      </c>
      <c r="F13" s="45" t="str">
        <f t="shared" si="0"/>
        <v>"Timerkeeper" : "MAGALI CARTIER",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"CYRIL LONGELIN"</v>
      </c>
      <c r="F14" s="45" t="str">
        <f t="shared" si="0"/>
        <v>"Shotclock" : "CYRIL LONGELIN",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"BRIAN PETER"</v>
      </c>
      <c r="F15" s="45" t="str">
        <f t="shared" si="0"/>
        <v>"IRS" : "BRIAN PETER",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643</v>
      </c>
      <c r="F25" s="45" t="str">
        <f t="shared" ref="F25:F48" si="1">""""&amp;C25&amp;"""" &amp; " : " &amp;D25&amp;","</f>
        <v>"total_actions" : 643,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have worked at a very good level. However, just as you have informed me of any corrections, please tell me if you have an out-of-place substitution so that I can check it."</v>
      </c>
      <c r="F51" s="45" t="str">
        <f>""""&amp;B51&amp;"""" &amp; " : " &amp;C51&amp;","</f>
        <v>"comments" : "You have worked at a very good level. However, just as you have informed me of any corrections, please tell me if you have an out-of-place substitution so that I can check it.",</v>
      </c>
    </row>
    <row r="52" spans="2:6" x14ac:dyDescent="0.25">
      <c r="B52" s="43" t="s">
        <v>153</v>
      </c>
      <c r="C52" s="43" t="str">
        <f>TEXT('SCOUT &amp; LOGISTICS'!F1,"0,0")</f>
        <v>24_234_PRS_DUB_E2025</v>
      </c>
      <c r="F52" s="45" t="str">
        <f>""""&amp;B52&amp;"""" &amp; " : " &amp;C52</f>
        <v>"result" : 24_234_PRS_DUB_E2025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E234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MAGALI CARTIER</v>
      </c>
      <c r="R8" s="206"/>
      <c r="S8" s="206"/>
      <c r="T8" s="206"/>
      <c r="U8" s="206"/>
      <c r="V8" s="206" t="str">
        <f>IF('SCOUT &amp; LOGISTICS'!D10="","",'SCOUT &amp; LOGISTICS'!D10)</f>
        <v>CYRIL LONGELIN</v>
      </c>
      <c r="W8" s="206"/>
      <c r="X8" s="206"/>
      <c r="Y8" s="206"/>
      <c r="Z8" s="206"/>
      <c r="AA8" s="206" t="str">
        <f>IF('SCOUT &amp; LOGISTICS'!D11="","",'SCOUT &amp; LOGISTICS'!D11)</f>
        <v>BRIAN PETER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7.7760497667185074E-3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 have worked at a very good level. However, just as you have informed me of any corrections, please tell me if you have an out-of-place substitution so that I can check it.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10.277604976671851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0C1F92-05E2-4455-9F65-D2B287C8E87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2026-01-23T15:40:10Z</cp:lastPrinted>
  <dcterms:created xsi:type="dcterms:W3CDTF">2023-09-19T19:50:35Z</dcterms:created>
  <dcterms:modified xsi:type="dcterms:W3CDTF">2026-01-23T15:40:26Z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