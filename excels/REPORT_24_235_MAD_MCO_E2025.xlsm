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45ECED86-C052-4863-9E82-5F851071F5FF}" xr6:coauthVersionLast="47" xr6:coauthVersionMax="47" xr10:uidLastSave="{6595E4AE-9916-47D7-80CE-6D3BC6875619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<sst xmlns="http://schemas.openxmlformats.org/spreadsheetml/2006/main" count="3290" uniqueCount="767">
  <si>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</si>
  <si>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</si>
  <si>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</si>
  <si>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</si>
  <si>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</si>
  <si>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</si>
  <si>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</si>
  <si>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</si>
  <si>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</si>
  <si>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</si>
  <si>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</si>
  <si>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</si>
  <si>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</si>
  <si>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</si>
  <si>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</si>
  <si>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</si>
  <si>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</si>
  <si>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</si>
  <si>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</si>
  <si>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</si>
  <si>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</si>
  <si>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</si>
  <si>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</si>
  <si>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</si>
  <si>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</si>
  <si>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</si>
  <si>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</si>
  <si>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</si>
  <si>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</si>
  <si>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</si>
  <si>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</si>
  <si>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</si>
  <si>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</si>
  <si>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</si>
  <si>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</si>
  <si>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</si>
  <si>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</si>
  <si>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</si>
  <si>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</si>
  <si>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</si>
  <si>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</si>
  <si>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</si>
  <si>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</si>
  <si>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</si>
  <si>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</si>
  <si>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</si>
  <si>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</si>
  <si>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</si>
  <si>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</si>
  <si>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</si>
  <si>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</si>
  <si>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</si>
  <si>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</si>
  <si>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</si>
  <si>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</si>
  <si>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</si>
  <si>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</si>
  <si>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</si>
  <si>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</si>
  <si>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</si>
  <si>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</si>
  <si>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</si>
  <si>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</si>
  <si>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</si>
  <si>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</si>
  <si>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</si>
  <si>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</si>
  <si>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</si>
  <si>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</si>
  <si>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</si>
  <si>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</si>
  <si>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</si>
  <si>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</si>
  <si>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</si>
  <si>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</si>
  <si>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</si>
  <si>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</si>
  <si>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</si>
  <si>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</si>
  <si>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</si>
  <si>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</si>
  <si>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</si>
  <si>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</si>
  <si>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</si>
  <si>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</si>
  <si>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</si>
  <si>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</si>
  <si>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</si>
  <si>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</si>
  <si>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</si>
  <si>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</si>
  <si>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</si>
  <si>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</si>
  <si>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</si>
  <si>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</si>
  <si>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</si>
  <si>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</si>
  <si>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</si>
  <si>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</si>
  <si>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</si>
  <si>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</si>
  <si>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</si>
  <si>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</si>
  <si>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</si>
  <si>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</si>
  <si>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</si>
  <si>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</si>
  <si>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</si>
  <si>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</si>
  <si>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</si>
  <si>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</si>
  <si>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</si>
  <si>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</si>
  <si>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</si>
  <si>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</si>
  <si>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</si>
  <si>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</si>
  <si>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</si>
  <si>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</si>
  <si>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</si>
  <si>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</si>
  <si>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</si>
  <si>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</si>
  <si>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</si>
  <si>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</si>
  <si>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</si>
  <si>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</si>
  <si>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</si>
  <si>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</si>
  <si>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</si>
  <si>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</si>
  <si>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</si>
  <si>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</si>
  <si>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</si>
  <si>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</si>
  <si>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</si>
  <si>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</si>
  <si>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</si>
  <si>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</si>
  <si>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</si>
  <si>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</si>
  <si>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</si>
  <si>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</si>
  <si>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</si>
  <si>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</si>
  <si>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</si>
  <si>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</si>
  <si>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</si>
  <si>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</si>
  <si>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</si>
  <si>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</si>
  <si>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</si>
  <si>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</si>
  <si>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</si>
  <si>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</si>
  <si>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</si>
  <si>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</si>
  <si>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</si>
  <si>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</si>
  <si>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</si>
  <si>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</si>
  <si>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</si>
  <si>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</si>
  <si>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</si>
  <si>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</si>
  <si>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</si>
  <si>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</si>
  <si>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</si>
  <si>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</si>
  <si>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</si>
  <si>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</si>
  <si>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</si>
  <si>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</si>
  <si>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</si>
  <si>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</si>
  <si>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</si>
  <si>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</si>
  <si>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</si>
  <si>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</si>
  <si>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</si>
  <si>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</si>
  <si>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</si>
  <si>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</si>
  <si>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</si>
  <si>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</si>
  <si>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</si>
  <si>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</si>
  <si>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</si>
  <si>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</si>
  <si>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</si>
  <si>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</si>
  <si>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</si>
  <si>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</si>
  <si>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</si>
  <si>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</si>
  <si>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</si>
  <si>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</si>
  <si>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</si>
  <si>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</si>
  <si>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</si>
  <si>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</si>
  <si>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</si>
  <si>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</si>
  <si>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</si>
  <si>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</si>
  <si>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</si>
  <si>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</si>
  <si>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</si>
  <si>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</si>
  <si>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</si>
  <si>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</si>
  <si>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</si>
  <si>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</si>
  <si>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</si>
  <si>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</si>
  <si>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</si>
  <si>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</si>
  <si>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</si>
  <si>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</si>
  <si>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</si>
  <si>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</si>
  <si>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</si>
  <si>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</si>
  <si>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</si>
  <si>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</si>
  <si>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</si>
  <si>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</si>
  <si>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</si>
  <si>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</si>
  <si>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</si>
  <si>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</si>
  <si>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</si>
  <si>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</si>
  <si>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</si>
  <si>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</si>
  <si>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</si>
  <si>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</si>
  <si>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</si>
  <si>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</si>
  <si>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</si>
  <si>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</si>
  <si>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</si>
  <si>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</si>
  <si>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</si>
  <si>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</si>
  <si>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</si>
  <si>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</si>
  <si>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</si>
  <si>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</si>
  <si>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</si>
  <si>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</si>
  <si>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</si>
  <si>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</si>
  <si>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</si>
  <si>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</si>
  <si>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</si>
  <si>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</si>
  <si>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</si>
  <si>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</si>
  <si>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</si>
  <si>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</si>
  <si>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</si>
  <si>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</si>
  <si>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</si>
  <si>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</si>
  <si>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</si>
  <si>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</si>
  <si>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</si>
  <si>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</si>
  <si>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</si>
  <si>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</si>
  <si>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</si>
  <si>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</si>
  <si>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</si>
  <si>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</si>
  <si>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</si>
  <si>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</si>
  <si>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</si>
  <si>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</si>
  <si>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</si>
  <si>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</si>
  <si>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</si>
  <si>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</si>
  <si>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</si>
  <si>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</si>
  <si>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</si>
  <si>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</si>
  <si>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</si>
  <si>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</si>
  <si>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</si>
  <si>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</si>
  <si>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</si>
  <si>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</si>
  <si>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</si>
  <si>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</si>
  <si>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</si>
  <si>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</si>
  <si>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</si>
  <si>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</si>
  <si>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</si>
  <si>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</si>
  <si>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</si>
  <si>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</si>
  <si>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</si>
  <si>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</si>
  <si>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</si>
  <si>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</si>
  <si>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</si>
  <si>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</si>
  <si>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</si>
  <si>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</si>
  <si>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</si>
  <si>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</si>
  <si>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</si>
  <si>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</si>
  <si>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</si>
  <si>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</si>
  <si>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</si>
  <si>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</si>
  <si>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</si>
  <si>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</si>
  <si>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</si>
  <si>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</si>
  <si>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</si>
  <si>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</si>
  <si>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</si>
  <si>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</si>
  <si>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</si>
  <si>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</si>
  <si>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</si>
  <si>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</si>
  <si>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</si>
  <si>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</si>
  <si>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</si>
  <si>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</si>
  <si>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</si>
  <si>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</si>
  <si>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</si>
  <si>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</si>
  <si>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</si>
  <si>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</si>
  <si>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</si>
  <si>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</si>
  <si>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</si>
  <si>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</si>
  <si>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</si>
  <si>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</si>
  <si>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</si>
  <si>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</si>
  <si>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</si>
  <si>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</si>
  <si>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</si>
  <si>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</si>
  <si>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</si>
  <si>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</si>
  <si>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</si>
  <si>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</si>
  <si>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</si>
  <si>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</si>
  <si>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</si>
  <si>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</si>
  <si>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</si>
  <si>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</si>
  <si>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</si>
  <si>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</si>
  <si>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</si>
  <si>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</si>
  <si>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</si>
  <si>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</si>
  <si>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</si>
  <si>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</si>
  <si>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</si>
  <si>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</si>
  <si>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</si>
  <si>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</si>
  <si>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</si>
  <si>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</si>
  <si>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</si>
  <si>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</si>
  <si>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</si>
  <si>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</si>
  <si>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</si>
  <si>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</si>
  <si>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</si>
  <si>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</si>
  <si>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</si>
  <si>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</si>
  <si>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</si>
  <si>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</si>
  <si>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</si>
  <si>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</si>
  <si>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</si>
  <si>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</si>
  <si>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</si>
  <si>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</si>
  <si>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</si>
  <si>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</si>
  <si>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</si>
  <si>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</si>
  <si>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</si>
  <si>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</si>
  <si>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</si>
  <si>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</si>
  <si>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</si>
  <si>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</si>
  <si>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</si>
  <si>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</si>
  <si>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</si>
  <si>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</si>
  <si>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</si>
  <si>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</si>
  <si>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</si>
  <si>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</si>
  <si>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</si>
  <si>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</si>
  <si>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</si>
  <si>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</si>
  <si>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</si>
  <si>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</si>
  <si>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</si>
  <si>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</si>
  <si>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</si>
  <si>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</si>
  <si>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</si>
  <si>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</si>
  <si>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</si>
  <si>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</si>
  <si>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</si>
  <si>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</si>
  <si>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</si>
  <si>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</si>
  <si>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</si>
  <si>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</si>
  <si>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</si>
  <si>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</si>
  <si>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</si>
  <si>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</si>
  <si>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</si>
  <si>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</si>
  <si>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</si>
  <si>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</si>
  <si>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</si>
  <si>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</si>
  <si>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</si>
  <si>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</si>
  <si>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</si>
  <si>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</si>
  <si>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</si>
  <si>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</si>
  <si>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</si>
  <si>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</si>
  <si>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</si>
  <si>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</si>
  <si>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</si>
  <si>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</si>
  <si>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</si>
  <si>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</si>
  <si>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</si>
  <si>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</si>
  <si>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</si>
  <si>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</si>
  <si>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</si>
  <si>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</si>
  <si>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</si>
  <si>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</si>
  <si>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</si>
  <si>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</si>
  <si>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</si>
  <si>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</si>
  <si>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</si>
  <si>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</si>
  <si>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</si>
  <si>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</si>
  <si>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</si>
  <si>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</si>
  <si>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</si>
  <si>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</si>
  <si>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</si>
  <si>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</si>
  <si>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</si>
  <si>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</si>
  <si>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</si>
  <si>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</si>
  <si>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</si>
  <si>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</si>
  <si>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</si>
  <si>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</si>
  <si>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</si>
  <si>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</si>
  <si>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</si>
  <si>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</si>
  <si>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</si>
  <si>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</si>
  <si>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</si>
  <si>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</si>
  <si>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</si>
  <si>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</si>
  <si>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</si>
  <si>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</si>
  <si>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</si>
  <si>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</si>
  <si>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</si>
  <si>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</si>
  <si>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</si>
  <si>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</si>
  <si>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</si>
  <si>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</si>
  <si>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</si>
  <si>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</si>
  <si>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</si>
  <si>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</si>
  <si>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</si>
  <si>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</si>
  <si>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</si>
  <si>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</si>
  <si>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</si>
  <si>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</si>
  <si>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</si>
  <si>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</si>
  <si>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</si>
  <si>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</si>
  <si>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</si>
  <si>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</si>
  <si>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</si>
  <si>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</si>
  <si>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</si>
  <si>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</si>
  <si>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</si>
  <si>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</si>
  <si>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</si>
  <si>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</si>
  <si>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</si>
  <si>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</si>
  <si>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</si>
  <si>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</si>
  <si>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</si>
  <si>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</si>
  <si>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</si>
  <si>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</si>
  <si>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</si>
  <si>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</si>
  <si>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</si>
  <si>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</si>
  <si>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</si>
  <si>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</si>
  <si>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</si>
  <si>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</si>
  <si>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</si>
  <si>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</si>
  <si>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</si>
  <si>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</si>
  <si>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</si>
  <si>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</si>
  <si>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</si>
  <si>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</si>
  <si>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</si>
  <si>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</si>
  <si>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</si>
  <si>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</si>
  <si>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</si>
  <si>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</si>
  <si>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</si>
  <si>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</si>
  <si>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</si>
  <si>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</si>
  <si>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</si>
  <si>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</si>
  <si>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</si>
  <si>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</si>
  <si>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</si>
  <si>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</si>
  <si>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</si>
  <si>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</si>
  <si>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</si>
  <si>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</si>
  <si>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</si>
  <si>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</si>
  <si>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</si>
  <si>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</si>
  <si>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</si>
  <si>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</si>
  <si>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</si>
  <si>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</si>
  <si>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</si>
  <si>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</si>
  <si>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</si>
  <si>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</si>
  <si>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</si>
  <si>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</si>
  <si>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</si>
  <si>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</si>
  <si>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</si>
  <si>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</si>
  <si>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</si>
  <si>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</si>
  <si>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</si>
  <si>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</si>
  <si>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</si>
  <si>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</si>
  <si>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</si>
  <si>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</si>
  <si>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</si>
  <si>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</si>
  <si>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</si>
  <si>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</si>
  <si>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</si>
  <si>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</si>
  <si>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</si>
  <si>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</si>
  <si>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</si>
  <si>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</si>
  <si>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</si>
  <si>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</si>
  <si>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</si>
  <si>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</si>
  <si>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</si>
  <si>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</si>
  <si>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</si>
  <si>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</si>
  <si>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</si>
  <si>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</si>
  <si>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</si>
  <si>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</si>
  <si>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</si>
  <si>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</si>
  <si>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</si>
  <si>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</si>
  <si>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</si>
  <si>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</si>
  <si>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</si>
  <si>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</si>
  <si>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</si>
  <si>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</si>
  <si>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</si>
  <si>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</si>
  <si>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</si>
  <si>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</si>
  <si>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</si>
  <si>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</si>
  <si>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</si>
  <si>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</si>
  <si>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</si>
  <si>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</si>
  <si>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</si>
  <si>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</si>
  <si>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</si>
  <si>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</si>
  <si>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</si>
  <si>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</si>
  <si>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</si>
  <si>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</si>
  <si>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</si>
  <si>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</si>
  <si>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</si>
  <si>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</si>
  <si>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</si>
  <si>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</si>
  <si>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</si>
  <si>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</si>
  <si>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</si>
  <si>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</si>
  <si>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</si>
  <si>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</si>
  <si>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</si>
  <si>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</si>
  <si>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</si>
  <si>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</si>
  <si>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</si>
  <si>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</si>
  <si>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</si>
  <si>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</si>
  <si>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</si>
  <si>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</si>
  <si>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</si>
  <si>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</si>
  <si>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</si>
  <si>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</si>
  <si>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</si>
  <si>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</si>
  <si>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</si>
  <si>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</si>
  <si>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</si>
  <si>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</si>
  <si>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</si>
  <si>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</si>
  <si>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</si>
  <si>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</si>
  <si>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</si>
  <si>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</si>
  <si>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</si>
  <si>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</si>
  <si>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</si>
  <si>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</si>
  <si>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</si>
  <si>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</si>
  <si>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</si>
  <si>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</si>
  <si>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</si>
  <si>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</si>
  <si>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</si>
  <si>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</si>
  <si>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</si>
  <si>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</si>
  <si>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</si>
  <si>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</si>
  <si>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</si>
  <si>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</si>
  <si>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</si>
  <si>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</si>
  <si>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</si>
  <si>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</si>
  <si>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</si>
  <si>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</si>
  <si>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</si>
  <si>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</si>
  <si>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</si>
  <si>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</si>
  <si>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</si>
  <si>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</si>
  <si>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</si>
  <si>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</si>
  <si>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</si>
  <si>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</si>
  <si>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</si>
  <si>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</si>
  <si>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</si>
  <si>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</si>
  <si>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</si>
  <si>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</si>
  <si>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</si>
  <si>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</si>
  <si>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</si>
  <si>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</si>
  <si>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</si>
  <si>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</si>
  <si>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</si>
  <si>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</si>
  <si>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</si>
  <si>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</si>
  <si>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</si>
  <si>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</si>
  <si>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</si>
  <si>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</si>
  <si>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</si>
  <si>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</si>
  <si>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</si>
  <si>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</si>
  <si>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</si>
  <si>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</si>
  <si>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01:11</t>
  </si>
  <si>
    <t>01:39</t>
  </si>
  <si>
    <t>08:07</t>
  </si>
  <si>
    <t>01:18</t>
  </si>
  <si>
    <t>04:55</t>
  </si>
  <si>
    <t>00:36</t>
  </si>
  <si>
    <t>01:22</t>
  </si>
  <si>
    <t>09:02</t>
  </si>
  <si>
    <t>09:21</t>
  </si>
  <si>
    <t>JAIME LAQUIDAIN</t>
  </si>
  <si>
    <t>VICTOR LAQUIDAIN</t>
  </si>
  <si>
    <t>ALEX CORNET</t>
  </si>
  <si>
    <t>ANA MARTIN</t>
  </si>
  <si>
    <t>INES RAQUEL PIATKOWSKA</t>
  </si>
  <si>
    <t>ALBERTO GONZALEZ</t>
  </si>
  <si>
    <t>ELOI VERGE</t>
  </si>
  <si>
    <t>Good job in general, specially in the second half and the "weird" situation with the tech player + disqualifying + tech bench. However, remember to only scout tips as rebounds only if the player has a clear intention to tip the ball and do it towards a specific player.</t>
  </si>
  <si>
    <t>C:\Users\eloi.verge\OneDrive - EUROLEAGUE\Desktop\GAME REPORTS\25-26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</si>
</sst>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24_235_MAD_MCO_E2025</v>
      </c>
      <c r="G1" s="5"/>
      <c r="H1" s="5"/>
      <c r="I1" s="5"/>
      <c r="J1" s="8" t="s">
        <v>707</v>
      </c>
      <c r="K1" s="121" t="s">
        <v>766</v>
      </c>
      <c r="L1" s="121"/>
      <c r="M1" s="122" t="s">
        <v>239</v>
      </c>
      <c r="N1" s="121" t="s">
        <v>766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 cm="1">
        <f t="array" aca="1" ref="B3" ca="1">IF(ISERROR(N1VLOOKUP($B$2&amp;TEXT($C$2,"000"),GAMES!$A$3:$I$562,8,FALSE)),NOW(),VLOOKUP($B$2&amp;TEXT($C$2,"000"),GAMES!$A$3:$I$562,8,FALSE))</f>
        <v>46045.703731944443</v>
      </c>
      <c r="C3" s="178"/>
      <c r="D3" s="39">
        <v>558</v>
      </c>
      <c r="E3" s="29"/>
      <c r="F3" s="26">
        <f>SUBTOTAL(3,I17:I106)</f>
        <v>9</v>
      </c>
      <c r="G3" s="27">
        <f>IF(OR(D3="",D3=0),"",F3/D3)</f>
        <v>1.6129032258064516E-2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85" t="s">
        <v>765</v>
      </c>
      <c r="N4" s="186"/>
      <c r="O4" s="2"/>
      <c r="P4" s="2"/>
      <c r="Q4" s="84" t="s">
        <v>175</v>
      </c>
      <c r="R4" s="94">
        <f>(IF(G3="",0,G3))</f>
        <v>1.6129032258064516E-2</v>
      </c>
      <c r="S4" s="61">
        <f>SUM(I13:M13)</f>
        <v>0</v>
      </c>
      <c r="T4" s="78"/>
      <c r="U4" s="61">
        <f>AC18</f>
        <v>4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1.6129032258064515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759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11.112903225806452</v>
      </c>
      <c r="N7" s="58"/>
      <c r="O7" s="2"/>
      <c r="P7" s="2"/>
      <c r="Q7" s="86">
        <f>SUM(R5,S5,AC16)</f>
        <v>11.112903225806452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760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11.112903225806452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761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762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763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764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235</v>
      </c>
      <c r="D17" s="32" t="s">
        <v>749</v>
      </c>
      <c r="E17" s="33">
        <v>4</v>
      </c>
      <c r="F17" s="36">
        <v>85</v>
      </c>
      <c r="G17" s="36">
        <v>76</v>
      </c>
      <c r="H17" s="38" t="str">
        <f>IF(I17="","",$I$14)</f>
        <v>SCOUTING</v>
      </c>
      <c r="I17" s="34">
        <v>532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235</v>
      </c>
      <c r="D18" s="32" t="s">
        <v>750</v>
      </c>
      <c r="E18" s="33">
        <v>4</v>
      </c>
      <c r="F18" s="36">
        <v>85</v>
      </c>
      <c r="G18" s="36">
        <v>74</v>
      </c>
      <c r="H18" s="38" t="str">
        <f t="shared" ref="H18:H81" si="8">IF(I18="","",$I$14)</f>
        <v>SCOUTING</v>
      </c>
      <c r="I18" s="34">
        <v>523</v>
      </c>
      <c r="J18" s="13" t="s">
        <v>4</v>
      </c>
      <c r="K18" s="13" t="s">
        <v>62</v>
      </c>
      <c r="L18" s="13" t="s">
        <v>48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235</v>
      </c>
      <c r="D19" s="32" t="s">
        <v>751</v>
      </c>
      <c r="E19" s="33">
        <v>4</v>
      </c>
      <c r="F19" s="36">
        <v>73</v>
      </c>
      <c r="G19" s="36">
        <v>58</v>
      </c>
      <c r="H19" s="38" t="str">
        <f t="shared" si="8"/>
        <v>SCOUTING</v>
      </c>
      <c r="I19" s="34">
        <v>435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235</v>
      </c>
      <c r="D20" s="32" t="s">
        <v>752</v>
      </c>
      <c r="E20" s="33">
        <v>2</v>
      </c>
      <c r="F20" s="36">
        <v>48</v>
      </c>
      <c r="G20" s="36">
        <v>27</v>
      </c>
      <c r="H20" s="38" t="str">
        <f t="shared" si="8"/>
        <v>SCOUTING</v>
      </c>
      <c r="I20" s="34">
        <v>262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235</v>
      </c>
      <c r="D21" s="32" t="s">
        <v>753</v>
      </c>
      <c r="E21" s="33">
        <v>2</v>
      </c>
      <c r="F21" s="36">
        <v>38</v>
      </c>
      <c r="G21" s="36">
        <v>22</v>
      </c>
      <c r="H21" s="38" t="str">
        <f t="shared" si="8"/>
        <v>SCOUTING</v>
      </c>
      <c r="I21" s="34">
        <v>202</v>
      </c>
      <c r="J21" s="13" t="s">
        <v>4</v>
      </c>
      <c r="K21" s="13" t="s">
        <v>63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235</v>
      </c>
      <c r="D22" s="32" t="s">
        <v>754</v>
      </c>
      <c r="E22" s="33">
        <v>1</v>
      </c>
      <c r="F22" s="36">
        <v>23</v>
      </c>
      <c r="G22" s="36">
        <v>11</v>
      </c>
      <c r="H22" s="38" t="str">
        <f t="shared" si="8"/>
        <v>SCOUTING</v>
      </c>
      <c r="I22" s="34">
        <v>123</v>
      </c>
      <c r="J22" s="13" t="s">
        <v>4</v>
      </c>
      <c r="K22" s="13" t="s">
        <v>63</v>
      </c>
      <c r="L22" s="13" t="s">
        <v>6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235</v>
      </c>
      <c r="D23" s="32" t="s">
        <v>755</v>
      </c>
      <c r="E23" s="33">
        <v>1</v>
      </c>
      <c r="F23" s="36">
        <v>23</v>
      </c>
      <c r="G23" s="36">
        <v>9</v>
      </c>
      <c r="H23" s="38" t="str">
        <f t="shared" si="8"/>
        <v>SCOUTING</v>
      </c>
      <c r="I23" s="34">
        <v>108</v>
      </c>
      <c r="J23" s="13" t="s">
        <v>4</v>
      </c>
      <c r="K23" s="13" t="s">
        <v>63</v>
      </c>
      <c r="L23" s="13" t="s">
        <v>7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235</v>
      </c>
      <c r="D24" s="32" t="s">
        <v>756</v>
      </c>
      <c r="E24" s="33">
        <v>1</v>
      </c>
      <c r="F24" s="36">
        <v>0</v>
      </c>
      <c r="G24" s="36">
        <v>2</v>
      </c>
      <c r="H24" s="38" t="str">
        <f t="shared" si="8"/>
        <v>SCOUTING</v>
      </c>
      <c r="I24" s="34">
        <v>11</v>
      </c>
      <c r="J24" s="13" t="s">
        <v>4</v>
      </c>
      <c r="K24" s="13" t="s">
        <v>62</v>
      </c>
      <c r="L24" s="13" t="s">
        <v>6</v>
      </c>
      <c r="M24" s="13" t="s">
        <v>168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235</v>
      </c>
      <c r="D25" s="32" t="s">
        <v>757</v>
      </c>
      <c r="E25" s="33">
        <v>1</v>
      </c>
      <c r="F25" s="36">
        <v>0</v>
      </c>
      <c r="G25" s="36">
        <v>2</v>
      </c>
      <c r="H25" s="38" t="str">
        <f t="shared" si="8"/>
        <v>SCOUTING</v>
      </c>
      <c r="I25" s="34">
        <v>8</v>
      </c>
      <c r="J25" s="13" t="s">
        <v>4</v>
      </c>
      <c r="K25" s="13" t="s">
        <v>62</v>
      </c>
      <c r="L25" s="13" t="s">
        <v>6</v>
      </c>
      <c r="M25" s="13" t="s">
        <v>27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"E2025235"</v>
      </c>
      <c r="F3" s="45" t="str">
        <f t="shared" ref="F3:F16" si="0">""""&amp;B3&amp;"""" &amp; " : " &amp;C3&amp;","</f>
        <v>"name" : "E2025235",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"E235"</v>
      </c>
      <c r="F4" s="45" t="str">
        <f t="shared" si="0"/>
        <v>"cod" : "E235",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235</v>
      </c>
      <c r="F6" s="45" t="str">
        <f t="shared" si="0"/>
        <v>"number" : 235,</v>
      </c>
    </row>
    <row r="7" spans="2:6" x14ac:dyDescent="0.25">
      <c r="B7" s="43" t="s">
        <v>116</v>
      </c>
      <c r="C7" s="43" t="str">
        <f ca="1">""""&amp;TEXT('SCOUT &amp; LOGISTICS'!B3,"dd/mm/aaaa")&amp;""""</f>
        <v>"23/01/2026"</v>
      </c>
      <c r="F7" s="45" t="str">
        <f t="shared" ca="1" si="0"/>
        <v>"date" : "23/01/2026",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"VICTOR LAQUIDAIN"</v>
      </c>
      <c r="F11" s="45" t="str">
        <f t="shared" si="0"/>
        <v>"Caller_1" : "VICTOR LAQUIDAIN",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"ALEX CORNET"</v>
      </c>
      <c r="F12" s="45" t="str">
        <f t="shared" si="0"/>
        <v>"Caller_2" : "ALEX CORNET",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"ANA MARTIN"</v>
      </c>
      <c r="F13" s="45" t="str">
        <f t="shared" si="0"/>
        <v>"Timerkeeper" : "ANA MARTIN",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"INES RAQUEL PIATKOWSKA"</v>
      </c>
      <c r="F14" s="45" t="str">
        <f t="shared" si="0"/>
        <v>"Shotclock" : "INES RAQUEL PIATKOWSKA",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558</v>
      </c>
      <c r="F25" s="45" t="str">
        <f t="shared" ref="F25:F48" si="1">""""&amp;C25&amp;"""" &amp; " : " &amp;D25&amp;","</f>
        <v>"total_actions" : 558,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"1,6%"</v>
      </c>
      <c r="F27" s="45" t="str">
        <f t="shared" si="1"/>
        <v>"%_corrections" : "1,6%",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 in general, specially in the second half and the "weird" situation with the tech player + disqualifying + tech bench. However, remember to only scout tips as rebounds only if the player has a clear intention to tip the ball and do it towards a specific player."</v>
      </c>
      <c r="F51" s="45" t="str">
        <f>""""&amp;B51&amp;"""" &amp; " : " &amp;C51&amp;","</f>
        <v>"comments" : "Good job in general, specially in the second half and the "weird" situation with the tech player + disqualifying + tech bench. However, remember to only scout tips as rebounds only if the player has a clear intention to tip the ball and do it towards a specific player.",</v>
      </c>
    </row>
    <row r="52" spans="2:6" x14ac:dyDescent="0.25">
      <c r="B52" s="43" t="s">
        <v>153</v>
      </c>
      <c r="C52" s="43" t="str">
        <f>TEXT('SCOUT &amp; LOGISTICS'!F1,"0,0")</f>
        <v>24_235_MAD_MCO_E2025</v>
      </c>
      <c r="F52" s="45" t="str">
        <f>""""&amp;B52&amp;"""" &amp; " : " &amp;C52</f>
        <v>"result" : 24_235_MAD_MCO_E2025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E235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23/01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JAIME LAQUIDAIN</v>
      </c>
      <c r="C8" s="201"/>
      <c r="D8" s="201"/>
      <c r="E8" s="201"/>
      <c r="F8" s="201"/>
      <c r="G8" s="201" t="str">
        <f>IF('SCOUT &amp; LOGISTICS'!D7="","",'SCOUT &amp; LOGISTICS'!D7)</f>
        <v>VICTOR LAQUIDAIN</v>
      </c>
      <c r="H8" s="201"/>
      <c r="I8" s="201"/>
      <c r="J8" s="201"/>
      <c r="K8" s="201"/>
      <c r="L8" s="201" t="str">
        <f>IF('SCOUT &amp; LOGISTICS'!D8="","",'SCOUT &amp; LOGISTICS'!D8)</f>
        <v>ALEX CORNET</v>
      </c>
      <c r="M8" s="201"/>
      <c r="N8" s="201"/>
      <c r="O8" s="201"/>
      <c r="P8" s="201"/>
      <c r="Q8" s="201" t="str">
        <f>IF('SCOUT &amp; LOGISTICS'!D9="","",'SCOUT &amp; LOGISTICS'!D9)</f>
        <v>ANA MARTIN</v>
      </c>
      <c r="R8" s="201"/>
      <c r="S8" s="201"/>
      <c r="T8" s="201"/>
      <c r="U8" s="201"/>
      <c r="V8" s="201" t="str">
        <f>IF('SCOUT &amp; LOGISTICS'!D10="","",'SCOUT &amp; LOGISTICS'!D10)</f>
        <v>INES RAQUEL PIATKOWSKA</v>
      </c>
      <c r="W8" s="201"/>
      <c r="X8" s="201"/>
      <c r="Y8" s="201"/>
      <c r="Z8" s="201"/>
      <c r="AA8" s="201" t="str">
        <f>IF('SCOUT &amp; LOGISTICS'!D11="","",'SCOUT &amp; LOGISTICS'!D11)</f>
        <v>ALBERTO GONZALEZ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558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1.6129032258064516E-2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5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9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3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Good job in general, specially in the second half and the "weird" situation with the tech player + disqualifying + tech bench. However, remember to only scout tips as rebounds only if the player has a clear intention to tip the ball and do it towards a specific player.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11.112903225806452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67D66C1B-62C3-4AA7-BDEC-3496594E6B4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2026-01-23T15:53:25Z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