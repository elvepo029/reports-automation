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6B1F291F-2FC9-4F4B-A4B3-3E22DF921963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<sst xmlns="http://schemas.openxmlformats.org/spreadsheetml/2006/main" count="3255" uniqueCount="760">
  <si>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</si>
  <si>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</si>
  <si>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</si>
  <si>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</si>
  <si>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</si>
  <si>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</si>
  <si>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</si>
  <si>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</si>
  <si>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</si>
  <si>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</si>
  <si>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</si>
  <si>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</si>
  <si>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</si>
  <si>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</si>
  <si>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</si>
  <si>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</si>
  <si>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</si>
  <si>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</si>
  <si>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</si>
  <si>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</si>
  <si>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</si>
  <si>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</si>
  <si>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</si>
  <si>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</si>
  <si>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</si>
  <si>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</si>
  <si>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</si>
  <si>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</si>
  <si>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</si>
  <si>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</si>
  <si>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</si>
  <si>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</si>
  <si>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</si>
  <si>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</si>
  <si>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</si>
  <si>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</si>
  <si>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</si>
  <si>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</si>
  <si>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</si>
  <si>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</si>
  <si>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</si>
  <si>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</si>
  <si>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</si>
  <si>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</si>
  <si>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</si>
  <si>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</si>
  <si>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</si>
  <si>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</si>
  <si>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</si>
  <si>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</si>
  <si>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</si>
  <si>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</si>
  <si>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</si>
  <si>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</si>
  <si>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</si>
  <si>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</si>
  <si>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</si>
  <si>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</si>
  <si>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</si>
  <si>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</si>
  <si>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</si>
  <si>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</si>
  <si>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</si>
  <si>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</si>
  <si>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</si>
  <si>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</si>
  <si>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</si>
  <si>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</si>
  <si>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</si>
  <si>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</si>
  <si>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</si>
  <si>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</si>
  <si>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</si>
  <si>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</si>
  <si>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</si>
  <si>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</si>
  <si>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</si>
  <si>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</si>
  <si>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</si>
  <si>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</si>
  <si>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</si>
  <si>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</si>
  <si>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</si>
  <si>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</si>
  <si>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</si>
  <si>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</si>
  <si>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</si>
  <si>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</si>
  <si>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</si>
  <si>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</si>
  <si>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</si>
  <si>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</si>
  <si>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</si>
  <si>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</si>
  <si>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</si>
  <si>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</si>
  <si>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</si>
  <si>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</si>
  <si>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</si>
  <si>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</si>
  <si>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</si>
  <si>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</si>
  <si>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</si>
  <si>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</si>
  <si>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</si>
  <si>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</si>
  <si>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</si>
  <si>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</si>
  <si>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</si>
  <si>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</si>
  <si>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</si>
  <si>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</si>
  <si>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</si>
  <si>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</si>
  <si>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</si>
  <si>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</si>
  <si>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</si>
  <si>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</si>
  <si>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</si>
  <si>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</si>
  <si>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</si>
  <si>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</si>
  <si>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</si>
  <si>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</si>
  <si>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</si>
  <si>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</si>
  <si>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</si>
  <si>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</si>
  <si>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</si>
  <si>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</si>
  <si>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</si>
  <si>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</si>
  <si>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</si>
  <si>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</si>
  <si>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</si>
  <si>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</si>
  <si>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</si>
  <si>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</si>
  <si>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</si>
  <si>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</si>
  <si>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</si>
  <si>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</si>
  <si>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</si>
  <si>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</si>
  <si>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</si>
  <si>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</si>
  <si>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</si>
  <si>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</si>
  <si>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</si>
  <si>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</si>
  <si>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</si>
  <si>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</si>
  <si>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</si>
  <si>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</si>
  <si>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</si>
  <si>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</si>
  <si>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</si>
  <si>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</si>
  <si>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</si>
  <si>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</si>
  <si>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</si>
  <si>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</si>
  <si>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</si>
  <si>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</si>
  <si>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</si>
  <si>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</si>
  <si>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</si>
  <si>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</si>
  <si>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</si>
  <si>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</si>
  <si>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</si>
  <si>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</si>
  <si>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</si>
  <si>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</si>
  <si>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</si>
  <si>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</si>
  <si>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</si>
  <si>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</si>
  <si>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</si>
  <si>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</si>
  <si>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</si>
  <si>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</si>
  <si>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</si>
  <si>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</si>
  <si>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</si>
  <si>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</si>
  <si>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</si>
  <si>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</si>
  <si>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</si>
  <si>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</si>
  <si>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</si>
  <si>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</si>
  <si>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</si>
  <si>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</si>
  <si>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</si>
  <si>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</si>
  <si>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</si>
  <si>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</si>
  <si>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</si>
  <si>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</si>
  <si>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</si>
  <si>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</si>
  <si>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</si>
  <si>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</si>
  <si>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</si>
  <si>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</si>
  <si>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</si>
  <si>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</si>
  <si>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</si>
  <si>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</si>
  <si>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</si>
  <si>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</si>
  <si>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</si>
  <si>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</si>
  <si>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</si>
  <si>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</si>
  <si>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</si>
  <si>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</si>
  <si>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</si>
  <si>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</si>
  <si>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</si>
  <si>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</si>
  <si>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</si>
  <si>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</si>
  <si>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</si>
  <si>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</si>
  <si>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</si>
  <si>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</si>
  <si>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</si>
  <si>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</si>
  <si>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</si>
  <si>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</si>
  <si>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</si>
  <si>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</si>
  <si>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</si>
  <si>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</si>
  <si>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</si>
  <si>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</si>
  <si>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</si>
  <si>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</si>
  <si>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</si>
  <si>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</si>
  <si>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</si>
  <si>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</si>
  <si>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</si>
  <si>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</si>
  <si>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</si>
  <si>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</si>
  <si>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</si>
  <si>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</si>
  <si>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</si>
  <si>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</si>
  <si>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</si>
  <si>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</si>
  <si>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</si>
  <si>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</si>
  <si>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</si>
  <si>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</si>
  <si>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</si>
  <si>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</si>
  <si>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</si>
  <si>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</si>
  <si>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</si>
  <si>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</si>
  <si>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</si>
  <si>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</si>
  <si>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</si>
  <si>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</si>
  <si>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</si>
  <si>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</si>
  <si>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</si>
  <si>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</si>
  <si>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</si>
  <si>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</si>
  <si>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</si>
  <si>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</si>
  <si>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</si>
  <si>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</si>
  <si>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</si>
  <si>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</si>
  <si>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</si>
  <si>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</si>
  <si>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</si>
  <si>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</si>
  <si>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</si>
  <si>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</si>
  <si>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</si>
  <si>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</si>
  <si>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</si>
  <si>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</si>
  <si>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</si>
  <si>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</si>
  <si>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</si>
  <si>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</si>
  <si>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</si>
  <si>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</si>
  <si>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</si>
  <si>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</si>
  <si>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</si>
  <si>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</si>
  <si>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</si>
  <si>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</si>
  <si>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</si>
  <si>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</si>
  <si>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</si>
  <si>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</si>
  <si>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</si>
  <si>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</si>
  <si>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</si>
  <si>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</si>
  <si>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</si>
  <si>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</si>
  <si>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</si>
  <si>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</si>
  <si>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</si>
  <si>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</si>
  <si>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</si>
  <si>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</si>
  <si>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</si>
  <si>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</si>
  <si>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</si>
  <si>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</si>
  <si>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</si>
  <si>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</si>
  <si>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</si>
  <si>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</si>
  <si>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</si>
  <si>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</si>
  <si>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</si>
  <si>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</si>
  <si>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</si>
  <si>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</si>
  <si>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</si>
  <si>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</si>
  <si>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</si>
  <si>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</si>
  <si>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</si>
  <si>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</si>
  <si>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</si>
  <si>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</si>
  <si>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</si>
  <si>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</si>
  <si>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</si>
  <si>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</si>
  <si>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</si>
  <si>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</si>
  <si>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</si>
  <si>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</si>
  <si>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</si>
  <si>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</si>
  <si>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</si>
  <si>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</si>
  <si>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</si>
  <si>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</si>
  <si>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</si>
  <si>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</si>
  <si>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</si>
  <si>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</si>
  <si>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</si>
  <si>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</si>
  <si>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</si>
  <si>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</si>
  <si>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</si>
  <si>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</si>
  <si>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</si>
  <si>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</si>
  <si>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</si>
  <si>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</si>
  <si>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</si>
  <si>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</si>
  <si>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</si>
  <si>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</si>
  <si>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</si>
  <si>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</si>
  <si>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</si>
  <si>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</si>
  <si>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</si>
  <si>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</si>
  <si>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</si>
  <si>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</si>
  <si>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</si>
  <si>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</si>
  <si>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</si>
  <si>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</si>
  <si>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</si>
  <si>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</si>
  <si>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</si>
  <si>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</si>
  <si>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</si>
  <si>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</si>
  <si>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</si>
  <si>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</si>
  <si>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</si>
  <si>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</si>
  <si>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</si>
  <si>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</si>
  <si>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</si>
  <si>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</si>
  <si>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</si>
  <si>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</si>
  <si>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</si>
  <si>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</si>
  <si>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</si>
  <si>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</si>
  <si>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</si>
  <si>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</si>
  <si>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</si>
  <si>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</si>
  <si>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</si>
  <si>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</si>
  <si>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</si>
  <si>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</si>
  <si>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</si>
  <si>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</si>
  <si>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</si>
  <si>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</si>
  <si>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</si>
  <si>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</si>
  <si>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</si>
  <si>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</si>
  <si>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</si>
  <si>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</si>
  <si>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</si>
  <si>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</si>
  <si>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</si>
  <si>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</si>
  <si>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</si>
  <si>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</si>
  <si>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</si>
  <si>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</si>
  <si>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</si>
  <si>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</si>
  <si>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</si>
  <si>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</si>
  <si>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</si>
  <si>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</si>
  <si>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</si>
  <si>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</si>
  <si>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</si>
  <si>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</si>
  <si>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</si>
  <si>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</si>
  <si>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</si>
  <si>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</si>
  <si>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</si>
  <si>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</si>
  <si>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</si>
  <si>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</si>
  <si>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</si>
  <si>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</si>
  <si>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</si>
  <si>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</si>
  <si>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</si>
  <si>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</si>
  <si>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</si>
  <si>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</si>
  <si>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</si>
  <si>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</si>
  <si>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</si>
  <si>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</si>
  <si>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</si>
  <si>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</si>
  <si>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</si>
  <si>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</si>
  <si>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</si>
  <si>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</si>
  <si>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</si>
  <si>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</si>
  <si>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</si>
  <si>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</si>
  <si>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</si>
  <si>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</si>
  <si>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</si>
  <si>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</si>
  <si>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</si>
  <si>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</si>
  <si>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</si>
  <si>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</si>
  <si>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</si>
  <si>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</si>
  <si>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</si>
  <si>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</si>
  <si>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</si>
  <si>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</si>
  <si>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</si>
  <si>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</si>
  <si>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</si>
  <si>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</si>
  <si>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</si>
  <si>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</si>
  <si>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</si>
  <si>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</si>
  <si>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</si>
  <si>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</si>
  <si>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</si>
  <si>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</si>
  <si>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</si>
  <si>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</si>
  <si>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</si>
  <si>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</si>
  <si>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</si>
  <si>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</si>
  <si>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</si>
  <si>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</si>
  <si>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</si>
  <si>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</si>
  <si>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</si>
  <si>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</si>
  <si>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</si>
  <si>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</si>
  <si>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</si>
  <si>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</si>
  <si>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</si>
  <si>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</si>
  <si>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</si>
  <si>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</si>
  <si>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</si>
  <si>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</si>
  <si>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</si>
  <si>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</si>
  <si>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</si>
  <si>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</si>
  <si>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</si>
  <si>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</si>
  <si>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</si>
  <si>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</si>
  <si>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</si>
  <si>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</si>
  <si>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</si>
  <si>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</si>
  <si>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</si>
  <si>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</si>
  <si>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</si>
  <si>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</si>
  <si>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</si>
  <si>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</si>
  <si>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</si>
  <si>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</si>
  <si>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</si>
  <si>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</si>
  <si>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</si>
  <si>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</si>
  <si>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</si>
  <si>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</si>
  <si>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</si>
  <si>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</si>
  <si>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</si>
  <si>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</si>
  <si>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</si>
  <si>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</si>
  <si>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</si>
  <si>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</si>
  <si>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</si>
  <si>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</si>
  <si>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</si>
  <si>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</si>
  <si>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</si>
  <si>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</si>
  <si>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</si>
  <si>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</si>
  <si>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</si>
  <si>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</si>
  <si>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</si>
  <si>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</si>
  <si>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</si>
  <si>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</si>
  <si>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</si>
  <si>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</si>
  <si>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</si>
  <si>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</si>
  <si>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</si>
  <si>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</si>
  <si>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</si>
  <si>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</si>
  <si>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</si>
  <si>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</si>
  <si>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</si>
  <si>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</si>
  <si>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</si>
  <si>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</si>
  <si>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</si>
  <si>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</si>
  <si>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</si>
  <si>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</si>
  <si>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</si>
  <si>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</si>
  <si>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</si>
  <si>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</si>
  <si>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</si>
  <si>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</si>
  <si>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</si>
  <si>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</si>
  <si>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</si>
  <si>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</si>
  <si>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</si>
  <si>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</si>
  <si>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</si>
  <si>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</si>
  <si>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</si>
  <si>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</si>
  <si>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</si>
  <si>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</si>
  <si>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</si>
  <si>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</si>
  <si>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</si>
  <si>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</si>
  <si>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</si>
  <si>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</si>
  <si>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</si>
  <si>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</si>
  <si>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</si>
  <si>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</si>
  <si>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</si>
  <si>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</si>
  <si>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</si>
  <si>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</si>
  <si>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</si>
  <si>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</si>
  <si>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</si>
  <si>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</si>
  <si>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</si>
  <si>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</si>
  <si>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</si>
  <si>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</si>
  <si>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</si>
  <si>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</si>
  <si>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</si>
  <si>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</si>
  <si>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</si>
  <si>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</si>
  <si>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</si>
  <si>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</si>
  <si>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</si>
  <si>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</si>
  <si>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</si>
  <si>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</si>
  <si>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</si>
  <si>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</si>
  <si>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</si>
  <si>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</si>
  <si>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</si>
  <si>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</si>
  <si>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</si>
  <si>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</si>
  <si>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</si>
  <si>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</si>
  <si>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</si>
  <si>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</si>
  <si>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</si>
  <si>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</si>
  <si>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</si>
  <si>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</si>
  <si>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</si>
  <si>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</si>
  <si>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</si>
  <si>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</si>
  <si>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</si>
  <si>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</si>
  <si>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</si>
  <si>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</si>
  <si>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</si>
  <si>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</si>
  <si>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</si>
  <si>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</si>
  <si>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</si>
  <si>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</si>
  <si>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</si>
  <si>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</si>
  <si>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</si>
  <si>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</si>
  <si>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</si>
  <si>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</si>
  <si>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</si>
  <si>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</si>
  <si>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</si>
  <si>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</si>
  <si>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</si>
  <si>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</si>
  <si>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</si>
  <si>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</si>
  <si>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</si>
  <si>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</si>
  <si>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</si>
  <si>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</si>
  <si>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</si>
  <si>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</si>
  <si>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</si>
  <si>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</si>
  <si>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</si>
  <si>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</si>
  <si>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</si>
  <si>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</si>
  <si>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</si>
  <si>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</si>
  <si>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</si>
  <si>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</si>
  <si>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</si>
  <si>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</si>
  <si>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</si>
  <si>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</si>
  <si>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</si>
  <si>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</si>
  <si>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</si>
  <si>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</si>
  <si>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</si>
  <si>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</si>
  <si>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</si>
  <si>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</si>
  <si>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</si>
  <si>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</si>
  <si>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</si>
  <si>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</si>
  <si>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</si>
  <si>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</si>
  <si>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</si>
  <si>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</si>
  <si>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</si>
  <si>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</si>
  <si>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</si>
  <si>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</si>
  <si>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</si>
  <si>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</si>
  <si>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</si>
  <si>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</si>
  <si>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</si>
  <si>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</si>
  <si>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</si>
  <si>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</si>
  <si>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</si>
  <si>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</si>
  <si>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</si>
  <si>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</si>
  <si>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</si>
  <si>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</si>
  <si>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</si>
  <si>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</si>
  <si>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</si>
  <si>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</si>
  <si>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</si>
  <si>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</si>
  <si>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</si>
  <si>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</si>
  <si>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</si>
  <si>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</si>
  <si>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</si>
  <si>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</si>
  <si>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</si>
  <si>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</si>
  <si>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</si>
  <si>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</si>
  <si>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</si>
  <si>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2:16</t>
  </si>
  <si>
    <t>2:54</t>
  </si>
  <si>
    <t>Excellent game, thanks for sharing so much information all along the match!!</t>
  </si>
  <si>
    <t>SAMUELE CATALLO</t>
  </si>
  <si>
    <t>PAOLO NORBERTO ZANDALINI</t>
  </si>
  <si>
    <t>EMANUELA DALLA COSTA</t>
  </si>
  <si>
    <t>SIMONE VLACHOS</t>
  </si>
  <si>
    <t>THEA MORELLO</t>
  </si>
  <si>
    <t>VALERIA GAMBUZZA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</si>
</sst>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24_236_MIL_ZAL_E2025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236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46044.854166666664</v>
      </c>
      <c r="C3" s="157"/>
      <c r="D3" s="39">
        <v>604</v>
      </c>
      <c r="E3" s="29"/>
      <c r="F3" s="26">
        <f>SUBTOTAL(3,I17:I106)</f>
        <v>2</v>
      </c>
      <c r="G3" s="27">
        <f>IF(OR(D3="",D3=0),"",F3/D3)</f>
        <v>3.3112582781456954E-3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67" t="s">
        <v>753</v>
      </c>
      <c r="N4" s="168"/>
      <c r="O4" s="2"/>
      <c r="P4" s="2"/>
      <c r="Q4" s="84" t="s">
        <v>175</v>
      </c>
      <c r="R4" s="94">
        <f>(IF(G3="",0,G3))</f>
        <v>3.3112582781456954E-3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0.33112582781456956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754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3.3311258278145695</v>
      </c>
      <c r="N7" s="58"/>
      <c r="O7" s="2"/>
      <c r="P7" s="2"/>
      <c r="Q7" s="86">
        <f>SUM(R5,S5,AC16)</f>
        <v>3.3311258278145695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756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3.3311258278145695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758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759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236</v>
      </c>
      <c r="D17" s="32" t="s">
        <v>751</v>
      </c>
      <c r="E17" s="33">
        <v>1</v>
      </c>
      <c r="F17" s="36">
        <v>21</v>
      </c>
      <c r="G17" s="36">
        <v>12</v>
      </c>
      <c r="H17" s="38" t="str">
        <f>IF(I17="","",$I$14)</f>
        <v>SCOUTING</v>
      </c>
      <c r="I17" s="34">
        <v>97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236</v>
      </c>
      <c r="D18" s="32" t="s">
        <v>752</v>
      </c>
      <c r="E18" s="33">
        <v>4</v>
      </c>
      <c r="F18" s="36">
        <v>76</v>
      </c>
      <c r="G18" s="36">
        <v>80</v>
      </c>
      <c r="H18" s="38" t="str">
        <f t="shared" ref="H18:H81" si="8">IF(I18="","",$I$14)</f>
        <v>SCOUTING</v>
      </c>
      <c r="I18" s="34">
        <v>531</v>
      </c>
      <c r="J18" s="13" t="s">
        <v>4</v>
      </c>
      <c r="K18" s="13" t="s">
        <v>62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REPORT_E2025236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"E2025236"</v>
      </c>
      <c r="F3" s="45" t="str">
        <f t="shared" ref="F3:F16" si="0">""""&amp;B3&amp;"""" &amp; " : " &amp;C3&amp;","</f>
        <v>"name" : "E2025236",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"E236"</v>
      </c>
      <c r="F4" s="45" t="str">
        <f t="shared" si="0"/>
        <v>"cod" : "E236",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236</v>
      </c>
      <c r="F6" s="45" t="str">
        <f t="shared" si="0"/>
        <v>"number" : 236,</v>
      </c>
    </row>
    <row r="7" spans="2:6" x14ac:dyDescent="0.25">
      <c r="B7" s="43" t="s">
        <v>116</v>
      </c>
      <c r="C7" s="43" t="str">
        <f ca="1">""""&amp;TEXT('SCOUT &amp; LOGISTICS'!B3,"dd/mm/aaaa")&amp;""""</f>
        <v>"22/01/2026"</v>
      </c>
      <c r="F7" s="45" t="str">
        <f t="shared" ca="1" si="0"/>
        <v>"date" : "22/01/2026",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"SAMUELE CATALLO"</v>
      </c>
      <c r="F10" s="45" t="str">
        <f t="shared" si="0"/>
        <v>"Data_entry" : "SAMUELE CATALLO",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"PAOLO NORBERTO ZANDALINI"</v>
      </c>
      <c r="F11" s="45" t="str">
        <f t="shared" si="0"/>
        <v>"Caller_1" : "PAOLO NORBERTO ZANDALINI",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"EMANUELA DALLA COSTA"</v>
      </c>
      <c r="F12" s="45" t="str">
        <f t="shared" si="0"/>
        <v>"Caller_2" : "EMANUELA DALLA COSTA",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"SIMONE VLACHOS"</v>
      </c>
      <c r="F13" s="45" t="str">
        <f t="shared" si="0"/>
        <v>"Timerkeeper" : "SIMONE VLACHOS",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"THEA MORELLO"</v>
      </c>
      <c r="F14" s="45" t="str">
        <f t="shared" si="0"/>
        <v>"Shotclock" : "THEA MORELLO",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"VALERIA GAMBUZZA"</v>
      </c>
      <c r="F15" s="45" t="str">
        <f t="shared" si="0"/>
        <v>"IRS" : "VALERIA GAMBUZZA",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game, thanks for sharing so much information all along the match!!"</v>
      </c>
      <c r="F51" s="45" t="str">
        <f>""""&amp;B51&amp;"""" &amp; " : " &amp;C51&amp;","</f>
        <v>"comments" : "Excellent game, thanks for sharing so much information all along the match!!",</v>
      </c>
    </row>
    <row r="52" spans="2:6" x14ac:dyDescent="0.25">
      <c r="B52" s="43" t="s">
        <v>153</v>
      </c>
      <c r="C52" s="43" t="str">
        <f>TEXT('SCOUT &amp; LOGISTICS'!F1,"0,0")</f>
        <v>24_236_MIL_ZAL_E2025</v>
      </c>
      <c r="F52" s="45" t="str">
        <f>""""&amp;B52&amp;"""" &amp; " : " &amp;C52</f>
        <v>"result" : 24_236_MIL_ZAL_E2025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E236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SAMUELE CATALLO</v>
      </c>
      <c r="C8" s="206"/>
      <c r="D8" s="206"/>
      <c r="E8" s="206"/>
      <c r="F8" s="206"/>
      <c r="G8" s="206" t="str">
        <f>IF('SCOUT &amp; LOGISTICS'!D7="","",'SCOUT &amp; LOGISTICS'!D7)</f>
        <v>PAOLO NORBERTO ZANDALINI</v>
      </c>
      <c r="H8" s="206"/>
      <c r="I8" s="206"/>
      <c r="J8" s="206"/>
      <c r="K8" s="206"/>
      <c r="L8" s="206" t="str">
        <f>IF('SCOUT &amp; LOGISTICS'!D8="","",'SCOUT &amp; LOGISTICS'!D8)</f>
        <v>EMANUELA DALLA COSTA</v>
      </c>
      <c r="M8" s="206"/>
      <c r="N8" s="206"/>
      <c r="O8" s="206"/>
      <c r="P8" s="206"/>
      <c r="Q8" s="206" t="str">
        <f>IF('SCOUT &amp; LOGISTICS'!D9="","",'SCOUT &amp; LOGISTICS'!D9)</f>
        <v>SIMONE VLACHOS</v>
      </c>
      <c r="R8" s="206"/>
      <c r="S8" s="206"/>
      <c r="T8" s="206"/>
      <c r="U8" s="206"/>
      <c r="V8" s="206" t="str">
        <f>IF('SCOUT &amp; LOGISTICS'!D10="","",'SCOUT &amp; LOGISTICS'!D10)</f>
        <v>THEA MORELLO</v>
      </c>
      <c r="W8" s="206"/>
      <c r="X8" s="206"/>
      <c r="Y8" s="206"/>
      <c r="Z8" s="206"/>
      <c r="AA8" s="206" t="str">
        <f>IF('SCOUT &amp; LOGISTICS'!D11="","",'SCOUT &amp; LOGISTICS'!D11)</f>
        <v>VALERIA GAMBUZZA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604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3.3112582781456954E-3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Excellent game, thanks for sharing so much information all along the match!!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3.3311258278145695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1DB33B-6349-44D5-8253-C4BC791D94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2026-01-22T22:02:35Z</cp:lastPrinted>
  <dcterms:created xsi:type="dcterms:W3CDTF">2023-09-19T19:50:35Z</dcterms:created>
  <dcterms:modified xsi:type="dcterms:W3CDTF">2026-01-22T22:02:50Z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