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4" documentId="8_{9C7B5FCD-C2E6-464A-A794-5D172933F4B8}" xr6:coauthVersionLast="47" xr6:coauthVersionMax="47" xr10:uidLastSave="{88507A62-99B6-47E0-8372-8267FDA2DF22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<sst xmlns="http://schemas.openxmlformats.org/spreadsheetml/2006/main" count="3250" uniqueCount="756">
  <si>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</si>
  <si>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</si>
  <si>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</si>
  <si>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</si>
  <si>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</si>
  <si>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</si>
  <si>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</si>
  <si>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</si>
  <si>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</si>
  <si>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</si>
  <si>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</si>
  <si>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</si>
  <si>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</si>
  <si>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</si>
  <si>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</si>
  <si>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</si>
  <si>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</si>
  <si>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</si>
  <si>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</si>
  <si>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</si>
  <si>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</si>
  <si>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</si>
  <si>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</si>
  <si>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</si>
  <si>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</si>
  <si>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</si>
  <si>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</si>
  <si>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</si>
  <si>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</si>
  <si>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</si>
  <si>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</si>
  <si>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</si>
  <si>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</si>
  <si>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</si>
  <si>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</si>
  <si>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</si>
  <si>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</si>
  <si>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</si>
  <si>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</si>
  <si>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</si>
  <si>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</si>
  <si>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</si>
  <si>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</si>
  <si>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</si>
  <si>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</si>
  <si>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</si>
  <si>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</si>
  <si>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</si>
  <si>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</si>
  <si>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</si>
  <si>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</si>
  <si>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</si>
  <si>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</si>
  <si>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</si>
  <si>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</si>
  <si>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</si>
  <si>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</si>
  <si>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</si>
  <si>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</si>
  <si>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</si>
  <si>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</si>
  <si>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</si>
  <si>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</si>
  <si>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</si>
  <si>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</si>
  <si>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</si>
  <si>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</si>
  <si>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</si>
  <si>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</si>
  <si>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</si>
  <si>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</si>
  <si>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</si>
  <si>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</si>
  <si>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</si>
  <si>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</si>
  <si>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</si>
  <si>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</si>
  <si>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</si>
  <si>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</si>
  <si>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</si>
  <si>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</si>
  <si>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</si>
  <si>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</si>
  <si>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</si>
  <si>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</si>
  <si>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</si>
  <si>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</si>
  <si>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</si>
  <si>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</si>
  <si>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</si>
  <si>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</si>
  <si>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</si>
  <si>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</si>
  <si>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</si>
  <si>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</si>
  <si>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</si>
  <si>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</si>
  <si>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</si>
  <si>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</si>
  <si>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</si>
  <si>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</si>
  <si>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</si>
  <si>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</si>
  <si>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</si>
  <si>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</si>
  <si>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</si>
  <si>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</si>
  <si>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</si>
  <si>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</si>
  <si>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</si>
  <si>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</si>
  <si>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</si>
  <si>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</si>
  <si>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</si>
  <si>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</si>
  <si>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</si>
  <si>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</si>
  <si>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</si>
  <si>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</si>
  <si>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</si>
  <si>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</si>
  <si>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</si>
  <si>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</si>
  <si>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</si>
  <si>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</si>
  <si>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</si>
  <si>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</si>
  <si>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</si>
  <si>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</si>
  <si>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</si>
  <si>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</si>
  <si>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</si>
  <si>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</si>
  <si>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</si>
  <si>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</si>
  <si>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</si>
  <si>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</si>
  <si>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</si>
  <si>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</si>
  <si>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</si>
  <si>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</si>
  <si>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</si>
  <si>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</si>
  <si>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</si>
  <si>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</si>
  <si>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</si>
  <si>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</si>
  <si>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</si>
  <si>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</si>
  <si>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</si>
  <si>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</si>
  <si>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</si>
  <si>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</si>
  <si>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</si>
  <si>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</si>
  <si>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</si>
  <si>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</si>
  <si>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</si>
  <si>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</si>
  <si>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</si>
  <si>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</si>
  <si>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</si>
  <si>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</si>
  <si>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</si>
  <si>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</si>
  <si>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</si>
  <si>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</si>
  <si>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</si>
  <si>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</si>
  <si>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</si>
  <si>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</si>
  <si>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</si>
  <si>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</si>
  <si>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</si>
  <si>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</si>
  <si>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</si>
  <si>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</si>
  <si>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</si>
  <si>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</si>
  <si>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</si>
  <si>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</si>
  <si>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</si>
  <si>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</si>
  <si>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</si>
  <si>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</si>
  <si>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</si>
  <si>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</si>
  <si>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</si>
  <si>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</si>
  <si>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</si>
  <si>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</si>
  <si>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</si>
  <si>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</si>
  <si>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</si>
  <si>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</si>
  <si>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</si>
  <si>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</si>
  <si>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</si>
  <si>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</si>
  <si>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</si>
  <si>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</si>
  <si>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</si>
  <si>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</si>
  <si>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</si>
  <si>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</si>
  <si>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</si>
  <si>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</si>
  <si>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</si>
  <si>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</si>
  <si>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</si>
  <si>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</si>
  <si>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</si>
  <si>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</si>
  <si>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</si>
  <si>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</si>
  <si>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</si>
  <si>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</si>
  <si>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</si>
  <si>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</si>
  <si>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</si>
  <si>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</si>
  <si>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</si>
  <si>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</si>
  <si>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</si>
  <si>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</si>
  <si>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</si>
  <si>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</si>
  <si>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</si>
  <si>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</si>
  <si>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</si>
  <si>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</si>
  <si>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</si>
  <si>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</si>
  <si>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</si>
  <si>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</si>
  <si>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</si>
  <si>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</si>
  <si>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</si>
  <si>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</si>
  <si>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</si>
  <si>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</si>
  <si>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</si>
  <si>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</si>
  <si>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</si>
  <si>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</si>
  <si>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</si>
  <si>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</si>
  <si>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</si>
  <si>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</si>
  <si>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</si>
  <si>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</si>
  <si>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</si>
  <si>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</si>
  <si>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</si>
  <si>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</si>
  <si>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</si>
  <si>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</si>
  <si>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</si>
  <si>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</si>
  <si>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</si>
  <si>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</si>
  <si>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</si>
  <si>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</si>
  <si>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</si>
  <si>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</si>
  <si>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</si>
  <si>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</si>
  <si>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</si>
  <si>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</si>
  <si>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</si>
  <si>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</si>
  <si>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</si>
  <si>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</si>
  <si>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</si>
  <si>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</si>
  <si>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</si>
  <si>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</si>
  <si>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</si>
  <si>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</si>
  <si>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</si>
  <si>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</si>
  <si>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</si>
  <si>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</si>
  <si>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</si>
  <si>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</si>
  <si>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</si>
  <si>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</si>
  <si>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</si>
  <si>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</si>
  <si>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</si>
  <si>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</si>
  <si>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</si>
  <si>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</si>
  <si>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</si>
  <si>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</si>
  <si>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</si>
  <si>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</si>
  <si>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</si>
  <si>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</si>
  <si>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</si>
  <si>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</si>
  <si>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</si>
  <si>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</si>
  <si>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</si>
  <si>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</si>
  <si>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</si>
  <si>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</si>
  <si>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</si>
  <si>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</si>
  <si>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</si>
  <si>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</si>
  <si>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</si>
  <si>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</si>
  <si>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</si>
  <si>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</si>
  <si>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</si>
  <si>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</si>
  <si>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</si>
  <si>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</si>
  <si>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</si>
  <si>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</si>
  <si>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</si>
  <si>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</si>
  <si>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</si>
  <si>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</si>
  <si>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</si>
  <si>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</si>
  <si>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</si>
  <si>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</si>
  <si>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</si>
  <si>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</si>
  <si>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</si>
  <si>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</si>
  <si>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</si>
  <si>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</si>
  <si>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</si>
  <si>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</si>
  <si>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</si>
  <si>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</si>
  <si>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</si>
  <si>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</si>
  <si>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</si>
  <si>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</si>
  <si>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</si>
  <si>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</si>
  <si>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</si>
  <si>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</si>
  <si>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</si>
  <si>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</si>
  <si>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</si>
  <si>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</si>
  <si>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</si>
  <si>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</si>
  <si>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</si>
  <si>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</si>
  <si>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</si>
  <si>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</si>
  <si>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</si>
  <si>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</si>
  <si>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</si>
  <si>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</si>
  <si>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</si>
  <si>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</si>
  <si>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</si>
  <si>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</si>
  <si>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</si>
  <si>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</si>
  <si>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</si>
  <si>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</si>
  <si>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</si>
  <si>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</si>
  <si>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</si>
  <si>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</si>
  <si>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</si>
  <si>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</si>
  <si>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</si>
  <si>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</si>
  <si>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</si>
  <si>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</si>
  <si>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</si>
  <si>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</si>
  <si>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</si>
  <si>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</si>
  <si>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</si>
  <si>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</si>
  <si>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</si>
  <si>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</si>
  <si>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</si>
  <si>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</si>
  <si>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</si>
  <si>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</si>
  <si>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</si>
  <si>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</si>
  <si>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</si>
  <si>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</si>
  <si>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</si>
  <si>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</si>
  <si>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</si>
  <si>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</si>
  <si>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</si>
  <si>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</si>
  <si>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</si>
  <si>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</si>
  <si>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</si>
  <si>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</si>
  <si>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</si>
  <si>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</si>
  <si>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</si>
  <si>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</si>
  <si>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</si>
  <si>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</si>
  <si>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</si>
  <si>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</si>
  <si>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</si>
  <si>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</si>
  <si>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</si>
  <si>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</si>
  <si>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</si>
  <si>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</si>
  <si>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</si>
  <si>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</si>
  <si>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</si>
  <si>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</si>
  <si>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</si>
  <si>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</si>
  <si>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</si>
  <si>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</si>
  <si>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</si>
  <si>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</si>
  <si>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</si>
  <si>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</si>
  <si>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</si>
  <si>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</si>
  <si>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</si>
  <si>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</si>
  <si>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</si>
  <si>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</si>
  <si>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</si>
  <si>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</si>
  <si>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</si>
  <si>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</si>
  <si>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</si>
  <si>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</si>
  <si>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</si>
  <si>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</si>
  <si>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</si>
  <si>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</si>
  <si>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</si>
  <si>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</si>
  <si>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</si>
  <si>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</si>
  <si>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</si>
  <si>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</si>
  <si>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</si>
  <si>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</si>
  <si>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</si>
  <si>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</si>
  <si>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</si>
  <si>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</si>
  <si>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</si>
  <si>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</si>
  <si>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</si>
  <si>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</si>
  <si>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</si>
  <si>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</si>
  <si>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</si>
  <si>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</si>
  <si>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</si>
  <si>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</si>
  <si>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</si>
  <si>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</si>
  <si>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</si>
  <si>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</si>
  <si>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</si>
  <si>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</si>
  <si>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</si>
  <si>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</si>
  <si>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</si>
  <si>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</si>
  <si>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</si>
  <si>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</si>
  <si>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</si>
  <si>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</si>
  <si>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</si>
  <si>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</si>
  <si>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</si>
  <si>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</si>
  <si>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</si>
  <si>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</si>
  <si>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</si>
  <si>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</si>
  <si>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</si>
  <si>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</si>
  <si>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</si>
  <si>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</si>
  <si>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</si>
  <si>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</si>
  <si>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</si>
  <si>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</si>
  <si>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</si>
  <si>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</si>
  <si>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</si>
  <si>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</si>
  <si>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</si>
  <si>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</si>
  <si>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</si>
  <si>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</si>
  <si>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</si>
  <si>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</si>
  <si>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</si>
  <si>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</si>
  <si>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</si>
  <si>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</si>
  <si>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</si>
  <si>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</si>
  <si>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</si>
  <si>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</si>
  <si>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</si>
  <si>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</si>
  <si>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</si>
  <si>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</si>
  <si>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</si>
  <si>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</si>
  <si>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</si>
  <si>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</si>
  <si>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</si>
  <si>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</si>
  <si>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</si>
  <si>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</si>
  <si>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</si>
  <si>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</si>
  <si>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</si>
  <si>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</si>
  <si>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</si>
  <si>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</si>
  <si>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</si>
  <si>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</si>
  <si>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</si>
  <si>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</si>
  <si>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</si>
  <si>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</si>
  <si>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</si>
  <si>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</si>
  <si>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</si>
  <si>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</si>
  <si>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</si>
  <si>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</si>
  <si>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</si>
  <si>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</si>
  <si>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</si>
  <si>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</si>
  <si>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</si>
  <si>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</si>
  <si>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</si>
  <si>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</si>
  <si>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</si>
  <si>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</si>
  <si>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</si>
  <si>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</si>
  <si>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</si>
  <si>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</si>
  <si>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</si>
  <si>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</si>
  <si>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</si>
  <si>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</si>
  <si>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</si>
  <si>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</si>
  <si>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</si>
  <si>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</si>
  <si>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</si>
  <si>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</si>
  <si>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</si>
  <si>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</si>
  <si>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</si>
  <si>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</si>
  <si>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</si>
  <si>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</si>
  <si>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</si>
  <si>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</si>
  <si>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</si>
  <si>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</si>
  <si>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</si>
  <si>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</si>
  <si>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</si>
  <si>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</si>
  <si>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</si>
  <si>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</si>
  <si>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</si>
  <si>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</si>
  <si>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</si>
  <si>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</si>
  <si>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</si>
  <si>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</si>
  <si>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</si>
  <si>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</si>
  <si>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</si>
  <si>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</si>
  <si>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</si>
  <si>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</si>
  <si>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</si>
  <si>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</si>
  <si>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</si>
  <si>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</si>
  <si>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</si>
  <si>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</si>
  <si>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</si>
  <si>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</si>
  <si>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</si>
  <si>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</si>
  <si>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</si>
  <si>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</si>
  <si>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</si>
  <si>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</si>
  <si>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</si>
  <si>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</si>
  <si>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</si>
  <si>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</si>
  <si>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</si>
  <si>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</si>
  <si>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</si>
  <si>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</si>
  <si>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</si>
  <si>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</si>
  <si>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</si>
  <si>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</si>
  <si>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</si>
  <si>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</si>
  <si>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</si>
  <si>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</si>
  <si>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</si>
  <si>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</si>
  <si>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</si>
  <si>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</si>
  <si>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</si>
  <si>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</si>
  <si>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</si>
  <si>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</si>
  <si>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</si>
  <si>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</si>
  <si>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</si>
  <si>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</si>
  <si>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</si>
  <si>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</si>
  <si>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</si>
  <si>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</si>
  <si>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</si>
  <si>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</si>
  <si>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</si>
  <si>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</si>
  <si>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</si>
  <si>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</si>
  <si>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</si>
  <si>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</si>
  <si>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</si>
  <si>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</si>
  <si>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</si>
  <si>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</si>
  <si>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</si>
  <si>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</si>
  <si>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</si>
  <si>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</si>
  <si>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</si>
  <si>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</si>
  <si>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</si>
  <si>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</si>
  <si>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</si>
  <si>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</si>
  <si>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</si>
  <si>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</si>
  <si>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</si>
  <si>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</si>
  <si>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</si>
  <si>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</si>
  <si>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</si>
  <si>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</si>
  <si>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</si>
  <si>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</si>
  <si>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</si>
  <si>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</si>
  <si>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</si>
  <si>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</si>
  <si>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</si>
  <si>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</si>
  <si>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</si>
  <si>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</si>
  <si>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</si>
  <si>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</si>
  <si>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</si>
  <si>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</si>
  <si>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</si>
  <si>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</si>
  <si>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</si>
  <si>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</si>
  <si>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</si>
  <si>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</si>
  <si>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</si>
  <si>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</si>
  <si>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</si>
  <si>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</si>
  <si>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</si>
  <si>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</si>
  <si>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</si>
  <si>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</si>
  <si>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</si>
  <si>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</si>
  <si>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</si>
  <si>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</si>
  <si>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</si>
  <si>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</si>
  <si>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</si>
  <si>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</si>
  <si>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</si>
  <si>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</si>
  <si>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</si>
  <si>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</si>
  <si>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</si>
  <si>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</si>
  <si>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</si>
  <si>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</si>
  <si>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</si>
  <si>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</si>
  <si>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</si>
  <si>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</si>
  <si>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</si>
  <si>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</si>
  <si>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</si>
  <si>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</si>
  <si>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</si>
  <si>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</si>
  <si>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</si>
  <si>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</si>
  <si>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</si>
  <si>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</si>
  <si>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</si>
  <si>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</si>
  <si>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</si>
  <si>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</si>
  <si>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</si>
  <si>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</si>
  <si>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</si>
  <si>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</si>
  <si>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</si>
  <si>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</si>
  <si>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</si>
  <si>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</si>
  <si>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</si>
  <si>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</si>
  <si>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</si>
  <si>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</si>
  <si>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</si>
  <si>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ENDER OZBEK</t>
  </si>
  <si>
    <t>SERTAC DOSTEL</t>
  </si>
  <si>
    <t>GODZE BEGUM AKUZUM</t>
  </si>
  <si>
    <t>ELOI VERGE</t>
  </si>
  <si>
    <t>00:37</t>
  </si>
  <si>
    <t>Excellent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</si>
</sst>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24" sqref="K2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24_237_ULK_BAS_E2025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46045.864583333336</v>
      </c>
      <c r="C3" s="157"/>
      <c r="D3" s="39">
        <v>619</v>
      </c>
      <c r="E3" s="29"/>
      <c r="F3" s="26">
        <f>SUBTOTAL(3,I17:I106)</f>
        <v>1</v>
      </c>
      <c r="G3" s="27">
        <f>IF(OR(D3="",D3=0),"",F3/D3)</f>
        <v>1.6155088852988692E-3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742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1.6155088852988692E-3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0.16155088852988692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2.6615508885298871</v>
      </c>
      <c r="N7" s="58"/>
      <c r="O7" s="2"/>
      <c r="P7" s="2"/>
      <c r="Q7" s="86">
        <f>SUM(R5,S5,AC16)</f>
        <v>2.6615508885298871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2.6615508885298871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237</v>
      </c>
      <c r="D17" s="32" t="s">
        <v>754</v>
      </c>
      <c r="E17" s="33">
        <v>2</v>
      </c>
      <c r="F17" s="36">
        <v>39</v>
      </c>
      <c r="G17" s="36">
        <v>38</v>
      </c>
      <c r="H17" s="38" t="str">
        <f>IF(I17="","",$I$14)</f>
        <v>SCOUTING</v>
      </c>
      <c r="I17" s="34">
        <v>296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"E2025237"</v>
      </c>
      <c r="F3" s="45" t="str">
        <f t="shared" ref="F3:F16" si="0">""""&amp;B3&amp;"""" &amp; " : " &amp;C3&amp;","</f>
        <v>"name" : "E2025237",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"E237"</v>
      </c>
      <c r="F4" s="45" t="str">
        <f t="shared" si="0"/>
        <v>"cod" : "E237",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237</v>
      </c>
      <c r="F6" s="45" t="str">
        <f t="shared" si="0"/>
        <v>"number" : 237,</v>
      </c>
    </row>
    <row r="7" spans="2:6" x14ac:dyDescent="0.25">
      <c r="B7" s="43" t="s">
        <v>116</v>
      </c>
      <c r="C7" s="43" t="str">
        <f ca="1">""""&amp;TEXT('SCOUT &amp; LOGISTICS'!B3,"dd/mm/aaaa")&amp;""""</f>
        <v>"23/01/2026"</v>
      </c>
      <c r="F7" s="45" t="str">
        <f t="shared" ca="1" si="0"/>
        <v>"date" : "23/01/2026",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"GODZE BEGUM AKUZUM"</v>
      </c>
      <c r="F13" s="45" t="str">
        <f t="shared" si="0"/>
        <v>"Timerkeeper" : "GODZE BEGUM AKUZUM",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619</v>
      </c>
      <c r="F25" s="45" t="str">
        <f t="shared" ref="F25:F48" si="1">""""&amp;C25&amp;"""" &amp; " : " &amp;D25&amp;","</f>
        <v>"total_actions" : 619,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24_237_ULK_BAS_E2025</v>
      </c>
      <c r="F52" s="45" t="str">
        <f>""""&amp;B52&amp;"""" &amp; " : " &amp;C52</f>
        <v>"result" : 24_237_ULK_BAS_E2025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E237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GODZE BEGUM AKUZUM</v>
      </c>
      <c r="R8" s="206"/>
      <c r="S8" s="206"/>
      <c r="T8" s="206"/>
      <c r="U8" s="206"/>
      <c r="V8" s="206" t="str">
        <f>IF('SCOUT &amp; LOGISTICS'!D10="","",'SCOUT &amp; LOGISTICS'!D10)</f>
        <v>AHMET ERKASAP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619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1.6155088852988692E-3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Excellent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2.6615508885298871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6C39DC-3B13-4F37-936D-AF616DFF3F9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2026-01-23T20:15:23Z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