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6" documentId="8_{15914348-1809-449F-B99B-E1F70852E48A}" xr6:coauthVersionLast="47" xr6:coauthVersionMax="47" xr10:uidLastSave="{CF2F7E59-609C-49CC-952D-48EC8CF578EB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<sst xmlns="http://schemas.openxmlformats.org/spreadsheetml/2006/main" count="3260" uniqueCount="762">
  <si>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</si>
  <si>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</si>
  <si>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</si>
  <si>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</si>
  <si>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</si>
  <si>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</si>
  <si>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</si>
  <si>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</si>
  <si>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</si>
  <si>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</si>
  <si>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</si>
  <si>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</si>
  <si>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</si>
  <si>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</si>
  <si>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</si>
  <si>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</si>
  <si>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</si>
  <si>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</si>
  <si>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</si>
  <si>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</si>
  <si>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</si>
  <si>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</si>
  <si>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</si>
  <si>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</si>
  <si>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</si>
  <si>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</si>
  <si>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</si>
  <si>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</si>
  <si>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</si>
  <si>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</si>
  <si>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</si>
  <si>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</si>
  <si>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</si>
  <si>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</si>
  <si>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</si>
  <si>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</si>
  <si>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</si>
  <si>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</si>
  <si>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</si>
  <si>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</si>
  <si>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</si>
  <si>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</si>
  <si>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</si>
  <si>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</si>
  <si>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</si>
  <si>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</si>
  <si>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</si>
  <si>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</si>
  <si>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</si>
  <si>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</si>
  <si>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</si>
  <si>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</si>
  <si>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</si>
  <si>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</si>
  <si>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</si>
  <si>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</si>
  <si>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</si>
  <si>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</si>
  <si>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</si>
  <si>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</si>
  <si>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</si>
  <si>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</si>
  <si>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</si>
  <si>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</si>
  <si>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</si>
  <si>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</si>
  <si>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</si>
  <si>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</si>
  <si>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</si>
  <si>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</si>
  <si>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</si>
  <si>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</si>
  <si>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</si>
  <si>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</si>
  <si>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</si>
  <si>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</si>
  <si>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</si>
  <si>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</si>
  <si>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</si>
  <si>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</si>
  <si>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</si>
  <si>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</si>
  <si>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</si>
  <si>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</si>
  <si>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</si>
  <si>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</si>
  <si>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</si>
  <si>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</si>
  <si>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</si>
  <si>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</si>
  <si>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</si>
  <si>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</si>
  <si>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</si>
  <si>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</si>
  <si>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</si>
  <si>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</si>
  <si>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</si>
  <si>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</si>
  <si>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</si>
  <si>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</si>
  <si>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</si>
  <si>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</si>
  <si>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</si>
  <si>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</si>
  <si>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</si>
  <si>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</si>
  <si>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</si>
  <si>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</si>
  <si>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</si>
  <si>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</si>
  <si>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</si>
  <si>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</si>
  <si>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</si>
  <si>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</si>
  <si>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</si>
  <si>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</si>
  <si>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</si>
  <si>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</si>
  <si>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</si>
  <si>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</si>
  <si>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</si>
  <si>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</si>
  <si>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</si>
  <si>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</si>
  <si>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</si>
  <si>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</si>
  <si>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</si>
  <si>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</si>
  <si>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</si>
  <si>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</si>
  <si>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</si>
  <si>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</si>
  <si>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</si>
  <si>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</si>
  <si>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</si>
  <si>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</si>
  <si>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</si>
  <si>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</si>
  <si>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</si>
  <si>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</si>
  <si>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</si>
  <si>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</si>
  <si>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</si>
  <si>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</si>
  <si>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</si>
  <si>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</si>
  <si>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</si>
  <si>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</si>
  <si>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</si>
  <si>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</si>
  <si>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</si>
  <si>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</si>
  <si>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</si>
  <si>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</si>
  <si>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</si>
  <si>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</si>
  <si>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</si>
  <si>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</si>
  <si>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</si>
  <si>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</si>
  <si>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</si>
  <si>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</si>
  <si>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</si>
  <si>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</si>
  <si>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</si>
  <si>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</si>
  <si>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</si>
  <si>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</si>
  <si>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</si>
  <si>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</si>
  <si>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</si>
  <si>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</si>
  <si>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</si>
  <si>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</si>
  <si>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</si>
  <si>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</si>
  <si>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</si>
  <si>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</si>
  <si>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</si>
  <si>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</si>
  <si>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</si>
  <si>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</si>
  <si>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</si>
  <si>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</si>
  <si>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</si>
  <si>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</si>
  <si>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</si>
  <si>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</si>
  <si>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</si>
  <si>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</si>
  <si>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</si>
  <si>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</si>
  <si>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</si>
  <si>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</si>
  <si>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</si>
  <si>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</si>
  <si>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</si>
  <si>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</si>
  <si>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</si>
  <si>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</si>
  <si>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</si>
  <si>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</si>
  <si>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</si>
  <si>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</si>
  <si>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</si>
  <si>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</si>
  <si>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</si>
  <si>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</si>
  <si>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</si>
  <si>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</si>
  <si>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</si>
  <si>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</si>
  <si>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</si>
  <si>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</si>
  <si>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</si>
  <si>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</si>
  <si>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</si>
  <si>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</si>
  <si>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</si>
  <si>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</si>
  <si>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</si>
  <si>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</si>
  <si>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</si>
  <si>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</si>
  <si>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</si>
  <si>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</si>
  <si>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</si>
  <si>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</si>
  <si>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</si>
  <si>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</si>
  <si>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</si>
  <si>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</si>
  <si>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</si>
  <si>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</si>
  <si>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</si>
  <si>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</si>
  <si>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</si>
  <si>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</si>
  <si>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</si>
  <si>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</si>
  <si>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</si>
  <si>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</si>
  <si>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</si>
  <si>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</si>
  <si>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</si>
  <si>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</si>
  <si>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</si>
  <si>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</si>
  <si>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</si>
  <si>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</si>
  <si>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</si>
  <si>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</si>
  <si>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</si>
  <si>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</si>
  <si>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</si>
  <si>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</si>
  <si>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</si>
  <si>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</si>
  <si>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</si>
  <si>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</si>
  <si>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</si>
  <si>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</si>
  <si>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</si>
  <si>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</si>
  <si>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</si>
  <si>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</si>
  <si>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</si>
  <si>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</si>
  <si>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</si>
  <si>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</si>
  <si>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</si>
  <si>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</si>
  <si>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</si>
  <si>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</si>
  <si>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</si>
  <si>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</si>
  <si>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</si>
  <si>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</si>
  <si>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</si>
  <si>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</si>
  <si>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</si>
  <si>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</si>
  <si>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</si>
  <si>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</si>
  <si>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</si>
  <si>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</si>
  <si>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</si>
  <si>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</si>
  <si>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</si>
  <si>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</si>
  <si>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</si>
  <si>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</si>
  <si>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</si>
  <si>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</si>
  <si>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</si>
  <si>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</si>
  <si>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</si>
  <si>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</si>
  <si>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</si>
  <si>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</si>
  <si>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</si>
  <si>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</si>
  <si>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</si>
  <si>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</si>
  <si>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</si>
  <si>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</si>
  <si>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</si>
  <si>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</si>
  <si>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</si>
  <si>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</si>
  <si>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</si>
  <si>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</si>
  <si>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</si>
  <si>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</si>
  <si>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</si>
  <si>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</si>
  <si>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</si>
  <si>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</si>
  <si>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</si>
  <si>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</si>
  <si>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</si>
  <si>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</si>
  <si>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</si>
  <si>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</si>
  <si>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</si>
  <si>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</si>
  <si>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</si>
  <si>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</si>
  <si>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</si>
  <si>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</si>
  <si>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</si>
  <si>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</si>
  <si>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</si>
  <si>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</si>
  <si>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</si>
  <si>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</si>
  <si>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</si>
  <si>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</si>
  <si>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</si>
  <si>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</si>
  <si>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</si>
  <si>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</si>
  <si>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</si>
  <si>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</si>
  <si>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</si>
  <si>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</si>
  <si>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</si>
  <si>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</si>
  <si>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</si>
  <si>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</si>
  <si>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</si>
  <si>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</si>
  <si>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</si>
  <si>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</si>
  <si>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</si>
  <si>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</si>
  <si>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</si>
  <si>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</si>
  <si>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</si>
  <si>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</si>
  <si>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</si>
  <si>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</si>
  <si>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</si>
  <si>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</si>
  <si>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</si>
  <si>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</si>
  <si>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</si>
  <si>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</si>
  <si>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</si>
  <si>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</si>
  <si>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</si>
  <si>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</si>
  <si>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</si>
  <si>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</si>
  <si>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</si>
  <si>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</si>
  <si>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</si>
  <si>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</si>
  <si>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</si>
  <si>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</si>
  <si>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</si>
  <si>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</si>
  <si>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</si>
  <si>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</si>
  <si>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</si>
  <si>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</si>
  <si>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</si>
  <si>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</si>
  <si>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</si>
  <si>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</si>
  <si>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</si>
  <si>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</si>
  <si>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</si>
  <si>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</si>
  <si>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</si>
  <si>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</si>
  <si>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</si>
  <si>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</si>
  <si>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</si>
  <si>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</si>
  <si>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</si>
  <si>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</si>
  <si>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</si>
  <si>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</si>
  <si>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</si>
  <si>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</si>
  <si>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</si>
  <si>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</si>
  <si>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</si>
  <si>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</si>
  <si>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</si>
  <si>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</si>
  <si>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</si>
  <si>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</si>
  <si>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</si>
  <si>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</si>
  <si>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</si>
  <si>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</si>
  <si>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</si>
  <si>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</si>
  <si>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</si>
  <si>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</si>
  <si>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</si>
  <si>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</si>
  <si>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</si>
  <si>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</si>
  <si>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</si>
  <si>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</si>
  <si>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</si>
  <si>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</si>
  <si>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</si>
  <si>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</si>
  <si>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</si>
  <si>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</si>
  <si>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</si>
  <si>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</si>
  <si>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</si>
  <si>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</si>
  <si>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</si>
  <si>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</si>
  <si>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</si>
  <si>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</si>
  <si>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</si>
  <si>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</si>
  <si>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</si>
  <si>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</si>
  <si>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</si>
  <si>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</si>
  <si>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</si>
  <si>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</si>
  <si>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</si>
  <si>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</si>
  <si>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</si>
  <si>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</si>
  <si>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</si>
  <si>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</si>
  <si>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</si>
  <si>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</si>
  <si>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</si>
  <si>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</si>
  <si>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</si>
  <si>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</si>
  <si>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</si>
  <si>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</si>
  <si>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</si>
  <si>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</si>
  <si>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</si>
  <si>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</si>
  <si>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</si>
  <si>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</si>
  <si>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</si>
  <si>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</si>
  <si>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</si>
  <si>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</si>
  <si>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</si>
  <si>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</si>
  <si>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</si>
  <si>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</si>
  <si>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</si>
  <si>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</si>
  <si>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</si>
  <si>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</si>
  <si>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</si>
  <si>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</si>
  <si>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</si>
  <si>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</si>
  <si>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</si>
  <si>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</si>
  <si>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</si>
  <si>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</si>
  <si>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</si>
  <si>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</si>
  <si>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</si>
  <si>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</si>
  <si>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</si>
  <si>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</si>
  <si>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</si>
  <si>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</si>
  <si>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</si>
  <si>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</si>
  <si>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</si>
  <si>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</si>
  <si>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</si>
  <si>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</si>
  <si>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</si>
  <si>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</si>
  <si>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</si>
  <si>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</si>
  <si>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</si>
  <si>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</si>
  <si>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</si>
  <si>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</si>
  <si>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</si>
  <si>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</si>
  <si>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</si>
  <si>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</si>
  <si>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</si>
  <si>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</si>
  <si>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</si>
  <si>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</si>
  <si>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</si>
  <si>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</si>
  <si>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</si>
  <si>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</si>
  <si>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</si>
  <si>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</si>
  <si>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</si>
  <si>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</si>
  <si>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</si>
  <si>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</si>
  <si>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</si>
  <si>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</si>
  <si>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</si>
  <si>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</si>
  <si>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</si>
  <si>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</si>
  <si>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</si>
  <si>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</si>
  <si>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</si>
  <si>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</si>
  <si>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</si>
  <si>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</si>
  <si>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</si>
  <si>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</si>
  <si>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</si>
  <si>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</si>
  <si>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</si>
  <si>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</si>
  <si>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</si>
  <si>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</si>
  <si>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</si>
  <si>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</si>
  <si>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</si>
  <si>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</si>
  <si>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</si>
  <si>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</si>
  <si>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</si>
  <si>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</si>
  <si>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</si>
  <si>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</si>
  <si>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</si>
  <si>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</si>
  <si>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</si>
  <si>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</si>
  <si>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</si>
  <si>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</si>
  <si>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</si>
  <si>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</si>
  <si>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</si>
  <si>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</si>
  <si>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</si>
  <si>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</si>
  <si>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</si>
  <si>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</si>
  <si>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</si>
  <si>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</si>
  <si>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</si>
  <si>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</si>
  <si>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</si>
  <si>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</si>
  <si>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</si>
  <si>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</si>
  <si>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</si>
  <si>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</si>
  <si>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</si>
  <si>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</si>
  <si>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</si>
  <si>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</si>
  <si>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</si>
  <si>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</si>
  <si>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</si>
  <si>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</si>
  <si>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</si>
  <si>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</si>
  <si>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</si>
  <si>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</si>
  <si>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</si>
  <si>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</si>
  <si>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</si>
  <si>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</si>
  <si>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</si>
  <si>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</si>
  <si>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</si>
  <si>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</si>
  <si>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</si>
  <si>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</si>
  <si>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</si>
  <si>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</si>
  <si>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</si>
  <si>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</si>
  <si>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</si>
  <si>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</si>
  <si>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</si>
  <si>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</si>
  <si>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</si>
  <si>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</si>
  <si>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</si>
  <si>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</si>
  <si>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</si>
  <si>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</si>
  <si>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</si>
  <si>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</si>
  <si>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</si>
  <si>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</si>
  <si>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</si>
  <si>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</si>
  <si>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</si>
  <si>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</si>
  <si>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</si>
  <si>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</si>
  <si>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</si>
  <si>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</si>
  <si>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</si>
  <si>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</si>
  <si>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</si>
  <si>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</si>
  <si>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</si>
  <si>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</si>
  <si>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</si>
  <si>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</si>
  <si>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</si>
  <si>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</si>
  <si>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</si>
  <si>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</si>
  <si>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</si>
  <si>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</si>
  <si>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</si>
  <si>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</si>
  <si>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</si>
  <si>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</si>
  <si>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</si>
  <si>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</si>
  <si>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</si>
  <si>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</si>
  <si>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</si>
  <si>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</si>
  <si>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</si>
  <si>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</si>
  <si>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</si>
  <si>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</si>
  <si>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</si>
  <si>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</si>
  <si>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</si>
  <si>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</si>
  <si>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</si>
  <si>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</si>
  <si>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</si>
  <si>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</si>
  <si>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</si>
  <si>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</si>
  <si>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</si>
  <si>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</si>
  <si>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</si>
  <si>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</si>
  <si>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</si>
  <si>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</si>
  <si>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</si>
  <si>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</si>
  <si>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</si>
  <si>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</si>
  <si>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</si>
  <si>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</si>
  <si>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</si>
  <si>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</si>
  <si>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</si>
  <si>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</si>
  <si>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</si>
  <si>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</si>
  <si>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</si>
  <si>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</si>
  <si>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</si>
  <si>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</si>
  <si>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</si>
  <si>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</si>
  <si>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</si>
  <si>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</si>
  <si>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</si>
  <si>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</si>
  <si>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</si>
  <si>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</si>
  <si>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</si>
  <si>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</si>
  <si>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</si>
  <si>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</si>
  <si>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</si>
  <si>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</si>
  <si>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</si>
  <si>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</si>
  <si>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</si>
  <si>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</si>
  <si>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</si>
  <si>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</si>
  <si>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</si>
  <si>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</si>
  <si>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</si>
  <si>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</si>
  <si>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</si>
  <si>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</si>
  <si>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</si>
  <si>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</si>
  <si>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</si>
  <si>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</si>
  <si>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</si>
  <si>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</si>
  <si>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</si>
  <si>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</si>
  <si>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</si>
  <si>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</si>
  <si>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</si>
  <si>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</si>
  <si>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</si>
  <si>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</si>
  <si>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</si>
  <si>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</si>
  <si>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</si>
  <si>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</si>
  <si>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</si>
  <si>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</si>
  <si>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</si>
  <si>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</si>
  <si>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</si>
  <si>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</si>
  <si>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</si>
  <si>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</si>
  <si>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</si>
  <si>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</si>
  <si>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</si>
  <si>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</si>
  <si>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</si>
  <si>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</si>
  <si>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</si>
  <si>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OLIVIER JAUFFRES</t>
  </si>
  <si>
    <t>JEAN-MARC MORENTE</t>
  </si>
  <si>
    <t xml:space="preserve">STEPHANE FITOUSSI </t>
  </si>
  <si>
    <t>VIRGINIE USCLADE</t>
  </si>
  <si>
    <t>SOPHIE GAUDIN</t>
  </si>
  <si>
    <t>KADER SI-TAYEB</t>
  </si>
  <si>
    <t>03:57</t>
  </si>
  <si>
    <t>02:15</t>
  </si>
  <si>
    <t>00:38</t>
  </si>
  <si>
    <t>The job is excellent. There was a play where Punter received the ball with a defender, faked three times and shot after three seconds. This is not an immediate action, so it is not an assist.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</si>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</sst>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24_238_ASV_BAR_E2025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46045.833333333336</v>
      </c>
      <c r="C3" s="178"/>
      <c r="D3" s="39">
        <v>546</v>
      </c>
      <c r="E3" s="29"/>
      <c r="F3" s="26">
        <f>SUBTOTAL(3,I17:I106)</f>
        <v>3</v>
      </c>
      <c r="G3" s="27">
        <f>IF(OR(D3="",D3=0),"",F3/D3)</f>
        <v>5.4945054945054949E-3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5.4945054945054949E-3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0.5494505494505495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2.5494505494505493</v>
      </c>
      <c r="N7" s="58"/>
      <c r="O7" s="2"/>
      <c r="P7" s="2"/>
      <c r="Q7" s="86">
        <f>SUM(R5,S5,AC16)</f>
        <v>2.5494505494505493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2.5494505494505493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238</v>
      </c>
      <c r="D17" s="32" t="s">
        <v>757</v>
      </c>
      <c r="E17" s="33">
        <v>1</v>
      </c>
      <c r="F17" s="36">
        <v>39</v>
      </c>
      <c r="G17" s="36">
        <v>37</v>
      </c>
      <c r="H17" s="38" t="str">
        <f>IF(I17="","",$I$14)</f>
        <v>SCOUTING</v>
      </c>
      <c r="I17" s="34">
        <v>209</v>
      </c>
      <c r="J17" s="13" t="s">
        <v>4</v>
      </c>
      <c r="K17" s="13" t="s">
        <v>62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238</v>
      </c>
      <c r="D18" s="32" t="s">
        <v>758</v>
      </c>
      <c r="E18" s="33">
        <v>4</v>
      </c>
      <c r="F18" s="36">
        <v>79</v>
      </c>
      <c r="G18" s="36">
        <v>91</v>
      </c>
      <c r="H18" s="38" t="str">
        <f t="shared" ref="H18:H81" si="8">IF(I18="","",$I$14)</f>
        <v>SCOUTING</v>
      </c>
      <c r="I18" s="34">
        <v>493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238</v>
      </c>
      <c r="D19" s="32" t="s">
        <v>759</v>
      </c>
      <c r="E19" s="33">
        <v>4</v>
      </c>
      <c r="F19" s="36">
        <v>89</v>
      </c>
      <c r="G19" s="36">
        <v>97</v>
      </c>
      <c r="H19" s="38" t="str">
        <f t="shared" si="8"/>
        <v>SCOUTING</v>
      </c>
      <c r="I19" s="34">
        <v>528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"E2025238"</v>
      </c>
      <c r="F3" s="45" t="str">
        <f t="shared" ref="F3:F16" si="0">""""&amp;B3&amp;"""" &amp; " : " &amp;C3&amp;","</f>
        <v>"name" : "E2025238",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"E238"</v>
      </c>
      <c r="F4" s="45" t="str">
        <f t="shared" si="0"/>
        <v>"cod" : "E238",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238</v>
      </c>
      <c r="F6" s="45" t="str">
        <f t="shared" si="0"/>
        <v>"number" : 238,</v>
      </c>
    </row>
    <row r="7" spans="2:6" x14ac:dyDescent="0.25">
      <c r="B7" s="43" t="s">
        <v>116</v>
      </c>
      <c r="C7" s="43" t="str">
        <f ca="1">""""&amp;TEXT('SCOUT &amp; LOGISTICS'!B3,"dd/mm/aaaa")&amp;""""</f>
        <v>"23/01/Friday"</v>
      </c>
      <c r="F7" s="45" t="str">
        <f t="shared" ca="1" si="0"/>
        <v>"date" : "23/01/Friday",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"OLIVIER JAUFFRES"</v>
      </c>
      <c r="F10" s="45" t="str">
        <f t="shared" si="0"/>
        <v>"Data_entry" : "OLIVIER JAUFFRES",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"STEPHANE FITOUSSI "</v>
      </c>
      <c r="F12" s="45" t="str">
        <f t="shared" si="0"/>
        <v>"Caller_2" : "STEPHANE FITOUSSI 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"VIRGINIE USCLADE"</v>
      </c>
      <c r="F13" s="45" t="str">
        <f t="shared" si="0"/>
        <v>"Timerkeeper" : "VIRGINIE USCLADE",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"SOPHIE GAUDIN"</v>
      </c>
      <c r="F14" s="45" t="str">
        <f t="shared" si="0"/>
        <v>"Shotclock" : "SOPHIE GAUDIN",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"KADER SI-TAYEB"</v>
      </c>
      <c r="F15" s="45" t="str">
        <f t="shared" si="0"/>
        <v>"IRS" : "KADER SI-TAYEB",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546</v>
      </c>
      <c r="F25" s="45" t="str">
        <f t="shared" ref="F25:F48" si="1">""""&amp;C25&amp;"""" &amp; " : " &amp;D25&amp;","</f>
        <v>"total_actions" : 546,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job is excellent. There was a play where Punter received the ball with a defender, faked three times and shot after three seconds. This is not an immediate action, so it is not an assist."</v>
      </c>
      <c r="F51" s="45" t="str">
        <f>""""&amp;B51&amp;"""" &amp; " : " &amp;C51&amp;","</f>
        <v>"comments" : "The job is excellent. There was a play where Punter received the ball with a defender, faked three times and shot after three seconds. This is not an immediate action, so it is not an assist.",</v>
      </c>
    </row>
    <row r="52" spans="2:6" x14ac:dyDescent="0.25">
      <c r="B52" s="43" t="s">
        <v>153</v>
      </c>
      <c r="C52" s="43" t="str">
        <f>TEXT('SCOUT &amp; LOGISTICS'!F1,"0,0")</f>
        <v>24_238_ASV_BAR_E2025</v>
      </c>
      <c r="F52" s="45" t="str">
        <f>""""&amp;B52&amp;"""" &amp; " : " &amp;C52</f>
        <v>"result" : 24_238_ASV_BAR_E2025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E238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23/01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OLIVIER JAUFFRES</v>
      </c>
      <c r="C8" s="201"/>
      <c r="D8" s="201"/>
      <c r="E8" s="201"/>
      <c r="F8" s="201"/>
      <c r="G8" s="201" t="str">
        <f>IF('SCOUT &amp; LOGISTICS'!D7="","",'SCOUT &amp; LOGISTICS'!D7)</f>
        <v>JEAN-MARC MORENTE</v>
      </c>
      <c r="H8" s="201"/>
      <c r="I8" s="201"/>
      <c r="J8" s="201"/>
      <c r="K8" s="201"/>
      <c r="L8" s="201" t="str">
        <f>IF('SCOUT &amp; LOGISTICS'!D8="","",'SCOUT &amp; LOGISTICS'!D8)</f>
        <v xml:space="preserve">STEPHANE FITOUSSI </v>
      </c>
      <c r="M8" s="201"/>
      <c r="N8" s="201"/>
      <c r="O8" s="201"/>
      <c r="P8" s="201"/>
      <c r="Q8" s="201" t="str">
        <f>IF('SCOUT &amp; LOGISTICS'!D9="","",'SCOUT &amp; LOGISTICS'!D9)</f>
        <v>VIRGINIE USCLADE</v>
      </c>
      <c r="R8" s="201"/>
      <c r="S8" s="201"/>
      <c r="T8" s="201"/>
      <c r="U8" s="201"/>
      <c r="V8" s="201" t="str">
        <f>IF('SCOUT &amp; LOGISTICS'!D10="","",'SCOUT &amp; LOGISTICS'!D10)</f>
        <v>SOPHIE GAUDIN</v>
      </c>
      <c r="W8" s="201"/>
      <c r="X8" s="201"/>
      <c r="Y8" s="201"/>
      <c r="Z8" s="201"/>
      <c r="AA8" s="201" t="str">
        <f>IF('SCOUT &amp; LOGISTICS'!D11="","",'SCOUT &amp; LOGISTICS'!D11)</f>
        <v>KADER SI-TAYEB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546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5.4945054945054949E-3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The job is excellent. There was a play where Punter received the ball with a defender, faked three times and shot after three seconds. This is not an immediate action, so it is not an assist.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2.5494505494505493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29169B7D-2CD4-43DD-AAD3-258EA08F4CF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2026-01-27T14:52:04Z</cp:lastPrinted>
  <dcterms:created xsi:type="dcterms:W3CDTF">2023-09-19T19:50:35Z</dcterms:created>
  <dcterms:modified xsi:type="dcterms:W3CDTF">2026-01-27T14:52:05Z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