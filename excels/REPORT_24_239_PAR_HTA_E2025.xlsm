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2" documentId="8_{9D555ABA-E3A5-44A2-8A40-FA4DBA526B49}" xr6:coauthVersionLast="47" xr6:coauthVersionMax="47" xr10:uidLastSave="{42F4BB02-4645-4276-865F-C4BC6E0C6139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<sst xmlns="http://schemas.openxmlformats.org/spreadsheetml/2006/main" count="3250" uniqueCount="757">
  <si>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</si>
  <si>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</si>
  <si>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</si>
  <si>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</si>
  <si>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</si>
  <si>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</si>
  <si>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</si>
  <si>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</si>
  <si>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</si>
  <si>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</si>
  <si>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</si>
  <si>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</si>
  <si>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</si>
  <si>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</si>
  <si>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</si>
  <si>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</si>
  <si>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</si>
  <si>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</si>
  <si>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</si>
  <si>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</si>
  <si>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</si>
  <si>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</si>
  <si>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</si>
  <si>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</si>
  <si>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</si>
  <si>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</si>
  <si>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</si>
  <si>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</si>
  <si>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</si>
  <si>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</si>
  <si>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</si>
  <si>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</si>
  <si>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</si>
  <si>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</si>
  <si>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</si>
  <si>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</si>
  <si>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</si>
  <si>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</si>
  <si>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</si>
  <si>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</si>
  <si>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</si>
  <si>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</si>
  <si>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</si>
  <si>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</si>
  <si>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</si>
  <si>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</si>
  <si>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</si>
  <si>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</si>
  <si>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</si>
  <si>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</si>
  <si>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</si>
  <si>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</si>
  <si>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</si>
  <si>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</si>
  <si>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</si>
  <si>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</si>
  <si>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</si>
  <si>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</si>
  <si>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</si>
  <si>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</si>
  <si>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</si>
  <si>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</si>
  <si>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</si>
  <si>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</si>
  <si>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</si>
  <si>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</si>
  <si>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</si>
  <si>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</si>
  <si>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</si>
  <si>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</si>
  <si>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</si>
  <si>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</si>
  <si>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</si>
  <si>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</si>
  <si>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</si>
  <si>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</si>
  <si>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</si>
  <si>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</si>
  <si>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</si>
  <si>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</si>
  <si>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</si>
  <si>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</si>
  <si>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</si>
  <si>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</si>
  <si>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</si>
  <si>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</si>
  <si>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</si>
  <si>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</si>
  <si>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</si>
  <si>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</si>
  <si>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</si>
  <si>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</si>
  <si>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</si>
  <si>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</si>
  <si>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</si>
  <si>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</si>
  <si>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</si>
  <si>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</si>
  <si>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</si>
  <si>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</si>
  <si>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</si>
  <si>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</si>
  <si>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</si>
  <si>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</si>
  <si>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</si>
  <si>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</si>
  <si>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</si>
  <si>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</si>
  <si>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</si>
  <si>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</si>
  <si>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</si>
  <si>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</si>
  <si>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</si>
  <si>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</si>
  <si>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</si>
  <si>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</si>
  <si>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</si>
  <si>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</si>
  <si>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</si>
  <si>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</si>
  <si>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</si>
  <si>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</si>
  <si>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</si>
  <si>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</si>
  <si>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</si>
  <si>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</si>
  <si>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</si>
  <si>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</si>
  <si>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</si>
  <si>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</si>
  <si>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</si>
  <si>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</si>
  <si>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</si>
  <si>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</si>
  <si>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</si>
  <si>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</si>
  <si>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</si>
  <si>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</si>
  <si>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</si>
  <si>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</si>
  <si>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</si>
  <si>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</si>
  <si>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</si>
  <si>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</si>
  <si>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</si>
  <si>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</si>
  <si>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</si>
  <si>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</si>
  <si>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</si>
  <si>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</si>
  <si>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</si>
  <si>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</si>
  <si>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</si>
  <si>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</si>
  <si>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</si>
  <si>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</si>
  <si>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</si>
  <si>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</si>
  <si>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</si>
  <si>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</si>
  <si>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</si>
  <si>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</si>
  <si>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</si>
  <si>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</si>
  <si>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</si>
  <si>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</si>
  <si>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</si>
  <si>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</si>
  <si>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</si>
  <si>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</si>
  <si>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</si>
  <si>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</si>
  <si>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</si>
  <si>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</si>
  <si>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</si>
  <si>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</si>
  <si>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</si>
  <si>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</si>
  <si>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</si>
  <si>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</si>
  <si>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</si>
  <si>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</si>
  <si>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</si>
  <si>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</si>
  <si>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</si>
  <si>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</si>
  <si>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</si>
  <si>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</si>
  <si>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</si>
  <si>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</si>
  <si>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</si>
  <si>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</si>
  <si>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</si>
  <si>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</si>
  <si>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</si>
  <si>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</si>
  <si>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</si>
  <si>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</si>
  <si>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</si>
  <si>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</si>
  <si>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</si>
  <si>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</si>
  <si>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</si>
  <si>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</si>
  <si>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</si>
  <si>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</si>
  <si>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</si>
  <si>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</si>
  <si>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</si>
  <si>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</si>
  <si>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</si>
  <si>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</si>
  <si>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</si>
  <si>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</si>
  <si>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</si>
  <si>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</si>
  <si>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</si>
  <si>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</si>
  <si>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</si>
  <si>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</si>
  <si>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</si>
  <si>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</si>
  <si>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</si>
  <si>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</si>
  <si>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</si>
  <si>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</si>
  <si>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</si>
  <si>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</si>
  <si>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</si>
  <si>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</si>
  <si>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</si>
  <si>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</si>
  <si>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</si>
  <si>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</si>
  <si>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</si>
  <si>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</si>
  <si>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</si>
  <si>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</si>
  <si>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</si>
  <si>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</si>
  <si>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</si>
  <si>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</si>
  <si>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</si>
  <si>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</si>
  <si>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</si>
  <si>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</si>
  <si>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</si>
  <si>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</si>
  <si>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</si>
  <si>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</si>
  <si>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</si>
  <si>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</si>
  <si>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</si>
  <si>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</si>
  <si>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</si>
  <si>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</si>
  <si>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</si>
  <si>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</si>
  <si>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</si>
  <si>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</si>
  <si>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</si>
  <si>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</si>
  <si>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</si>
  <si>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</si>
  <si>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</si>
  <si>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</si>
  <si>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</si>
  <si>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</si>
  <si>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</si>
  <si>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</si>
  <si>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</si>
  <si>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</si>
  <si>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</si>
  <si>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</si>
  <si>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</si>
  <si>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</si>
  <si>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</si>
  <si>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</si>
  <si>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</si>
  <si>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</si>
  <si>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</si>
  <si>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</si>
  <si>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</si>
  <si>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</si>
  <si>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</si>
  <si>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</si>
  <si>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</si>
  <si>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</si>
  <si>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</si>
  <si>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</si>
  <si>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</si>
  <si>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</si>
  <si>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</si>
  <si>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</si>
  <si>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</si>
  <si>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</si>
  <si>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</si>
  <si>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</si>
  <si>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</si>
  <si>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</si>
  <si>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</si>
  <si>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</si>
  <si>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</si>
  <si>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</si>
  <si>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</si>
  <si>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</si>
  <si>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</si>
  <si>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</si>
  <si>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</si>
  <si>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</si>
  <si>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</si>
  <si>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</si>
  <si>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</si>
  <si>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</si>
  <si>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</si>
  <si>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</si>
  <si>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</si>
  <si>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</si>
  <si>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</si>
  <si>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</si>
  <si>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</si>
  <si>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</si>
  <si>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</si>
  <si>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</si>
  <si>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</si>
  <si>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</si>
  <si>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</si>
  <si>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</si>
  <si>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</si>
  <si>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</si>
  <si>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</si>
  <si>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</si>
  <si>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</si>
  <si>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</si>
  <si>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</si>
  <si>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</si>
  <si>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</si>
  <si>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</si>
  <si>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</si>
  <si>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</si>
  <si>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</si>
  <si>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</si>
  <si>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</si>
  <si>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</si>
  <si>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</si>
  <si>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</si>
  <si>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</si>
  <si>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</si>
  <si>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</si>
  <si>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</si>
  <si>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</si>
  <si>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</si>
  <si>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</si>
  <si>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</si>
  <si>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</si>
  <si>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</si>
  <si>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</si>
  <si>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</si>
  <si>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</si>
  <si>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</si>
  <si>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</si>
  <si>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</si>
  <si>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</si>
  <si>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</si>
  <si>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</si>
  <si>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</si>
  <si>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</si>
  <si>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</si>
  <si>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</si>
  <si>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</si>
  <si>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</si>
  <si>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</si>
  <si>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</si>
  <si>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</si>
  <si>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</si>
  <si>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</si>
  <si>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</si>
  <si>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</si>
  <si>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</si>
  <si>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</si>
  <si>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</si>
  <si>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</si>
  <si>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</si>
  <si>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</si>
  <si>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</si>
  <si>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</si>
  <si>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</si>
  <si>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</si>
  <si>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</si>
  <si>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</si>
  <si>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</si>
  <si>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</si>
  <si>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</si>
  <si>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</si>
  <si>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</si>
  <si>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</si>
  <si>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</si>
  <si>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</si>
  <si>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</si>
  <si>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</si>
  <si>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</si>
  <si>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</si>
  <si>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</si>
  <si>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</si>
  <si>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</si>
  <si>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</si>
  <si>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</si>
  <si>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</si>
  <si>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</si>
  <si>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</si>
  <si>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</si>
  <si>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</si>
  <si>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</si>
  <si>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</si>
  <si>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</si>
  <si>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</si>
  <si>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</si>
  <si>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</si>
  <si>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</si>
  <si>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</si>
  <si>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</si>
  <si>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</si>
  <si>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</si>
  <si>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</si>
  <si>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</si>
  <si>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</si>
  <si>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</si>
  <si>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</si>
  <si>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</si>
  <si>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</si>
  <si>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</si>
  <si>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</si>
  <si>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</si>
  <si>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</si>
  <si>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</si>
  <si>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</si>
  <si>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</si>
  <si>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</si>
  <si>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</si>
  <si>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</si>
  <si>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</si>
  <si>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</si>
  <si>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</si>
  <si>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</si>
  <si>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</si>
  <si>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</si>
  <si>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</si>
  <si>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</si>
  <si>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</si>
  <si>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</si>
  <si>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</si>
  <si>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</si>
  <si>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</si>
  <si>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</si>
  <si>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</si>
  <si>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</si>
  <si>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</si>
  <si>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</si>
  <si>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</si>
  <si>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</si>
  <si>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</si>
  <si>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</si>
  <si>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</si>
  <si>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</si>
  <si>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</si>
  <si>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</si>
  <si>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</si>
  <si>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</si>
  <si>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</si>
  <si>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</si>
  <si>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</si>
  <si>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</si>
  <si>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</si>
  <si>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</si>
  <si>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</si>
  <si>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</si>
  <si>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</si>
  <si>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</si>
  <si>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</si>
  <si>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</si>
  <si>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</si>
  <si>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</si>
  <si>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</si>
  <si>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</si>
  <si>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</si>
  <si>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</si>
  <si>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</si>
  <si>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</si>
  <si>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</si>
  <si>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</si>
  <si>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</si>
  <si>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</si>
  <si>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</si>
  <si>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</si>
  <si>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</si>
  <si>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</si>
  <si>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</si>
  <si>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</si>
  <si>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</si>
  <si>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</si>
  <si>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</si>
  <si>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</si>
  <si>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</si>
  <si>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</si>
  <si>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</si>
  <si>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</si>
  <si>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</si>
  <si>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</si>
  <si>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</si>
  <si>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</si>
  <si>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</si>
  <si>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</si>
  <si>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</si>
  <si>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</si>
  <si>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</si>
  <si>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</si>
  <si>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</si>
  <si>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</si>
  <si>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</si>
  <si>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</si>
  <si>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</si>
  <si>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</si>
  <si>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</si>
  <si>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</si>
  <si>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</si>
  <si>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</si>
  <si>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</si>
  <si>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</si>
  <si>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</si>
  <si>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</si>
  <si>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</si>
  <si>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</si>
  <si>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</si>
  <si>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</si>
  <si>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</si>
  <si>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</si>
  <si>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</si>
  <si>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</si>
  <si>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</si>
  <si>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</si>
  <si>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</si>
  <si>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</si>
  <si>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</si>
  <si>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</si>
  <si>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</si>
  <si>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</si>
  <si>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</si>
  <si>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</si>
  <si>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</si>
  <si>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</si>
  <si>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</si>
  <si>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</si>
  <si>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</si>
  <si>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</si>
  <si>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</si>
  <si>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</si>
  <si>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</si>
  <si>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</si>
  <si>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</si>
  <si>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</si>
  <si>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</si>
  <si>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</si>
  <si>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</si>
  <si>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</si>
  <si>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</si>
  <si>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</si>
  <si>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</si>
  <si>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</si>
  <si>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</si>
  <si>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</si>
  <si>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</si>
  <si>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</si>
  <si>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</si>
  <si>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</si>
  <si>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</si>
  <si>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</si>
  <si>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</si>
  <si>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</si>
  <si>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</si>
  <si>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</si>
  <si>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</si>
  <si>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</si>
  <si>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</si>
  <si>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</si>
  <si>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</si>
  <si>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</si>
  <si>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</si>
  <si>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</si>
  <si>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</si>
  <si>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</si>
  <si>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</si>
  <si>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</si>
  <si>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</si>
  <si>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</si>
  <si>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</si>
  <si>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</si>
  <si>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</si>
  <si>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</si>
  <si>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</si>
  <si>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</si>
  <si>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</si>
  <si>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</si>
  <si>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</si>
  <si>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</si>
  <si>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</si>
  <si>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</si>
  <si>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</si>
  <si>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</si>
  <si>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</si>
  <si>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</si>
  <si>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</si>
  <si>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</si>
  <si>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</si>
  <si>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</si>
  <si>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</si>
  <si>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</si>
  <si>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</si>
  <si>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</si>
  <si>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</si>
  <si>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</si>
  <si>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</si>
  <si>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</si>
  <si>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</si>
  <si>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</si>
  <si>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</si>
  <si>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</si>
  <si>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</si>
  <si>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</si>
  <si>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</si>
  <si>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</si>
  <si>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</si>
  <si>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</si>
  <si>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</si>
  <si>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</si>
  <si>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</si>
  <si>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</si>
  <si>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</si>
  <si>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</si>
  <si>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</si>
  <si>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</si>
  <si>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</si>
  <si>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</si>
  <si>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</si>
  <si>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</si>
  <si>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</si>
  <si>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</si>
  <si>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</si>
  <si>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</si>
  <si>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</si>
  <si>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</si>
  <si>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</si>
  <si>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</si>
  <si>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</si>
  <si>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</si>
  <si>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</si>
  <si>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</si>
  <si>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</si>
  <si>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</si>
  <si>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</si>
  <si>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</si>
  <si>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</si>
  <si>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</si>
  <si>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</si>
  <si>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</si>
  <si>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</si>
  <si>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</si>
  <si>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</si>
  <si>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</si>
  <si>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</si>
  <si>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</si>
  <si>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</si>
  <si>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</si>
  <si>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</si>
  <si>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</si>
  <si>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</si>
  <si>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</si>
  <si>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</si>
  <si>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</si>
  <si>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</si>
  <si>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</si>
  <si>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</si>
  <si>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</si>
  <si>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</si>
  <si>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</si>
  <si>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</si>
  <si>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</si>
  <si>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</si>
  <si>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</si>
  <si>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</si>
  <si>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</si>
  <si>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</si>
  <si>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</si>
  <si>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</si>
  <si>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</si>
  <si>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</si>
  <si>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</si>
  <si>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</si>
  <si>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</si>
  <si>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</si>
  <si>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</si>
  <si>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</si>
  <si>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</si>
  <si>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</si>
  <si>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</si>
  <si>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</si>
  <si>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</si>
  <si>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</si>
  <si>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</si>
  <si>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</si>
  <si>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</si>
  <si>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</si>
  <si>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</si>
  <si>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</si>
  <si>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</si>
  <si>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</si>
  <si>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</si>
  <si>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</si>
  <si>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</si>
  <si>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</si>
  <si>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</si>
  <si>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</si>
  <si>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</si>
  <si>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</si>
  <si>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</si>
  <si>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</si>
  <si>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</si>
  <si>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</si>
  <si>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</si>
  <si>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</si>
  <si>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</si>
  <si>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</si>
  <si>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</si>
  <si>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</si>
  <si>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</si>
  <si>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</si>
  <si>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</si>
  <si>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</si>
  <si>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</si>
  <si>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</si>
  <si>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</si>
  <si>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</si>
  <si>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</si>
  <si>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</si>
  <si>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</si>
  <si>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</si>
  <si>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</si>
  <si>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</si>
  <si>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</si>
  <si>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</si>
  <si>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</si>
  <si>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</si>
  <si>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HUBERT KRAGLER</t>
  </si>
  <si>
    <t>JUERGEN JOST</t>
  </si>
  <si>
    <t>ROBERT BAYERER</t>
  </si>
  <si>
    <t>HECTOR GUILLEN</t>
  </si>
  <si>
    <t>1:24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</si>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</sst>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24_239_PAR_HTA_E2025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46045.854166666664</v>
      </c>
      <c r="C3" s="157"/>
      <c r="D3" s="39">
        <v>667</v>
      </c>
      <c r="E3" s="29"/>
      <c r="F3" s="26">
        <f>SUBTOTAL(3,I17:I106)</f>
        <v>1</v>
      </c>
      <c r="G3" s="27">
        <f>IF(OR(D3="",D3=0),"",F3/D3)</f>
        <v>1.4992503748125937E-3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742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1.4992503748125937E-3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0.14992503748125938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724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2.6499250374812595</v>
      </c>
      <c r="N7" s="58"/>
      <c r="O7" s="2"/>
      <c r="P7" s="2"/>
      <c r="Q7" s="86">
        <f>SUM(R5,S5,AC16)</f>
        <v>2.6499250374812595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2.6499250374812595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728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239</v>
      </c>
      <c r="D17" s="32" t="s">
        <v>755</v>
      </c>
      <c r="E17" s="33">
        <v>3</v>
      </c>
      <c r="F17" s="36">
        <v>55</v>
      </c>
      <c r="G17" s="36">
        <v>71</v>
      </c>
      <c r="H17" s="38" t="str">
        <f>IF(I17="","",$I$14)</f>
        <v>SCOUTING</v>
      </c>
      <c r="I17" s="34">
        <v>399</v>
      </c>
      <c r="J17" s="13" t="s">
        <v>4</v>
      </c>
      <c r="K17" s="13" t="s">
        <v>63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"E2025239"</v>
      </c>
      <c r="F3" s="45" t="str">
        <f t="shared" ref="F3:F16" si="0">""""&amp;B3&amp;"""" &amp; " : " &amp;C3&amp;","</f>
        <v>"name" : "E2025239",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"E239"</v>
      </c>
      <c r="F4" s="45" t="str">
        <f t="shared" si="0"/>
        <v>"cod" : "E239",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239</v>
      </c>
      <c r="F6" s="45" t="str">
        <f t="shared" si="0"/>
        <v>"number" : 239,</v>
      </c>
    </row>
    <row r="7" spans="2:6" x14ac:dyDescent="0.25">
      <c r="B7" s="43" t="s">
        <v>116</v>
      </c>
      <c r="C7" s="43" t="str">
        <f ca="1">""""&amp;TEXT('SCOUT &amp; LOGISTICS'!B3,"dd/mm/aaaa")&amp;""""</f>
        <v>"23/01/Friday"</v>
      </c>
      <c r="F7" s="45" t="str">
        <f t="shared" ca="1" si="0"/>
        <v>"date" : "23/01/Friday",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"SEBASTIAN BLANZ"</v>
      </c>
      <c r="F10" s="45" t="str">
        <f t="shared" si="0"/>
        <v>"Data_entry" : "SEBASTIAN BLANZ",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"MANUEL HERZOG"</v>
      </c>
      <c r="F11" s="45" t="str">
        <f t="shared" si="0"/>
        <v>"Caller_1" : "MANUEL HERZOG",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"HUBERT KRAGLER"</v>
      </c>
      <c r="F12" s="45" t="str">
        <f t="shared" si="0"/>
        <v>"Caller_2" : "HUBERT KRAGLER",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"JUERGEN JOST"</v>
      </c>
      <c r="F13" s="45" t="str">
        <f t="shared" si="0"/>
        <v>"Timerkeeper" : "JUERGEN JOST",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"ROBERT BAYERER"</v>
      </c>
      <c r="F14" s="45" t="str">
        <f t="shared" si="0"/>
        <v>"Shotclock" : "ROBERT BAYERER",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667</v>
      </c>
      <c r="F25" s="45" t="str">
        <f t="shared" ref="F25:F48" si="1">""""&amp;C25&amp;"""" &amp; " : " &amp;D25&amp;","</f>
        <v>"total_actions" : 667,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24_239_PAR_HTA_E2025</v>
      </c>
      <c r="F52" s="45" t="str">
        <f>""""&amp;B52&amp;"""" &amp; " : " &amp;C52</f>
        <v>"result" : 24_239_PAR_HTA_E2025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E239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SEBASTIAN BLANZ</v>
      </c>
      <c r="C8" s="206"/>
      <c r="D8" s="206"/>
      <c r="E8" s="206"/>
      <c r="F8" s="206"/>
      <c r="G8" s="206" t="str">
        <f>IF('SCOUT &amp; LOGISTICS'!D7="","",'SCOUT &amp; LOGISTICS'!D7)</f>
        <v>MANUEL HERZOG</v>
      </c>
      <c r="H8" s="206"/>
      <c r="I8" s="206"/>
      <c r="J8" s="206"/>
      <c r="K8" s="206"/>
      <c r="L8" s="206" t="str">
        <f>IF('SCOUT &amp; LOGISTICS'!D8="","",'SCOUT &amp; LOGISTICS'!D8)</f>
        <v>HUBERT KRAGLER</v>
      </c>
      <c r="M8" s="206"/>
      <c r="N8" s="206"/>
      <c r="O8" s="206"/>
      <c r="P8" s="206"/>
      <c r="Q8" s="206" t="str">
        <f>IF('SCOUT &amp; LOGISTICS'!D9="","",'SCOUT &amp; LOGISTICS'!D9)</f>
        <v>JUERGEN JOST</v>
      </c>
      <c r="R8" s="206"/>
      <c r="S8" s="206"/>
      <c r="T8" s="206"/>
      <c r="U8" s="206"/>
      <c r="V8" s="206" t="str">
        <f>IF('SCOUT &amp; LOGISTICS'!D10="","",'SCOUT &amp; LOGISTICS'!D10)</f>
        <v>ROBERT BAYERER</v>
      </c>
      <c r="W8" s="206"/>
      <c r="X8" s="206"/>
      <c r="Y8" s="206"/>
      <c r="Z8" s="206"/>
      <c r="AA8" s="206" t="str">
        <f>IF('SCOUT &amp; LOGISTICS'!D11="","",'SCOUT &amp; LOGISTICS'!D11)</f>
        <v>ROBERT TAVASZI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667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1.4992503748125937E-3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2.6499250374812595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0C654F-1239-443D-A23F-850F47CB01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2026-01-27T21:27:29Z</cp:lastPrinted>
  <dcterms:created xsi:type="dcterms:W3CDTF">2023-09-19T19:50:35Z</dcterms:created>
  <dcterms:modified xsi:type="dcterms:W3CDTF">2026-01-27T21:27:31Z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