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D9ECE370-3D33-4815-8553-9AC290B4F234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<sst xmlns="http://schemas.openxmlformats.org/spreadsheetml/2006/main" count="3309" uniqueCount="766">
  <si>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</si>
  <si>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</si>
  <si>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</si>
  <si>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</si>
  <si>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</si>
  <si>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</si>
  <si>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</si>
  <si>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</si>
  <si>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</si>
  <si>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</si>
  <si>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</si>
  <si>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</si>
  <si>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</si>
  <si>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</si>
  <si>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</si>
  <si>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</si>
  <si>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</si>
  <si>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</si>
  <si>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</si>
  <si>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</si>
  <si>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</si>
  <si>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</si>
  <si>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</si>
  <si>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</si>
  <si>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</si>
  <si>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</si>
  <si>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</si>
  <si>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</si>
  <si>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</si>
  <si>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</si>
  <si>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</si>
  <si>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</si>
  <si>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</si>
  <si>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</si>
  <si>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</si>
  <si>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</si>
  <si>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</si>
  <si>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</si>
  <si>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</si>
  <si>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</si>
  <si>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</si>
  <si>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</si>
  <si>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</si>
  <si>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</si>
  <si>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</si>
  <si>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</si>
  <si>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</si>
  <si>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</si>
  <si>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</si>
  <si>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</si>
  <si>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</si>
  <si>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</si>
  <si>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</si>
  <si>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</si>
  <si>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</si>
  <si>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</si>
  <si>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</si>
  <si>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</si>
  <si>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</si>
  <si>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</si>
  <si>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</si>
  <si>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</si>
  <si>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</si>
  <si>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</si>
  <si>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</si>
  <si>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</si>
  <si>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</si>
  <si>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</si>
  <si>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</si>
  <si>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</si>
  <si>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</si>
  <si>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</si>
  <si>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</si>
  <si>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</si>
  <si>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</si>
  <si>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</si>
  <si>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</si>
  <si>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</si>
  <si>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</si>
  <si>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</si>
  <si>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</si>
  <si>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</si>
  <si>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</si>
  <si>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</si>
  <si>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</si>
  <si>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</si>
  <si>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</si>
  <si>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</si>
  <si>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</si>
  <si>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</si>
  <si>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</si>
  <si>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</si>
  <si>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</si>
  <si>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</si>
  <si>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</si>
  <si>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</si>
  <si>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</si>
  <si>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</si>
  <si>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</si>
  <si>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</si>
  <si>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</si>
  <si>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</si>
  <si>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</si>
  <si>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</si>
  <si>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</si>
  <si>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</si>
  <si>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</si>
  <si>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</si>
  <si>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</si>
  <si>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</si>
  <si>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</si>
  <si>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</si>
  <si>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</si>
  <si>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</si>
  <si>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</si>
  <si>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</si>
  <si>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</si>
  <si>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</si>
  <si>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</si>
  <si>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</si>
  <si>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</si>
  <si>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</si>
  <si>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</si>
  <si>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</si>
  <si>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</si>
  <si>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</si>
  <si>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</si>
  <si>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</si>
  <si>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</si>
  <si>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</si>
  <si>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</si>
  <si>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</si>
  <si>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</si>
  <si>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</si>
  <si>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</si>
  <si>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</si>
  <si>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</si>
  <si>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</si>
  <si>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</si>
  <si>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</si>
  <si>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</si>
  <si>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</si>
  <si>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</si>
  <si>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</si>
  <si>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</si>
  <si>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</si>
  <si>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</si>
  <si>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</si>
  <si>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</si>
  <si>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</si>
  <si>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</si>
  <si>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</si>
  <si>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</si>
  <si>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</si>
  <si>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</si>
  <si>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</si>
  <si>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</si>
  <si>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</si>
  <si>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</si>
  <si>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</si>
  <si>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</si>
  <si>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</si>
  <si>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</si>
  <si>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</si>
  <si>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</si>
  <si>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</si>
  <si>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</si>
  <si>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</si>
  <si>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</si>
  <si>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</si>
  <si>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</si>
  <si>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</si>
  <si>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</si>
  <si>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</si>
  <si>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</si>
  <si>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</si>
  <si>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</si>
  <si>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</si>
  <si>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</si>
  <si>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</si>
  <si>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</si>
  <si>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</si>
  <si>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</si>
  <si>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</si>
  <si>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</si>
  <si>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</si>
  <si>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</si>
  <si>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</si>
  <si>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</si>
  <si>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</si>
  <si>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</si>
  <si>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</si>
  <si>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</si>
  <si>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</si>
  <si>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</si>
  <si>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</si>
  <si>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</si>
  <si>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</si>
  <si>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</si>
  <si>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</si>
  <si>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</si>
  <si>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</si>
  <si>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</si>
  <si>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</si>
  <si>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</si>
  <si>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</si>
  <si>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</si>
  <si>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</si>
  <si>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</si>
  <si>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</si>
  <si>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</si>
  <si>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</si>
  <si>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</si>
  <si>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</si>
  <si>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</si>
  <si>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</si>
  <si>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</si>
  <si>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</si>
  <si>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</si>
  <si>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</si>
  <si>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</si>
  <si>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</si>
  <si>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</si>
  <si>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</si>
  <si>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</si>
  <si>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</si>
  <si>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</si>
  <si>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</si>
  <si>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</si>
  <si>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</si>
  <si>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</si>
  <si>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</si>
  <si>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</si>
  <si>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</si>
  <si>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</si>
  <si>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</si>
  <si>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</si>
  <si>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</si>
  <si>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</si>
  <si>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</si>
  <si>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</si>
  <si>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</si>
  <si>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</si>
  <si>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</si>
  <si>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</si>
  <si>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</si>
  <si>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</si>
  <si>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</si>
  <si>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</si>
  <si>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</si>
  <si>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</si>
  <si>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</si>
  <si>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</si>
  <si>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</si>
  <si>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</si>
  <si>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</si>
  <si>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</si>
  <si>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</si>
  <si>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</si>
  <si>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</si>
  <si>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</si>
  <si>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</si>
  <si>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</si>
  <si>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</si>
  <si>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</si>
  <si>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</si>
  <si>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</si>
  <si>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</si>
  <si>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</si>
  <si>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</si>
  <si>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</si>
  <si>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</si>
  <si>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</si>
  <si>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</si>
  <si>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</si>
  <si>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</si>
  <si>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</si>
  <si>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</si>
  <si>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</si>
  <si>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</si>
  <si>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</si>
  <si>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</si>
  <si>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</si>
  <si>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</si>
  <si>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</si>
  <si>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</si>
  <si>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</si>
  <si>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</si>
  <si>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</si>
  <si>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</si>
  <si>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</si>
  <si>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</si>
  <si>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</si>
  <si>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</si>
  <si>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</si>
  <si>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</si>
  <si>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</si>
  <si>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</si>
  <si>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</si>
  <si>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</si>
  <si>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</si>
  <si>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</si>
  <si>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</si>
  <si>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</si>
  <si>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</si>
  <si>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</si>
  <si>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</si>
  <si>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</si>
  <si>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</si>
  <si>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</si>
  <si>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</si>
  <si>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</si>
  <si>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</si>
  <si>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</si>
  <si>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</si>
  <si>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</si>
  <si>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</si>
  <si>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</si>
  <si>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</si>
  <si>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</si>
  <si>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</si>
  <si>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</si>
  <si>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</si>
  <si>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</si>
  <si>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</si>
  <si>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</si>
  <si>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</si>
  <si>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</si>
  <si>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</si>
  <si>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</si>
  <si>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</si>
  <si>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</si>
  <si>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</si>
  <si>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</si>
  <si>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</si>
  <si>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</si>
  <si>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</si>
  <si>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</si>
  <si>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</si>
  <si>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</si>
  <si>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</si>
  <si>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</si>
  <si>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</si>
  <si>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</si>
  <si>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</si>
  <si>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</si>
  <si>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</si>
  <si>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</si>
  <si>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</si>
  <si>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</si>
  <si>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</si>
  <si>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</si>
  <si>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</si>
  <si>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</si>
  <si>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</si>
  <si>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</si>
  <si>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</si>
  <si>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</si>
  <si>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</si>
  <si>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</si>
  <si>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</si>
  <si>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</si>
  <si>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</si>
  <si>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</si>
  <si>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</si>
  <si>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</si>
  <si>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</si>
  <si>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</si>
  <si>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</si>
  <si>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</si>
  <si>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</si>
  <si>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</si>
  <si>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</si>
  <si>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</si>
  <si>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</si>
  <si>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</si>
  <si>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</si>
  <si>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</si>
  <si>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</si>
  <si>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</si>
  <si>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</si>
  <si>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</si>
  <si>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</si>
  <si>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</si>
  <si>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</si>
  <si>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</si>
  <si>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</si>
  <si>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</si>
  <si>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</si>
  <si>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</si>
  <si>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</si>
  <si>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</si>
  <si>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</si>
  <si>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</si>
  <si>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</si>
  <si>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</si>
  <si>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</si>
  <si>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</si>
  <si>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</si>
  <si>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</si>
  <si>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</si>
  <si>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</si>
  <si>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</si>
  <si>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</si>
  <si>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</si>
  <si>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</si>
  <si>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</si>
  <si>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</si>
  <si>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</si>
  <si>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</si>
  <si>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</si>
  <si>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</si>
  <si>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</si>
  <si>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</si>
  <si>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</si>
  <si>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</si>
  <si>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</si>
  <si>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</si>
  <si>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</si>
  <si>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</si>
  <si>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</si>
  <si>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</si>
  <si>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</si>
  <si>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</si>
  <si>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</si>
  <si>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</si>
  <si>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</si>
  <si>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</si>
  <si>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</si>
  <si>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</si>
  <si>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</si>
  <si>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</si>
  <si>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</si>
  <si>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</si>
  <si>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</si>
  <si>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</si>
  <si>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</si>
  <si>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</si>
  <si>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</si>
  <si>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</si>
  <si>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</si>
  <si>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</si>
  <si>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</si>
  <si>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</si>
  <si>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</si>
  <si>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</si>
  <si>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</si>
  <si>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</si>
  <si>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</si>
  <si>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</si>
  <si>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</si>
  <si>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</si>
  <si>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</si>
  <si>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</si>
  <si>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</si>
  <si>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</si>
  <si>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</si>
  <si>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</si>
  <si>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</si>
  <si>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</si>
  <si>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</si>
  <si>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</si>
  <si>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</si>
  <si>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</si>
  <si>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</si>
  <si>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</si>
  <si>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</si>
  <si>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</si>
  <si>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</si>
  <si>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</si>
  <si>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</si>
  <si>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</si>
  <si>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</si>
  <si>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</si>
  <si>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</si>
  <si>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</si>
  <si>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</si>
  <si>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</si>
  <si>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</si>
  <si>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</si>
  <si>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</si>
  <si>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</si>
  <si>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</si>
  <si>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</si>
  <si>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</si>
  <si>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</si>
  <si>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</si>
  <si>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</si>
  <si>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</si>
  <si>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</si>
  <si>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</si>
  <si>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</si>
  <si>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</si>
  <si>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</si>
  <si>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</si>
  <si>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</si>
  <si>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</si>
  <si>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</si>
  <si>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</si>
  <si>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</si>
  <si>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</si>
  <si>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</si>
  <si>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</si>
  <si>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</si>
  <si>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</si>
  <si>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</si>
  <si>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</si>
  <si>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</si>
  <si>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</si>
  <si>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</si>
  <si>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</si>
  <si>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</si>
  <si>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</si>
  <si>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</si>
  <si>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</si>
  <si>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</si>
  <si>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</si>
  <si>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</si>
  <si>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</si>
  <si>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</si>
  <si>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</si>
  <si>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</si>
  <si>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</si>
  <si>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</si>
  <si>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</si>
  <si>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</si>
  <si>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</si>
  <si>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</si>
  <si>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</si>
  <si>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</si>
  <si>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</si>
  <si>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</si>
  <si>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</si>
  <si>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</si>
  <si>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</si>
  <si>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</si>
  <si>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</si>
  <si>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</si>
  <si>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</si>
  <si>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</si>
  <si>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</si>
  <si>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</si>
  <si>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</si>
  <si>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</si>
  <si>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</si>
  <si>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</si>
  <si>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</si>
  <si>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</si>
  <si>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</si>
  <si>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</si>
  <si>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</si>
  <si>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</si>
  <si>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</si>
  <si>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</si>
  <si>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</si>
  <si>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</si>
  <si>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</si>
  <si>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</si>
  <si>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</si>
  <si>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</si>
  <si>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</si>
  <si>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</si>
  <si>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</si>
  <si>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</si>
  <si>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</si>
  <si>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</si>
  <si>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</si>
  <si>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</si>
  <si>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</si>
  <si>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</si>
  <si>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</si>
  <si>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</si>
  <si>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</si>
  <si>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</si>
  <si>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</si>
  <si>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</si>
  <si>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</si>
  <si>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</si>
  <si>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</si>
  <si>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</si>
  <si>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</si>
  <si>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</si>
  <si>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</si>
  <si>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</si>
  <si>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</si>
  <si>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</si>
  <si>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</si>
  <si>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</si>
  <si>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</si>
  <si>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</si>
  <si>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</si>
  <si>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</si>
  <si>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</si>
  <si>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</si>
  <si>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</si>
  <si>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</si>
  <si>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</si>
  <si>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</si>
  <si>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</si>
  <si>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</si>
  <si>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</si>
  <si>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</si>
  <si>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</si>
  <si>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</si>
  <si>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</si>
  <si>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</si>
  <si>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</si>
  <si>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</si>
  <si>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</si>
  <si>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</si>
  <si>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</si>
  <si>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</si>
  <si>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</si>
  <si>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</si>
  <si>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</si>
  <si>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</si>
  <si>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</si>
  <si>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</si>
  <si>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</si>
  <si>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</si>
  <si>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</si>
  <si>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</si>
  <si>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</si>
  <si>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</si>
  <si>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</si>
  <si>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</si>
  <si>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</si>
  <si>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</si>
  <si>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</si>
  <si>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</si>
  <si>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</si>
  <si>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</si>
  <si>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</si>
  <si>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</si>
  <si>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</si>
  <si>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</si>
  <si>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</si>
  <si>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</si>
  <si>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</si>
  <si>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</si>
  <si>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</si>
  <si>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</si>
  <si>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</si>
  <si>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</si>
  <si>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</si>
  <si>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</si>
  <si>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</si>
  <si>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</si>
  <si>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</si>
  <si>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</si>
  <si>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</si>
  <si>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</si>
  <si>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</si>
  <si>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</si>
  <si>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</si>
  <si>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</si>
  <si>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</si>
  <si>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</si>
  <si>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</si>
  <si>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</si>
  <si>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</si>
  <si>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</si>
  <si>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</si>
  <si>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</si>
  <si>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</si>
  <si>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</si>
  <si>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</si>
  <si>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</si>
  <si>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</si>
  <si>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</si>
  <si>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</si>
  <si>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</si>
  <si>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</si>
  <si>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</si>
  <si>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</si>
  <si>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</si>
  <si>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</si>
  <si>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</si>
  <si>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</si>
  <si>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</si>
  <si>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</si>
  <si>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</si>
  <si>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</si>
  <si>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</si>
  <si>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</si>
  <si>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</si>
  <si>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</si>
  <si>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</si>
  <si>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</si>
  <si>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</si>
  <si>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</si>
  <si>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</si>
  <si>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</si>
  <si>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</si>
  <si>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</si>
  <si>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</si>
  <si>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</si>
  <si>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</si>
  <si>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</si>
  <si>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</si>
  <si>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</si>
  <si>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</si>
  <si>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</si>
  <si>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</si>
  <si>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</si>
  <si>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</si>
  <si>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</si>
  <si>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</si>
  <si>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</si>
  <si>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</si>
  <si>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</si>
  <si>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</si>
  <si>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</si>
  <si>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</si>
  <si>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</si>
  <si>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</si>
  <si>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</si>
  <si>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</si>
  <si>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</si>
  <si>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</si>
  <si>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</si>
  <si>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</si>
  <si>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</si>
  <si>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</si>
  <si>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</si>
  <si>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</si>
  <si>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</si>
  <si>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</si>
  <si>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</si>
  <si>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</si>
  <si>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</si>
  <si>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</si>
  <si>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</si>
  <si>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</si>
  <si>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</si>
  <si>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</si>
  <si>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</si>
  <si>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</si>
  <si>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</si>
  <si>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</si>
  <si>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</si>
  <si>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</si>
  <si>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</si>
  <si>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</si>
  <si>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</si>
  <si>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</si>
  <si>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</si>
  <si>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</si>
  <si>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</si>
  <si>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</si>
  <si>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</si>
  <si>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GIACOMO CAMPANELLA</t>
  </si>
  <si>
    <t>MATTEO PAGLIARA</t>
  </si>
  <si>
    <t>EDOARDO GAUDENZI</t>
  </si>
  <si>
    <t>LAURA PIOMBONI</t>
  </si>
  <si>
    <t>DAVIDE PEDRINI</t>
  </si>
  <si>
    <t>8:13</t>
  </si>
  <si>
    <t>6:56</t>
  </si>
  <si>
    <t>5:07</t>
  </si>
  <si>
    <t>4:22</t>
  </si>
  <si>
    <t>3:12</t>
  </si>
  <si>
    <t>2:59</t>
  </si>
  <si>
    <t>8:51</t>
  </si>
  <si>
    <t>4:05</t>
  </si>
  <si>
    <t>7:49</t>
  </si>
  <si>
    <t>I guess you must be worried about today. I share your worries on missing whole plays and starting at low concentration. I'm sure this is not your regular version, so don't upgrade it and keep calm (as in 2Q). I feel I didn't manage properly the 1Q so I beg you pardon. If you ever feel overwhelmed, please let us know.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</si>
</sst>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24_240_VIR_RED_E2025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240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46045.854166666664</v>
      </c>
      <c r="C3" s="157"/>
      <c r="D3" s="39">
        <v>588</v>
      </c>
      <c r="E3" s="29"/>
      <c r="F3" s="26">
        <f>SUBTOTAL(3,I17:I106)</f>
        <v>13</v>
      </c>
      <c r="G3" s="27">
        <f>IF(OR(D3="",D3=0),"",F3/D3)</f>
        <v>2.2108843537414966E-2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Virtus Bologna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67" t="s">
        <v>765</v>
      </c>
      <c r="N4" s="168"/>
      <c r="O4" s="2"/>
      <c r="P4" s="2"/>
      <c r="Q4" s="84" t="s">
        <v>175</v>
      </c>
      <c r="R4" s="94">
        <f>(IF(G3="",0,G3))</f>
        <v>2.2108843537414966E-2</v>
      </c>
      <c r="S4" s="61">
        <f>SUM(I13:M13)</f>
        <v>0</v>
      </c>
      <c r="T4" s="78"/>
      <c r="U4" s="61">
        <f>AC18</f>
        <v>5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5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2.2108843537414966</v>
      </c>
      <c r="S5" s="70">
        <f t="shared" ref="S5" si="0">S4*S3</f>
        <v>0</v>
      </c>
      <c r="T5" s="92"/>
      <c r="U5" s="70">
        <f t="shared" ref="U5:AG5" si="1">U4*U3</f>
        <v>2.5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12.5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20.210884353741498</v>
      </c>
      <c r="N7" s="58"/>
      <c r="O7" s="2"/>
      <c r="P7" s="2"/>
      <c r="Q7" s="86">
        <f>SUM(R5,S5,AC16)</f>
        <v>20.210884353741498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20.210884353741498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240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13</v>
      </c>
      <c r="J15" s="24">
        <f>SUBTOTAL(3,J17:J106)</f>
        <v>13</v>
      </c>
      <c r="K15" s="24">
        <f>SUBTOTAL(3,K17:K106)</f>
        <v>13</v>
      </c>
      <c r="L15" s="24">
        <f>SUBTOTAL(3,L17:L106)</f>
        <v>13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13</v>
      </c>
      <c r="Z16" s="90" t="s">
        <v>110</v>
      </c>
      <c r="AA16" s="75">
        <f>SUM(AA17:AA24)</f>
        <v>13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18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13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240</v>
      </c>
      <c r="D17" s="32" t="s">
        <v>756</v>
      </c>
      <c r="E17" s="33">
        <v>1</v>
      </c>
      <c r="F17" s="36">
        <v>2</v>
      </c>
      <c r="G17" s="36">
        <v>6</v>
      </c>
      <c r="H17" s="38" t="str">
        <f>IF(I17="","",$I$14)</f>
        <v>SCOUTING</v>
      </c>
      <c r="I17" s="34">
        <v>13</v>
      </c>
      <c r="J17" s="13" t="s">
        <v>4</v>
      </c>
      <c r="K17" s="13" t="s">
        <v>62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13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9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240</v>
      </c>
      <c r="D18" s="32" t="s">
        <v>757</v>
      </c>
      <c r="E18" s="33">
        <v>1</v>
      </c>
      <c r="F18" s="36">
        <v>7</v>
      </c>
      <c r="G18" s="36">
        <v>12</v>
      </c>
      <c r="H18" s="38" t="str">
        <f t="shared" ref="H18:H81" si="8">IF(I18="","",$I$14)</f>
        <v>SCOUTING</v>
      </c>
      <c r="I18" s="34">
        <v>36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8</v>
      </c>
      <c r="AB18" s="66" t="s">
        <v>5</v>
      </c>
      <c r="AC18" s="61">
        <f t="shared" si="5"/>
        <v>5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240</v>
      </c>
      <c r="D19" s="32" t="s">
        <v>758</v>
      </c>
      <c r="E19" s="33">
        <v>1</v>
      </c>
      <c r="F19" s="36">
        <v>15</v>
      </c>
      <c r="G19" s="36">
        <v>15</v>
      </c>
      <c r="H19" s="38" t="str">
        <f t="shared" si="8"/>
        <v>SCOUTING</v>
      </c>
      <c r="I19" s="34">
        <v>58</v>
      </c>
      <c r="J19" s="13" t="s">
        <v>4</v>
      </c>
      <c r="K19" s="13" t="s">
        <v>62</v>
      </c>
      <c r="L19" s="13" t="s">
        <v>5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240</v>
      </c>
      <c r="D20" s="32" t="s">
        <v>759</v>
      </c>
      <c r="E20" s="33">
        <v>1</v>
      </c>
      <c r="F20" s="36">
        <v>18</v>
      </c>
      <c r="G20" s="36">
        <v>18</v>
      </c>
      <c r="H20" s="38" t="str">
        <f t="shared" si="8"/>
        <v>SCOUTING</v>
      </c>
      <c r="I20" s="34">
        <v>71</v>
      </c>
      <c r="J20" s="13" t="s">
        <v>4</v>
      </c>
      <c r="K20" s="13" t="s">
        <v>62</v>
      </c>
      <c r="L20" s="13" t="s">
        <v>7</v>
      </c>
      <c r="M20" s="13" t="s">
        <v>26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240</v>
      </c>
      <c r="D21" s="32" t="s">
        <v>759</v>
      </c>
      <c r="E21" s="33">
        <v>1</v>
      </c>
      <c r="F21" s="36">
        <v>18</v>
      </c>
      <c r="G21" s="36">
        <v>18</v>
      </c>
      <c r="H21" s="38" t="str">
        <f t="shared" si="8"/>
        <v>SCOUTING</v>
      </c>
      <c r="I21" s="34">
        <v>71</v>
      </c>
      <c r="J21" s="13" t="s">
        <v>4</v>
      </c>
      <c r="K21" s="13" t="s">
        <v>63</v>
      </c>
      <c r="L21" s="13" t="s">
        <v>7</v>
      </c>
      <c r="M21" s="13" t="s">
        <v>168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240</v>
      </c>
      <c r="D22" s="32" t="s">
        <v>759</v>
      </c>
      <c r="E22" s="33">
        <v>1</v>
      </c>
      <c r="F22" s="36">
        <v>18</v>
      </c>
      <c r="G22" s="36">
        <v>18</v>
      </c>
      <c r="H22" s="38" t="str">
        <f t="shared" si="8"/>
        <v>SCOUTING</v>
      </c>
      <c r="I22" s="34">
        <v>71</v>
      </c>
      <c r="J22" s="13" t="s">
        <v>4</v>
      </c>
      <c r="K22" s="13" t="s">
        <v>63</v>
      </c>
      <c r="L22" s="13" t="s">
        <v>7</v>
      </c>
      <c r="M22" s="13" t="s">
        <v>27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E2025</v>
      </c>
      <c r="C23" s="31">
        <f t="shared" si="3"/>
        <v>240</v>
      </c>
      <c r="D23" s="32" t="s">
        <v>759</v>
      </c>
      <c r="E23" s="33">
        <v>1</v>
      </c>
      <c r="F23" s="36">
        <v>18</v>
      </c>
      <c r="G23" s="36">
        <v>18</v>
      </c>
      <c r="H23" s="38" t="str">
        <f t="shared" si="8"/>
        <v>SCOUTING</v>
      </c>
      <c r="I23" s="34">
        <v>71</v>
      </c>
      <c r="J23" s="13" t="s">
        <v>4</v>
      </c>
      <c r="K23" s="13" t="s">
        <v>63</v>
      </c>
      <c r="L23" s="13" t="s">
        <v>7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5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E2025</v>
      </c>
      <c r="C24" s="31">
        <f t="shared" si="3"/>
        <v>240</v>
      </c>
      <c r="D24" s="32" t="s">
        <v>760</v>
      </c>
      <c r="E24" s="33">
        <v>1</v>
      </c>
      <c r="F24" s="36">
        <v>22</v>
      </c>
      <c r="G24" s="36">
        <v>20</v>
      </c>
      <c r="H24" s="38" t="str">
        <f t="shared" si="8"/>
        <v>SCOUTING</v>
      </c>
      <c r="I24" s="34">
        <v>100</v>
      </c>
      <c r="J24" s="13" t="s">
        <v>4</v>
      </c>
      <c r="K24" s="13" t="s">
        <v>62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>E2025</v>
      </c>
      <c r="C25" s="31">
        <f t="shared" si="3"/>
        <v>240</v>
      </c>
      <c r="D25" s="32" t="s">
        <v>761</v>
      </c>
      <c r="E25" s="33">
        <v>1</v>
      </c>
      <c r="F25" s="36">
        <v>25</v>
      </c>
      <c r="G25" s="36">
        <v>23</v>
      </c>
      <c r="H25" s="38" t="str">
        <f t="shared" si="8"/>
        <v>SCOUTING</v>
      </c>
      <c r="I25" s="34">
        <v>114</v>
      </c>
      <c r="J25" s="13" t="s">
        <v>4</v>
      </c>
      <c r="K25" s="13" t="s">
        <v>62</v>
      </c>
      <c r="L25" s="13" t="s">
        <v>6</v>
      </c>
      <c r="M25" s="13" t="s">
        <v>22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>E2025</v>
      </c>
      <c r="C26" s="31">
        <f t="shared" si="3"/>
        <v>240</v>
      </c>
      <c r="D26" s="32" t="s">
        <v>762</v>
      </c>
      <c r="E26" s="33">
        <v>3</v>
      </c>
      <c r="F26" s="36">
        <v>56</v>
      </c>
      <c r="G26" s="36">
        <v>57</v>
      </c>
      <c r="H26" s="38" t="str">
        <f t="shared" si="8"/>
        <v>SCOUTING</v>
      </c>
      <c r="I26" s="34">
        <v>285</v>
      </c>
      <c r="J26" s="13" t="s">
        <v>4</v>
      </c>
      <c r="K26" s="13" t="s">
        <v>62</v>
      </c>
      <c r="L26" s="13" t="s">
        <v>6</v>
      </c>
      <c r="M26" s="13" t="s">
        <v>28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>E2025</v>
      </c>
      <c r="C27" s="31">
        <f t="shared" si="3"/>
        <v>240</v>
      </c>
      <c r="D27" s="32" t="s">
        <v>763</v>
      </c>
      <c r="E27" s="33">
        <v>3</v>
      </c>
      <c r="F27" s="36">
        <v>62</v>
      </c>
      <c r="G27" s="36">
        <v>71</v>
      </c>
      <c r="H27" s="38" t="str">
        <f t="shared" si="8"/>
        <v>SCOUTING</v>
      </c>
      <c r="I27" s="34">
        <v>349</v>
      </c>
      <c r="J27" s="13" t="s">
        <v>4</v>
      </c>
      <c r="K27" s="13" t="s">
        <v>62</v>
      </c>
      <c r="L27" s="13" t="s">
        <v>5</v>
      </c>
      <c r="M27" s="13" t="s">
        <v>9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>E2025</v>
      </c>
      <c r="C28" s="31">
        <f t="shared" si="3"/>
        <v>240</v>
      </c>
      <c r="D28" s="32" t="s">
        <v>764</v>
      </c>
      <c r="E28" s="33">
        <v>4</v>
      </c>
      <c r="F28" s="36">
        <v>69</v>
      </c>
      <c r="G28" s="36">
        <v>87</v>
      </c>
      <c r="H28" s="38" t="str">
        <f t="shared" si="8"/>
        <v>SCOUTING</v>
      </c>
      <c r="I28" s="34">
        <v>471</v>
      </c>
      <c r="J28" s="13" t="s">
        <v>4</v>
      </c>
      <c r="K28" s="13" t="s">
        <v>62</v>
      </c>
      <c r="L28" s="13" t="s">
        <v>6</v>
      </c>
      <c r="M28" s="13" t="s">
        <v>9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>E2025</v>
      </c>
      <c r="C29" s="31">
        <f t="shared" si="3"/>
        <v>240</v>
      </c>
      <c r="D29" s="32" t="s">
        <v>764</v>
      </c>
      <c r="E29" s="33">
        <v>4</v>
      </c>
      <c r="F29" s="36">
        <v>69</v>
      </c>
      <c r="G29" s="36">
        <v>88</v>
      </c>
      <c r="H29" s="38" t="str">
        <f t="shared" si="8"/>
        <v>SCOUTING</v>
      </c>
      <c r="I29" s="34">
        <v>477</v>
      </c>
      <c r="J29" s="13" t="s">
        <v>4</v>
      </c>
      <c r="K29" s="13" t="s">
        <v>63</v>
      </c>
      <c r="L29" s="13" t="s">
        <v>5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3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REPORT_E2025240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"E2025240"</v>
      </c>
      <c r="F3" s="45" t="str">
        <f t="shared" ref="F3:F16" si="0">""""&amp;B3&amp;"""" &amp; " : " &amp;C3&amp;","</f>
        <v>"name" : "E2025240",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"E240"</v>
      </c>
      <c r="F4" s="45" t="str">
        <f t="shared" si="0"/>
        <v>"cod" : "E240",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240</v>
      </c>
      <c r="F6" s="45" t="str">
        <f t="shared" si="0"/>
        <v>"number" : 240,</v>
      </c>
    </row>
    <row r="7" spans="2:6" x14ac:dyDescent="0.25">
      <c r="B7" s="43" t="s">
        <v>116</v>
      </c>
      <c r="C7" s="43" t="str">
        <f ca="1">""""&amp;TEXT('SCOUT &amp; LOGISTICS'!B3,"dd/mm/aaaa")&amp;""""</f>
        <v>"23/01/2026"</v>
      </c>
      <c r="F7" s="45" t="str">
        <f t="shared" ca="1" si="0"/>
        <v>"date" : "23/01/2026",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"GIACOMO CAMPANELLA"</v>
      </c>
      <c r="F10" s="45" t="str">
        <f t="shared" si="0"/>
        <v>"Data_entry" : "GIACOMO CAMPANELLA",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"MATTEO PAGLIARA"</v>
      </c>
      <c r="F11" s="45" t="str">
        <f t="shared" si="0"/>
        <v>"Caller_1" : "MATTEO PAGLIARA",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"EDOARDO GAUDENZI"</v>
      </c>
      <c r="F12" s="45" t="str">
        <f t="shared" si="0"/>
        <v>"Caller_2" : "EDOARDO GAUDENZI",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"LAURA PIOMBONI"</v>
      </c>
      <c r="F13" s="45" t="str">
        <f t="shared" si="0"/>
        <v>"Timerkeeper" : "LAURA PIOMBONI",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"DAVIDE PEDRINI"</v>
      </c>
      <c r="F14" s="45" t="str">
        <f t="shared" si="0"/>
        <v>"Shotclock" : "DAVIDE PEDRINI",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588</v>
      </c>
      <c r="F25" s="45" t="str">
        <f t="shared" ref="F25:F48" si="1">""""&amp;C25&amp;"""" &amp; " : " &amp;D25&amp;","</f>
        <v>"total_actions" : 588,</v>
      </c>
    </row>
    <row r="26" spans="2:6" x14ac:dyDescent="0.25">
      <c r="C26" s="43" t="s">
        <v>132</v>
      </c>
      <c r="D26" s="43">
        <f>'SCOUT &amp; LOGISTICS'!F3</f>
        <v>13</v>
      </c>
      <c r="F26" s="45" t="str">
        <f t="shared" si="1"/>
        <v>"total_correcions" : 13,</v>
      </c>
    </row>
    <row r="27" spans="2:6" x14ac:dyDescent="0.25">
      <c r="C27" s="43" t="s">
        <v>133</v>
      </c>
      <c r="D27" s="43" t="str">
        <f>""""&amp;IF(OR(D25="",D25=0),"",TEXT(D26/D25,"0,0%"))&amp;""""</f>
        <v>"2,2%"</v>
      </c>
      <c r="F27" s="45" t="str">
        <f t="shared" si="1"/>
        <v>"%_corrections" : "2,2%",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8</v>
      </c>
      <c r="F29" s="45" t="str">
        <f t="shared" si="1"/>
        <v>"no_team" : 8,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9</v>
      </c>
      <c r="F31" s="45" t="str">
        <f t="shared" si="1"/>
        <v>"q1" : 9,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13</v>
      </c>
      <c r="F37" s="45" t="str">
        <f t="shared" si="1"/>
        <v>"scoresheet_corrections" : 13,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5</v>
      </c>
      <c r="F39" s="45" t="str">
        <f t="shared" si="1"/>
        <v>"missidentity" : 5,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5</v>
      </c>
      <c r="F46" s="45" t="str">
        <f t="shared" si="1"/>
        <v>"part_of_a_sequence" : 5,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 guess you must be worried about today. I share your worries on missing whole plays and starting at low concentration. I'm sure this is not your regular version, so don't upgrade it and keep calm (as in 2Q). I feel I didn't manage properly the 1Q so I beg you pardon. If you ever feel overwhelmed, please let us know."</v>
      </c>
      <c r="F51" s="45" t="str">
        <f>""""&amp;B51&amp;"""" &amp; " : " &amp;C51&amp;","</f>
        <v>"comments" : "I guess you must be worried about today. I share your worries on missing whole plays and starting at low concentration. I'm sure this is not your regular version, so don't upgrade it and keep calm (as in 2Q). I feel I didn't manage properly the 1Q so I beg you pardon. If you ever feel overwhelmed, please let us know.",</v>
      </c>
    </row>
    <row r="52" spans="2:6" x14ac:dyDescent="0.25">
      <c r="B52" s="43" t="s">
        <v>153</v>
      </c>
      <c r="C52" s="43" t="str">
        <f>TEXT('SCOUT &amp; LOGISTICS'!F1,"0,0")</f>
        <v>24_240_VIR_RED_E2025</v>
      </c>
      <c r="F52" s="45" t="str">
        <f>""""&amp;B52&amp;"""" &amp; " : " &amp;C52</f>
        <v>"result" : 24_240_VIR_RED_E2025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E240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23/01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Virtus Bologna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GIACOMO CAMPANELLA</v>
      </c>
      <c r="C8" s="206"/>
      <c r="D8" s="206"/>
      <c r="E8" s="206"/>
      <c r="F8" s="206"/>
      <c r="G8" s="206" t="str">
        <f>IF('SCOUT &amp; LOGISTICS'!D7="","",'SCOUT &amp; LOGISTICS'!D7)</f>
        <v>MATTEO PAGLIARA</v>
      </c>
      <c r="H8" s="206"/>
      <c r="I8" s="206"/>
      <c r="J8" s="206"/>
      <c r="K8" s="206"/>
      <c r="L8" s="206" t="str">
        <f>IF('SCOUT &amp; LOGISTICS'!D8="","",'SCOUT &amp; LOGISTICS'!D8)</f>
        <v>EDOARDO GAUDENZI</v>
      </c>
      <c r="M8" s="206"/>
      <c r="N8" s="206"/>
      <c r="O8" s="206"/>
      <c r="P8" s="206"/>
      <c r="Q8" s="206" t="str">
        <f>IF('SCOUT &amp; LOGISTICS'!D9="","",'SCOUT &amp; LOGISTICS'!D9)</f>
        <v>LAURA PIOMBONI</v>
      </c>
      <c r="R8" s="206"/>
      <c r="S8" s="206"/>
      <c r="T8" s="206"/>
      <c r="U8" s="206"/>
      <c r="V8" s="206" t="str">
        <f>IF('SCOUT &amp; LOGISTICS'!D10="","",'SCOUT &amp; LOGISTICS'!D10)</f>
        <v>DAVIDE PEDRINI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588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2.2108843537414966E-2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5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8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9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5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5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I guess you must be worried about today. I share your worries on missing whole plays and starting at low concentration. I'm sure this is not your regular version, so don't upgrade it and keep calm (as in 2Q). I feel I didn't manage properly the 1Q so I beg you pardon. If you ever feel overwhelmed, please let us know.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20.210884353741498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7CB084E-412D-444A-B665-CFC7020401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2026-01-23T22:11:14Z</cp:lastPrinted>
  <dcterms:created xsi:type="dcterms:W3CDTF">2023-09-19T19:50:35Z</dcterms:created>
  <dcterms:modified xsi:type="dcterms:W3CDTF">2026-01-23T22:11:25Z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