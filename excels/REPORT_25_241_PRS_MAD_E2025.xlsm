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60156126-BFDD-46BE-9538-6DABEC0B769F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<sst xmlns="http://schemas.openxmlformats.org/spreadsheetml/2006/main" count="3265" uniqueCount="762">
  <si>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</si>
  <si>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</si>
  <si>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</si>
  <si>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</si>
  <si>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</si>
  <si>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</si>
  <si>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</si>
  <si>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</si>
  <si>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</si>
  <si>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</si>
  <si>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</si>
  <si>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</si>
  <si>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</si>
  <si>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</si>
  <si>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</si>
  <si>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</si>
  <si>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</si>
  <si>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</si>
  <si>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</si>
  <si>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</si>
  <si>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</si>
  <si>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</si>
  <si>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</si>
  <si>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</si>
  <si>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</si>
  <si>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</si>
  <si>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</si>
  <si>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</si>
  <si>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</si>
  <si>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</si>
  <si>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</si>
  <si>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</si>
  <si>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</si>
  <si>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</si>
  <si>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</si>
  <si>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</si>
  <si>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</si>
  <si>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</si>
  <si>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</si>
  <si>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</si>
  <si>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</si>
  <si>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</si>
  <si>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</si>
  <si>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</si>
  <si>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</si>
  <si>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</si>
  <si>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</si>
  <si>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</si>
  <si>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</si>
  <si>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</si>
  <si>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</si>
  <si>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</si>
  <si>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</si>
  <si>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</si>
  <si>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</si>
  <si>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</si>
  <si>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</si>
  <si>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</si>
  <si>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</si>
  <si>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</si>
  <si>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</si>
  <si>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</si>
  <si>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</si>
  <si>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</si>
  <si>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</si>
  <si>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</si>
  <si>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</si>
  <si>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</si>
  <si>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</si>
  <si>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</si>
  <si>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</si>
  <si>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</si>
  <si>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</si>
  <si>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</si>
  <si>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</si>
  <si>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</si>
  <si>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</si>
  <si>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</si>
  <si>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</si>
  <si>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</si>
  <si>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</si>
  <si>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</si>
  <si>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</si>
  <si>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</si>
  <si>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</si>
  <si>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</si>
  <si>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</si>
  <si>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</si>
  <si>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</si>
  <si>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</si>
  <si>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</si>
  <si>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</si>
  <si>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</si>
  <si>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</si>
  <si>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</si>
  <si>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</si>
  <si>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</si>
  <si>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</si>
  <si>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</si>
  <si>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</si>
  <si>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</si>
  <si>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</si>
  <si>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</si>
  <si>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</si>
  <si>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</si>
  <si>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</si>
  <si>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</si>
  <si>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</si>
  <si>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</si>
  <si>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</si>
  <si>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</si>
  <si>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</si>
  <si>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</si>
  <si>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</si>
  <si>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</si>
  <si>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</si>
  <si>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</si>
  <si>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</si>
  <si>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</si>
  <si>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</si>
  <si>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</si>
  <si>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</si>
  <si>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</si>
  <si>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</si>
  <si>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</si>
  <si>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</si>
  <si>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</si>
  <si>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</si>
  <si>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</si>
  <si>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</si>
  <si>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</si>
  <si>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</si>
  <si>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</si>
  <si>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</si>
  <si>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</si>
  <si>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</si>
  <si>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</si>
  <si>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</si>
  <si>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</si>
  <si>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</si>
  <si>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</si>
  <si>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</si>
  <si>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</si>
  <si>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</si>
  <si>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</si>
  <si>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</si>
  <si>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</si>
  <si>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</si>
  <si>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</si>
  <si>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</si>
  <si>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</si>
  <si>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</si>
  <si>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</si>
  <si>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</si>
  <si>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</si>
  <si>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</si>
  <si>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</si>
  <si>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</si>
  <si>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</si>
  <si>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</si>
  <si>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</si>
  <si>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</si>
  <si>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</si>
  <si>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</si>
  <si>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</si>
  <si>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</si>
  <si>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</si>
  <si>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</si>
  <si>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</si>
  <si>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</si>
  <si>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</si>
  <si>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</si>
  <si>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</si>
  <si>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</si>
  <si>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</si>
  <si>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</si>
  <si>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</si>
  <si>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</si>
  <si>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</si>
  <si>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</si>
  <si>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</si>
  <si>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</si>
  <si>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</si>
  <si>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</si>
  <si>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</si>
  <si>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</si>
  <si>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</si>
  <si>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</si>
  <si>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</si>
  <si>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</si>
  <si>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</si>
  <si>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</si>
  <si>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</si>
  <si>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</si>
  <si>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</si>
  <si>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</si>
  <si>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</si>
  <si>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</si>
  <si>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</si>
  <si>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</si>
  <si>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</si>
  <si>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</si>
  <si>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</si>
  <si>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</si>
  <si>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</si>
  <si>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</si>
  <si>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</si>
  <si>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</si>
  <si>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</si>
  <si>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</si>
  <si>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</si>
  <si>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</si>
  <si>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</si>
  <si>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</si>
  <si>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</si>
  <si>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</si>
  <si>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</si>
  <si>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</si>
  <si>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</si>
  <si>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</si>
  <si>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</si>
  <si>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</si>
  <si>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</si>
  <si>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</si>
  <si>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</si>
  <si>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</si>
  <si>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</si>
  <si>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</si>
  <si>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</si>
  <si>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</si>
  <si>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</si>
  <si>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</si>
  <si>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</si>
  <si>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</si>
  <si>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</si>
  <si>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</si>
  <si>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</si>
  <si>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</si>
  <si>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</si>
  <si>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</si>
  <si>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</si>
  <si>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</si>
  <si>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</si>
  <si>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</si>
  <si>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</si>
  <si>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</si>
  <si>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</si>
  <si>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</si>
  <si>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</si>
  <si>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</si>
  <si>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</si>
  <si>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</si>
  <si>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</si>
  <si>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</si>
  <si>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</si>
  <si>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</si>
  <si>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</si>
  <si>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</si>
  <si>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</si>
  <si>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</si>
  <si>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</si>
  <si>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</si>
  <si>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</si>
  <si>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</si>
  <si>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</si>
  <si>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</si>
  <si>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</si>
  <si>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</si>
  <si>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</si>
  <si>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</si>
  <si>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</si>
  <si>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</si>
  <si>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</si>
  <si>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</si>
  <si>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</si>
  <si>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</si>
  <si>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</si>
  <si>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</si>
  <si>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</si>
  <si>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</si>
  <si>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</si>
  <si>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</si>
  <si>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</si>
  <si>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</si>
  <si>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</si>
  <si>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</si>
  <si>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</si>
  <si>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</si>
  <si>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</si>
  <si>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</si>
  <si>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</si>
  <si>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</si>
  <si>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</si>
  <si>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</si>
  <si>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</si>
  <si>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</si>
  <si>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</si>
  <si>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</si>
  <si>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</si>
  <si>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</si>
  <si>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</si>
  <si>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</si>
  <si>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</si>
  <si>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</si>
  <si>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</si>
  <si>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</si>
  <si>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</si>
  <si>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</si>
  <si>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</si>
  <si>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</si>
  <si>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</si>
  <si>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</si>
  <si>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</si>
  <si>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</si>
  <si>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</si>
  <si>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</si>
  <si>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</si>
  <si>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</si>
  <si>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</si>
  <si>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</si>
  <si>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</si>
  <si>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</si>
  <si>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</si>
  <si>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</si>
  <si>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</si>
  <si>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</si>
  <si>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</si>
  <si>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</si>
  <si>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</si>
  <si>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</si>
  <si>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</si>
  <si>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</si>
  <si>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</si>
  <si>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</si>
  <si>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</si>
  <si>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</si>
  <si>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</si>
  <si>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</si>
  <si>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</si>
  <si>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</si>
  <si>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</si>
  <si>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</si>
  <si>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</si>
  <si>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</si>
  <si>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</si>
  <si>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</si>
  <si>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</si>
  <si>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</si>
  <si>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</si>
  <si>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</si>
  <si>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</si>
  <si>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</si>
  <si>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</si>
  <si>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</si>
  <si>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</si>
  <si>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</si>
  <si>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</si>
  <si>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</si>
  <si>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</si>
  <si>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</si>
  <si>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</si>
  <si>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</si>
  <si>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</si>
  <si>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</si>
  <si>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</si>
  <si>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</si>
  <si>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</si>
  <si>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</si>
  <si>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</si>
  <si>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</si>
  <si>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</si>
  <si>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</si>
  <si>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</si>
  <si>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</si>
  <si>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</si>
  <si>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</si>
  <si>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</si>
  <si>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</si>
  <si>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</si>
  <si>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</si>
  <si>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</si>
  <si>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</si>
  <si>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</si>
  <si>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</si>
  <si>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</si>
  <si>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</si>
  <si>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</si>
  <si>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</si>
  <si>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</si>
  <si>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</si>
  <si>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</si>
  <si>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</si>
  <si>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</si>
  <si>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</si>
  <si>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</si>
  <si>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</si>
  <si>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</si>
  <si>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</si>
  <si>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</si>
  <si>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</si>
  <si>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</si>
  <si>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</si>
  <si>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</si>
  <si>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</si>
  <si>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</si>
  <si>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</si>
  <si>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</si>
  <si>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</si>
  <si>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</si>
  <si>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</si>
  <si>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</si>
  <si>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</si>
  <si>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</si>
  <si>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</si>
  <si>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</si>
  <si>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</si>
  <si>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</si>
  <si>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</si>
  <si>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</si>
  <si>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</si>
  <si>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</si>
  <si>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</si>
  <si>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</si>
  <si>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</si>
  <si>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</si>
  <si>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</si>
  <si>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</si>
  <si>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</si>
  <si>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</si>
  <si>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</si>
  <si>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</si>
  <si>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</si>
  <si>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</si>
  <si>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</si>
  <si>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</si>
  <si>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</si>
  <si>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</si>
  <si>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</si>
  <si>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</si>
  <si>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</si>
  <si>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</si>
  <si>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</si>
  <si>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</si>
  <si>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</si>
  <si>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</si>
  <si>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</si>
  <si>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</si>
  <si>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</si>
  <si>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</si>
  <si>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</si>
  <si>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</si>
  <si>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</si>
  <si>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</si>
  <si>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</si>
  <si>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</si>
  <si>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</si>
  <si>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</si>
  <si>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</si>
  <si>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</si>
  <si>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</si>
  <si>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</si>
  <si>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</si>
  <si>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</si>
  <si>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</si>
  <si>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</si>
  <si>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</si>
  <si>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</si>
  <si>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</si>
  <si>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</si>
  <si>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</si>
  <si>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</si>
  <si>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</si>
  <si>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</si>
  <si>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</si>
  <si>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</si>
  <si>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</si>
  <si>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</si>
  <si>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</si>
  <si>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</si>
  <si>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</si>
  <si>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</si>
  <si>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</si>
  <si>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</si>
  <si>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</si>
  <si>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</si>
  <si>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</si>
  <si>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</si>
  <si>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</si>
  <si>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</si>
  <si>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</si>
  <si>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</si>
  <si>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</si>
  <si>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</si>
  <si>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</si>
  <si>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</si>
  <si>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</si>
  <si>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</si>
  <si>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</si>
  <si>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</si>
  <si>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</si>
  <si>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</si>
  <si>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</si>
  <si>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</si>
  <si>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</si>
  <si>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</si>
  <si>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</si>
  <si>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</si>
  <si>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</si>
  <si>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</si>
  <si>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</si>
  <si>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</si>
  <si>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</si>
  <si>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</si>
  <si>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</si>
  <si>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</si>
  <si>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</si>
  <si>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</si>
  <si>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</si>
  <si>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</si>
  <si>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</si>
  <si>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</si>
  <si>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</si>
  <si>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</si>
  <si>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</si>
  <si>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</si>
  <si>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</si>
  <si>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</si>
  <si>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</si>
  <si>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</si>
  <si>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</si>
  <si>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</si>
  <si>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</si>
  <si>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</si>
  <si>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</si>
  <si>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</si>
  <si>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</si>
  <si>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</si>
  <si>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</si>
  <si>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</si>
  <si>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</si>
  <si>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</si>
  <si>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</si>
  <si>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</si>
  <si>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</si>
  <si>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</si>
  <si>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</si>
  <si>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</si>
  <si>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</si>
  <si>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</si>
  <si>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</si>
  <si>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</si>
  <si>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</si>
  <si>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</si>
  <si>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</si>
  <si>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</si>
  <si>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</si>
  <si>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</si>
  <si>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</si>
  <si>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</si>
  <si>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</si>
  <si>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</si>
  <si>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</si>
  <si>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</si>
  <si>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</si>
  <si>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</si>
  <si>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</si>
  <si>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</si>
  <si>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</si>
  <si>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</si>
  <si>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</si>
  <si>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</si>
  <si>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</si>
  <si>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</si>
  <si>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</si>
  <si>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</si>
  <si>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</si>
  <si>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</si>
  <si>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</si>
  <si>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</si>
  <si>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</si>
  <si>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</si>
  <si>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</si>
  <si>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</si>
  <si>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</si>
  <si>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</si>
  <si>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</si>
  <si>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</si>
  <si>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</si>
  <si>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</si>
  <si>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</si>
  <si>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</si>
  <si>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</si>
  <si>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</si>
  <si>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</si>
  <si>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</si>
  <si>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</si>
  <si>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</si>
  <si>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</si>
  <si>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</si>
  <si>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</si>
  <si>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</si>
  <si>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</si>
  <si>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</si>
  <si>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</si>
  <si>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</si>
  <si>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</si>
  <si>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</si>
  <si>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</si>
  <si>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</si>
  <si>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</si>
  <si>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</si>
  <si>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</si>
  <si>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</si>
  <si>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</si>
  <si>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</si>
  <si>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</si>
  <si>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</si>
  <si>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</si>
  <si>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</si>
  <si>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</si>
  <si>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</si>
  <si>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</si>
  <si>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</si>
  <si>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</si>
  <si>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</si>
  <si>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</si>
  <si>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</si>
  <si>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</si>
  <si>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</si>
  <si>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</si>
  <si>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</si>
  <si>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</si>
  <si>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</si>
  <si>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</si>
  <si>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</si>
  <si>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</si>
  <si>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</si>
  <si>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</si>
  <si>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</si>
  <si>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</si>
  <si>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</si>
  <si>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</si>
  <si>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</si>
  <si>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</si>
  <si>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</si>
  <si>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</si>
  <si>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</si>
  <si>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</si>
  <si>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</si>
  <si>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</si>
  <si>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</si>
  <si>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</si>
  <si>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</si>
  <si>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</si>
  <si>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</si>
  <si>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</si>
  <si>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</si>
  <si>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</si>
  <si>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</si>
  <si>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</si>
  <si>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</si>
  <si>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</si>
  <si>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</si>
  <si>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</si>
  <si>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</si>
  <si>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</si>
  <si>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</si>
  <si>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</si>
  <si>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</si>
  <si>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</si>
  <si>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</si>
  <si>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</si>
  <si>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</si>
  <si>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</si>
  <si>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</si>
  <si>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</si>
  <si>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</si>
  <si>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</si>
  <si>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</si>
  <si>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</si>
  <si>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</si>
  <si>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</si>
  <si>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</si>
  <si>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</si>
  <si>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</si>
  <si>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</si>
  <si>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</si>
  <si>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</si>
  <si>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</si>
  <si>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</si>
  <si>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</si>
  <si>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</si>
  <si>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</si>
  <si>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</si>
  <si>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</si>
  <si>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</si>
  <si>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</si>
  <si>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</si>
  <si>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</si>
  <si>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</si>
  <si>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</si>
  <si>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</si>
  <si>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</si>
  <si>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</si>
  <si>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</si>
  <si>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</si>
  <si>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</si>
  <si>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</si>
  <si>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</si>
  <si>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</si>
  <si>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</si>
  <si>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</si>
  <si>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</si>
  <si>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</si>
  <si>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</si>
  <si>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</si>
  <si>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</si>
  <si>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</si>
  <si>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</si>
  <si>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</si>
  <si>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</si>
  <si>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</si>
  <si>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</si>
  <si>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</si>
  <si>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</si>
  <si>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</si>
  <si>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</si>
  <si>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</si>
  <si>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</si>
  <si>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</si>
  <si>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</si>
  <si>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</si>
  <si>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</si>
  <si>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</si>
  <si>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</si>
  <si>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</si>
  <si>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</si>
  <si>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</si>
  <si>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</si>
  <si>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</si>
  <si>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</si>
  <si>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</si>
  <si>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</si>
  <si>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</si>
  <si>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</si>
  <si>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</si>
  <si>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</si>
  <si>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</si>
  <si>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</si>
  <si>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</si>
  <si>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</si>
  <si>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6:35</t>
  </si>
  <si>
    <t>2:04</t>
  </si>
  <si>
    <t>4:29</t>
  </si>
  <si>
    <t>4:33</t>
  </si>
  <si>
    <t>DJAMEL SOUDANI</t>
  </si>
  <si>
    <t>CHRISTIAN MOLLET</t>
  </si>
  <si>
    <t>BASTIEN BONNETON</t>
  </si>
  <si>
    <t>SANDRA PRINCELLE</t>
  </si>
  <si>
    <t>MAGALI CARTIER</t>
  </si>
  <si>
    <t>AXEL QUENEY</t>
  </si>
  <si>
    <t>Many thanks for the excellent communication and for checking all plays. Also for stopping the game on your own when scoring was late. That's a great attitude from you. Keep on!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</si>
</sst>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25_241_PRS_MAD_E2025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241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46049.864583333336</v>
      </c>
      <c r="C3" s="178"/>
      <c r="D3" s="39">
        <v>637</v>
      </c>
      <c r="E3" s="29"/>
      <c r="F3" s="26">
        <f>SUBTOTAL(3,I17:I106)</f>
        <v>4</v>
      </c>
      <c r="G3" s="27">
        <f>IF(OR(D3="",D3=0),"",F3/D3)</f>
        <v>6.2794348508634227E-3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6.2794348508634227E-3</v>
      </c>
      <c r="S4" s="61">
        <f>SUM(I13:M13)</f>
        <v>0</v>
      </c>
      <c r="T4" s="78"/>
      <c r="U4" s="61">
        <f>AC18</f>
        <v>2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0.62794348508634223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755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756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3.6279434850863423</v>
      </c>
      <c r="N7" s="58"/>
      <c r="O7" s="2"/>
      <c r="P7" s="2"/>
      <c r="Q7" s="86">
        <f>SUM(R5,S5,AC16)</f>
        <v>3.6279434850863423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757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3.6279434850863423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758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759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760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241</v>
      </c>
      <c r="D17" s="32" t="s">
        <v>751</v>
      </c>
      <c r="E17" s="33">
        <v>1</v>
      </c>
      <c r="F17" s="36">
        <v>6</v>
      </c>
      <c r="G17" s="36">
        <v>6</v>
      </c>
      <c r="H17" s="38" t="str">
        <f>IF(I17="","",$I$14)</f>
        <v>SCOUTING</v>
      </c>
      <c r="I17" s="34">
        <v>48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241</v>
      </c>
      <c r="D18" s="32" t="s">
        <v>752</v>
      </c>
      <c r="E18" s="33">
        <v>3</v>
      </c>
      <c r="F18" s="36">
        <v>68</v>
      </c>
      <c r="G18" s="36">
        <v>63</v>
      </c>
      <c r="H18" s="38" t="str">
        <f t="shared" ref="H18:H81" si="8">IF(I18="","",$I$14)</f>
        <v>SCOUTING</v>
      </c>
      <c r="I18" s="34">
        <v>444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241</v>
      </c>
      <c r="D19" s="32" t="s">
        <v>753</v>
      </c>
      <c r="E19" s="33">
        <v>4</v>
      </c>
      <c r="F19" s="36">
        <v>84</v>
      </c>
      <c r="G19" s="36">
        <v>76</v>
      </c>
      <c r="H19" s="38" t="str">
        <f t="shared" si="8"/>
        <v>SCOUTING</v>
      </c>
      <c r="I19" s="34">
        <v>561</v>
      </c>
      <c r="J19" s="13" t="s">
        <v>4</v>
      </c>
      <c r="K19" s="13" t="s">
        <v>63</v>
      </c>
      <c r="L19" s="13" t="s">
        <v>6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241</v>
      </c>
      <c r="D20" s="32" t="s">
        <v>754</v>
      </c>
      <c r="E20" s="33">
        <v>4</v>
      </c>
      <c r="F20" s="36">
        <v>84</v>
      </c>
      <c r="G20" s="36">
        <v>76</v>
      </c>
      <c r="H20" s="38" t="str">
        <f t="shared" si="8"/>
        <v>SCOUTING</v>
      </c>
      <c r="I20" s="34">
        <v>564</v>
      </c>
      <c r="J20" s="13" t="s">
        <v>4</v>
      </c>
      <c r="K20" s="13" t="s">
        <v>63</v>
      </c>
      <c r="L20" s="13" t="s">
        <v>6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REPORT_E2025241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"E2025241"</v>
      </c>
      <c r="F3" s="45" t="str">
        <f t="shared" ref="F3:F16" si="0">""""&amp;B3&amp;"""" &amp; " : " &amp;C3&amp;","</f>
        <v>"name" : "E2025241",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"E241"</v>
      </c>
      <c r="F4" s="45" t="str">
        <f t="shared" si="0"/>
        <v>"cod" : "E241",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241</v>
      </c>
      <c r="F6" s="45" t="str">
        <f t="shared" si="0"/>
        <v>"number" : 241,</v>
      </c>
    </row>
    <row r="7" spans="2:6" x14ac:dyDescent="0.25">
      <c r="B7" s="43" t="s">
        <v>116</v>
      </c>
      <c r="C7" s="43" t="str">
        <f ca="1">""""&amp;TEXT('SCOUT &amp; LOGISTICS'!B3,"dd/mm/aaaa")&amp;""""</f>
        <v>"27/01/2026"</v>
      </c>
      <c r="F7" s="45" t="str">
        <f t="shared" ca="1" si="0"/>
        <v>"date" : "27/01/2026",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"BASTIEN BONNETON"</v>
      </c>
      <c r="F12" s="45" t="str">
        <f t="shared" si="0"/>
        <v>"Caller_2" : "BASTIEN BONNETON",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"SANDRA PRINCELLE"</v>
      </c>
      <c r="F13" s="45" t="str">
        <f t="shared" si="0"/>
        <v>"Timerkeeper" : "SANDRA PRINCELLE",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"MAGALI CARTIER"</v>
      </c>
      <c r="F14" s="45" t="str">
        <f t="shared" si="0"/>
        <v>"Shotclock" : "MAGALI CARTIER",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"AXEL QUENEY"</v>
      </c>
      <c r="F15" s="45" t="str">
        <f t="shared" si="0"/>
        <v>"IRS" : "AXEL QUENEY",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637</v>
      </c>
      <c r="F25" s="45" t="str">
        <f t="shared" ref="F25:F48" si="1">""""&amp;C25&amp;"""" &amp; " : " &amp;D25&amp;","</f>
        <v>"total_actions" : 637,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"0,6%"</v>
      </c>
      <c r="F27" s="45" t="str">
        <f t="shared" si="1"/>
        <v>"%_corrections" : "0,6%",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"Many thanks for the excellent communication and for checking all plays. Also for stopping the game on your own when scoring was late. That's a great attitude from you. Keep on!"</v>
      </c>
      <c r="F51" s="45" t="str">
        <f>""""&amp;B51&amp;"""" &amp; " : " &amp;C51&amp;","</f>
        <v>"comments" : "Many thanks for the excellent communication and for checking all plays. Also for stopping the game on your own when scoring was late. That's a great attitude from you. Keep on!",</v>
      </c>
    </row>
    <row r="52" spans="2:6" x14ac:dyDescent="0.25">
      <c r="B52" s="43" t="s">
        <v>153</v>
      </c>
      <c r="C52" s="43" t="str">
        <f>TEXT('SCOUT &amp; LOGISTICS'!F1,"0,0")</f>
        <v>25_241_PRS_MAD_E2025</v>
      </c>
      <c r="F52" s="45" t="str">
        <f>""""&amp;B52&amp;"""" &amp; " : " &amp;C52</f>
        <v>"result" : 25_241_PRS_MAD_E2025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E241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27/01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DJAMEL SOUDANI</v>
      </c>
      <c r="C8" s="201"/>
      <c r="D8" s="201"/>
      <c r="E8" s="201"/>
      <c r="F8" s="201"/>
      <c r="G8" s="201" t="str">
        <f>IF('SCOUT &amp; LOGISTICS'!D7="","",'SCOUT &amp; LOGISTICS'!D7)</f>
        <v>CHRISTIAN MOLLET</v>
      </c>
      <c r="H8" s="201"/>
      <c r="I8" s="201"/>
      <c r="J8" s="201"/>
      <c r="K8" s="201"/>
      <c r="L8" s="201" t="str">
        <f>IF('SCOUT &amp; LOGISTICS'!D8="","",'SCOUT &amp; LOGISTICS'!D8)</f>
        <v>BASTIEN BONNETON</v>
      </c>
      <c r="M8" s="201"/>
      <c r="N8" s="201"/>
      <c r="O8" s="201"/>
      <c r="P8" s="201"/>
      <c r="Q8" s="201" t="str">
        <f>IF('SCOUT &amp; LOGISTICS'!D9="","",'SCOUT &amp; LOGISTICS'!D9)</f>
        <v>SANDRA PRINCELLE</v>
      </c>
      <c r="R8" s="201"/>
      <c r="S8" s="201"/>
      <c r="T8" s="201"/>
      <c r="U8" s="201"/>
      <c r="V8" s="201" t="str">
        <f>IF('SCOUT &amp; LOGISTICS'!D10="","",'SCOUT &amp; LOGISTICS'!D10)</f>
        <v>MAGALI CARTIER</v>
      </c>
      <c r="W8" s="201"/>
      <c r="X8" s="201"/>
      <c r="Y8" s="201"/>
      <c r="Z8" s="201"/>
      <c r="AA8" s="201" t="str">
        <f>IF('SCOUT &amp; LOGISTICS'!D11="","",'SCOUT &amp; LOGISTICS'!D11)</f>
        <v>AXEL QUENEY</v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637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6.2794348508634227E-3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Many thanks for the excellent communication and for checking all plays. Also for stopping the game on your own when scoring was late. That's a great attitude from you. Keep on!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3.6279434850863423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6EA4AF26-95B2-43DA-BE92-EA296E1589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2026-01-28T14:51:24Z</cp:lastPrinted>
  <dcterms:created xsi:type="dcterms:W3CDTF">2023-09-19T19:50:35Z</dcterms:created>
  <dcterms:modified xsi:type="dcterms:W3CDTF">2026-01-28T14:52:10Z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