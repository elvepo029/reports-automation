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5D2B71FE-B90C-4D80-B31A-5EAD1DCB9FE6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<sst xmlns="http://schemas.openxmlformats.org/spreadsheetml/2006/main" count="3245" uniqueCount="755">
  <si>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</si>
  <si>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</si>
  <si>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</si>
  <si>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</si>
  <si>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</si>
  <si>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</si>
  <si>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</si>
  <si>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</si>
  <si>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</si>
  <si>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</si>
  <si>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</si>
  <si>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</si>
  <si>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</si>
  <si>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</si>
  <si>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</si>
  <si>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</si>
  <si>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</si>
  <si>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</si>
  <si>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</si>
  <si>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</si>
  <si>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</si>
  <si>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</si>
  <si>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</si>
  <si>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</si>
  <si>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</si>
  <si>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</si>
  <si>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</si>
  <si>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</si>
  <si>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</si>
  <si>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</si>
  <si>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</si>
  <si>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</si>
  <si>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</si>
  <si>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</si>
  <si>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</si>
  <si>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</si>
  <si>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</si>
  <si>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</si>
  <si>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</si>
  <si>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</si>
  <si>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</si>
  <si>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</si>
  <si>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</si>
  <si>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</si>
  <si>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</si>
  <si>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</si>
  <si>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</si>
  <si>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</si>
  <si>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</si>
  <si>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</si>
  <si>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</si>
  <si>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</si>
  <si>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</si>
  <si>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</si>
  <si>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</si>
  <si>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</si>
  <si>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</si>
  <si>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</si>
  <si>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</si>
  <si>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</si>
  <si>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</si>
  <si>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</si>
  <si>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</si>
  <si>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</si>
  <si>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</si>
  <si>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</si>
  <si>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</si>
  <si>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</si>
  <si>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</si>
  <si>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</si>
  <si>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</si>
  <si>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</si>
  <si>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</si>
  <si>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</si>
  <si>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</si>
  <si>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</si>
  <si>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</si>
  <si>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</si>
  <si>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</si>
  <si>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</si>
  <si>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</si>
  <si>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</si>
  <si>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</si>
  <si>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</si>
  <si>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</si>
  <si>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</si>
  <si>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</si>
  <si>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</si>
  <si>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</si>
  <si>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</si>
  <si>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</si>
  <si>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</si>
  <si>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</si>
  <si>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</si>
  <si>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</si>
  <si>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</si>
  <si>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</si>
  <si>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</si>
  <si>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</si>
  <si>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</si>
  <si>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</si>
  <si>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</si>
  <si>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</si>
  <si>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</si>
  <si>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</si>
  <si>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</si>
  <si>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</si>
  <si>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</si>
  <si>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</si>
  <si>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</si>
  <si>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</si>
  <si>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</si>
  <si>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</si>
  <si>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</si>
  <si>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</si>
  <si>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</si>
  <si>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</si>
  <si>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</si>
  <si>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</si>
  <si>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</si>
  <si>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</si>
  <si>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</si>
  <si>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</si>
  <si>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</si>
  <si>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</si>
  <si>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</si>
  <si>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</si>
  <si>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</si>
  <si>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</si>
  <si>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</si>
  <si>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</si>
  <si>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</si>
  <si>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</si>
  <si>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</si>
  <si>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</si>
  <si>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</si>
  <si>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</si>
  <si>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</si>
  <si>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</si>
  <si>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</si>
  <si>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</si>
  <si>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</si>
  <si>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</si>
  <si>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</si>
  <si>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</si>
  <si>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</si>
  <si>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</si>
  <si>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</si>
  <si>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</si>
  <si>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</si>
  <si>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</si>
  <si>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</si>
  <si>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</si>
  <si>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</si>
  <si>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</si>
  <si>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</si>
  <si>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</si>
  <si>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</si>
  <si>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</si>
  <si>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</si>
  <si>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</si>
  <si>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</si>
  <si>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</si>
  <si>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</si>
  <si>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</si>
  <si>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</si>
  <si>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</si>
  <si>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</si>
  <si>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</si>
  <si>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</si>
  <si>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</si>
  <si>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</si>
  <si>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</si>
  <si>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</si>
  <si>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</si>
  <si>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</si>
  <si>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</si>
  <si>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</si>
  <si>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</si>
  <si>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</si>
  <si>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</si>
  <si>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</si>
  <si>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</si>
  <si>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</si>
  <si>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</si>
  <si>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</si>
  <si>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</si>
  <si>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</si>
  <si>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</si>
  <si>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</si>
  <si>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</si>
  <si>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</si>
  <si>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</si>
  <si>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</si>
  <si>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</si>
  <si>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</si>
  <si>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</si>
  <si>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</si>
  <si>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</si>
  <si>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</si>
  <si>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</si>
  <si>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</si>
  <si>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</si>
  <si>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</si>
  <si>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</si>
  <si>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</si>
  <si>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</si>
  <si>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</si>
  <si>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</si>
  <si>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</si>
  <si>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</si>
  <si>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</si>
  <si>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</si>
  <si>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</si>
  <si>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</si>
  <si>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</si>
  <si>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</si>
  <si>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</si>
  <si>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</si>
  <si>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</si>
  <si>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</si>
  <si>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</si>
  <si>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</si>
  <si>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</si>
  <si>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</si>
  <si>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</si>
  <si>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</si>
  <si>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</si>
  <si>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</si>
  <si>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</si>
  <si>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</si>
  <si>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</si>
  <si>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</si>
  <si>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</si>
  <si>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</si>
  <si>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</si>
  <si>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</si>
  <si>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</si>
  <si>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</si>
  <si>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</si>
  <si>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</si>
  <si>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</si>
  <si>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</si>
  <si>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</si>
  <si>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</si>
  <si>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</si>
  <si>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</si>
  <si>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</si>
  <si>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</si>
  <si>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</si>
  <si>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</si>
  <si>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</si>
  <si>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</si>
  <si>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</si>
  <si>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</si>
  <si>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</si>
  <si>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</si>
  <si>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</si>
  <si>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</si>
  <si>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</si>
  <si>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</si>
  <si>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</si>
  <si>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</si>
  <si>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</si>
  <si>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</si>
  <si>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</si>
  <si>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</si>
  <si>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</si>
  <si>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</si>
  <si>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</si>
  <si>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</si>
  <si>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</si>
  <si>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</si>
  <si>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</si>
  <si>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</si>
  <si>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</si>
  <si>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</si>
  <si>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</si>
  <si>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</si>
  <si>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</si>
  <si>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</si>
  <si>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</si>
  <si>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</si>
  <si>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</si>
  <si>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</si>
  <si>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</si>
  <si>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</si>
  <si>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</si>
  <si>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</si>
  <si>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</si>
  <si>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</si>
  <si>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</si>
  <si>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</si>
  <si>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</si>
  <si>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</si>
  <si>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</si>
  <si>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</si>
  <si>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</si>
  <si>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</si>
  <si>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</si>
  <si>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</si>
  <si>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</si>
  <si>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</si>
  <si>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</si>
  <si>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</si>
  <si>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</si>
  <si>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</si>
  <si>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</si>
  <si>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</si>
  <si>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</si>
  <si>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</si>
  <si>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</si>
  <si>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</si>
  <si>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</si>
  <si>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</si>
  <si>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</si>
  <si>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</si>
  <si>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</si>
  <si>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</si>
  <si>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</si>
  <si>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</si>
  <si>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</si>
  <si>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</si>
  <si>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</si>
  <si>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</si>
  <si>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</si>
  <si>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</si>
  <si>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</si>
  <si>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</si>
  <si>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</si>
  <si>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</si>
  <si>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</si>
  <si>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</si>
  <si>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</si>
  <si>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</si>
  <si>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</si>
  <si>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</si>
  <si>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</si>
  <si>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</si>
  <si>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</si>
  <si>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</si>
  <si>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</si>
  <si>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</si>
  <si>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</si>
  <si>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</si>
  <si>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</si>
  <si>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</si>
  <si>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</si>
  <si>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</si>
  <si>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</si>
  <si>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</si>
  <si>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</si>
  <si>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</si>
  <si>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</si>
  <si>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</si>
  <si>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</si>
  <si>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</si>
  <si>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</si>
  <si>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</si>
  <si>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</si>
  <si>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</si>
  <si>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</si>
  <si>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</si>
  <si>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</si>
  <si>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</si>
  <si>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</si>
  <si>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</si>
  <si>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</si>
  <si>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</si>
  <si>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</si>
  <si>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</si>
  <si>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</si>
  <si>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</si>
  <si>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</si>
  <si>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</si>
  <si>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</si>
  <si>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</si>
  <si>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</si>
  <si>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</si>
  <si>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</si>
  <si>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</si>
  <si>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</si>
  <si>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</si>
  <si>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</si>
  <si>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</si>
  <si>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</si>
  <si>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</si>
  <si>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</si>
  <si>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</si>
  <si>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</si>
  <si>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</si>
  <si>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</si>
  <si>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</si>
  <si>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</si>
  <si>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</si>
  <si>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</si>
  <si>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</si>
  <si>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</si>
  <si>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</si>
  <si>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</si>
  <si>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</si>
  <si>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</si>
  <si>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</si>
  <si>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</si>
  <si>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</si>
  <si>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</si>
  <si>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</si>
  <si>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</si>
  <si>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</si>
  <si>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</si>
  <si>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</si>
  <si>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</si>
  <si>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</si>
  <si>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</si>
  <si>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</si>
  <si>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</si>
  <si>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</si>
  <si>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</si>
  <si>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</si>
  <si>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</si>
  <si>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</si>
  <si>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</si>
  <si>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</si>
  <si>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</si>
  <si>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</si>
  <si>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</si>
  <si>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</si>
  <si>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</si>
  <si>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</si>
  <si>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</si>
  <si>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</si>
  <si>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</si>
  <si>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</si>
  <si>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</si>
  <si>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</si>
  <si>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</si>
  <si>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</si>
  <si>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</si>
  <si>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</si>
  <si>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</si>
  <si>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</si>
  <si>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</si>
  <si>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</si>
  <si>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</si>
  <si>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</si>
  <si>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</si>
  <si>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</si>
  <si>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</si>
  <si>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</si>
  <si>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</si>
  <si>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</si>
  <si>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</si>
  <si>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</si>
  <si>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</si>
  <si>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</si>
  <si>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</si>
  <si>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</si>
  <si>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</si>
  <si>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</si>
  <si>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</si>
  <si>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</si>
  <si>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</si>
  <si>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</si>
  <si>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</si>
  <si>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</si>
  <si>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</si>
  <si>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</si>
  <si>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</si>
  <si>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</si>
  <si>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</si>
  <si>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</si>
  <si>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</si>
  <si>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</si>
  <si>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</si>
  <si>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</si>
  <si>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</si>
  <si>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</si>
  <si>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</si>
  <si>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</si>
  <si>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</si>
  <si>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</si>
  <si>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</si>
  <si>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</si>
  <si>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</si>
  <si>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</si>
  <si>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</si>
  <si>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</si>
  <si>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</si>
  <si>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</si>
  <si>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</si>
  <si>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</si>
  <si>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</si>
  <si>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</si>
  <si>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</si>
  <si>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</si>
  <si>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</si>
  <si>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</si>
  <si>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</si>
  <si>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</si>
  <si>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</si>
  <si>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</si>
  <si>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</si>
  <si>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</si>
  <si>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</si>
  <si>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</si>
  <si>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</si>
  <si>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</si>
  <si>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</si>
  <si>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</si>
  <si>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</si>
  <si>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</si>
  <si>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</si>
  <si>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</si>
  <si>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</si>
  <si>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</si>
  <si>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</si>
  <si>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</si>
  <si>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</si>
  <si>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</si>
  <si>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</si>
  <si>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</si>
  <si>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</si>
  <si>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</si>
  <si>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</si>
  <si>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</si>
  <si>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</si>
  <si>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</si>
  <si>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</si>
  <si>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</si>
  <si>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</si>
  <si>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</si>
  <si>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</si>
  <si>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</si>
  <si>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</si>
  <si>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</si>
  <si>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</si>
  <si>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</si>
  <si>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</si>
  <si>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</si>
  <si>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</si>
  <si>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</si>
  <si>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</si>
  <si>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</si>
  <si>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</si>
  <si>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</si>
  <si>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</si>
  <si>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</si>
  <si>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</si>
  <si>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</si>
  <si>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</si>
  <si>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</si>
  <si>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</si>
  <si>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</si>
  <si>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</si>
  <si>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</si>
  <si>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</si>
  <si>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</si>
  <si>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</si>
  <si>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</si>
  <si>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</si>
  <si>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</si>
  <si>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</si>
  <si>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</si>
  <si>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</si>
  <si>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</si>
  <si>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</si>
  <si>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</si>
  <si>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</si>
  <si>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</si>
  <si>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</si>
  <si>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</si>
  <si>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</si>
  <si>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</si>
  <si>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</si>
  <si>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</si>
  <si>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</si>
  <si>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</si>
  <si>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</si>
  <si>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</si>
  <si>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</si>
  <si>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</si>
  <si>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</si>
  <si>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</si>
  <si>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</si>
  <si>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</si>
  <si>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</si>
  <si>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</si>
  <si>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</si>
  <si>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</si>
  <si>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</si>
  <si>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</si>
  <si>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</si>
  <si>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</si>
  <si>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</si>
  <si>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</si>
  <si>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</si>
  <si>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</si>
  <si>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</si>
  <si>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</si>
  <si>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</si>
  <si>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</si>
  <si>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</si>
  <si>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</si>
  <si>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</si>
  <si>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</si>
  <si>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</si>
  <si>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</si>
  <si>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</si>
  <si>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</si>
  <si>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</si>
  <si>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</si>
  <si>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</si>
  <si>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</si>
  <si>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</si>
  <si>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</si>
  <si>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</si>
  <si>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</si>
  <si>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</si>
  <si>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</si>
  <si>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</si>
  <si>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</si>
  <si>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</si>
  <si>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</si>
  <si>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</si>
  <si>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</si>
  <si>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</si>
  <si>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</si>
  <si>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</si>
  <si>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</si>
  <si>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</si>
  <si>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</si>
  <si>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</si>
  <si>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</si>
  <si>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</si>
  <si>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</si>
  <si>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</si>
  <si>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</si>
  <si>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</si>
  <si>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</si>
  <si>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</si>
  <si>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</si>
  <si>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</si>
  <si>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</si>
  <si>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</si>
  <si>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</si>
  <si>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</si>
  <si>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</si>
  <si>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</si>
  <si>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</si>
  <si>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</si>
  <si>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</si>
  <si>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</si>
  <si>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</si>
  <si>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</si>
  <si>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</si>
  <si>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</si>
  <si>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</si>
  <si>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</si>
  <si>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</si>
  <si>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</si>
  <si>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</si>
  <si>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</si>
  <si>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</si>
  <si>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</si>
  <si>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</si>
  <si>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</si>
  <si>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</si>
  <si>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</si>
  <si>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</si>
  <si>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</si>
  <si>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</si>
  <si>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</si>
  <si>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</si>
  <si>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</si>
  <si>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</si>
  <si>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</si>
  <si>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</si>
  <si>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</si>
  <si>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</si>
  <si>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</si>
  <si>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</si>
  <si>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</si>
  <si>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</si>
  <si>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</si>
  <si>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</si>
  <si>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</si>
  <si>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</si>
  <si>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</si>
  <si>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</si>
  <si>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</si>
  <si>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</si>
  <si>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</si>
  <si>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</si>
  <si>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</si>
  <si>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</si>
  <si>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</si>
  <si>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</si>
  <si>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</si>
  <si>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</si>
  <si>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</si>
  <si>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</si>
  <si>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</si>
  <si>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</si>
  <si>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</si>
  <si>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</si>
  <si>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</si>
  <si>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</si>
  <si>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</si>
  <si>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</si>
  <si>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</si>
  <si>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</si>
  <si>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</si>
  <si>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</si>
  <si>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</si>
  <si>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</si>
  <si>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</si>
  <si>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</si>
  <si>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</si>
  <si>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</si>
  <si>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</si>
  <si>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</si>
  <si>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</si>
  <si>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</si>
  <si>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</si>
  <si>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</si>
  <si>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</si>
  <si>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</si>
  <si>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</si>
  <si>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</si>
  <si>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</si>
  <si>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</si>
  <si>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</si>
  <si>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</si>
  <si>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</si>
  <si>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</si>
  <si>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</si>
  <si>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</si>
  <si>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</si>
  <si>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</si>
  <si>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</si>
  <si>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</si>
  <si>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</si>
  <si>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</si>
  <si>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</si>
  <si>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</si>
  <si>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</si>
  <si>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</si>
  <si>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</si>
  <si>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</si>
  <si>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</si>
  <si>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</si>
  <si>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ENDER OZBEK</t>
  </si>
  <si>
    <t>SERTAC DOSTEL</t>
  </si>
  <si>
    <t>GOZDE BEGUM AKUZUM</t>
  </si>
  <si>
    <t>Just perfect in a very weird match. I cannot say anything better. Congratulations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</si>
</sst>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25_242_ULK_IST_E2025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242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46051.864583333336</v>
      </c>
      <c r="C3" s="157"/>
      <c r="D3" s="39">
        <v>543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67" t="s">
        <v>754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739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REPORT_E2025242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"E2025242"</v>
      </c>
      <c r="F3" s="45" t="str">
        <f t="shared" ref="F3:F16" si="0">""""&amp;B3&amp;"""" &amp; " : " &amp;C3&amp;","</f>
        <v>"name" : "E2025242",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"E242"</v>
      </c>
      <c r="F4" s="45" t="str">
        <f t="shared" si="0"/>
        <v>"cod" : "E242",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242</v>
      </c>
      <c r="F6" s="45" t="str">
        <f t="shared" si="0"/>
        <v>"number" : 242,</v>
      </c>
    </row>
    <row r="7" spans="2:6" x14ac:dyDescent="0.25">
      <c r="B7" s="43" t="s">
        <v>116</v>
      </c>
      <c r="C7" s="43" t="str">
        <f ca="1">""""&amp;TEXT('SCOUT &amp; LOGISTICS'!B3,"dd/mm/aaaa")&amp;""""</f>
        <v>"29/01/2026"</v>
      </c>
      <c r="F7" s="45" t="str">
        <f t="shared" ca="1" si="0"/>
        <v>"date" : "29/01/2026",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"SERTAC DOSTEL"</v>
      </c>
      <c r="F12" s="45" t="str">
        <f t="shared" si="0"/>
        <v>"Caller_2" : "SERTAC DOSTEL",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"GOZDE BEGUM AKUZUM"</v>
      </c>
      <c r="F13" s="45" t="str">
        <f t="shared" si="0"/>
        <v>"Timerkeeper" : "GOZDE BEGUM AKUZUM",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"AHMET ERKASAP"</v>
      </c>
      <c r="F14" s="45" t="str">
        <f t="shared" si="0"/>
        <v>"Shotclock" : "AHMET ERKASAP",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543</v>
      </c>
      <c r="F25" s="45" t="str">
        <f t="shared" ref="F25:F48" si="1">""""&amp;C25&amp;"""" &amp; " : " &amp;D25&amp;","</f>
        <v>"total_actions" : 543,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"0,0%"</v>
      </c>
      <c r="F27" s="45" t="str">
        <f t="shared" si="1"/>
        <v>"%_corrections" : "0,0%",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"Just perfect in a very weird match. I cannot say anything better. Congratulations"</v>
      </c>
      <c r="F51" s="45" t="str">
        <f>""""&amp;B51&amp;"""" &amp; " : " &amp;C51&amp;","</f>
        <v>"comments" : "Just perfect in a very weird match. I cannot say anything better. Congratulations",</v>
      </c>
    </row>
    <row r="52" spans="2:6" x14ac:dyDescent="0.25">
      <c r="B52" s="43" t="s">
        <v>153</v>
      </c>
      <c r="C52" s="43" t="str">
        <f>TEXT('SCOUT &amp; LOGISTICS'!F1,"0,0")</f>
        <v>25_242_ULK_IST_E2025</v>
      </c>
      <c r="F52" s="45" t="str">
        <f>""""&amp;B52&amp;"""" &amp; " : " &amp;C52</f>
        <v>"result" : 25_242_ULK_IST_E2025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E242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SERTAC DOSTEL</v>
      </c>
      <c r="M8" s="206"/>
      <c r="N8" s="206"/>
      <c r="O8" s="206"/>
      <c r="P8" s="206"/>
      <c r="Q8" s="206" t="str">
        <f>IF('SCOUT &amp; LOGISTICS'!D9="","",'SCOUT &amp; LOGISTICS'!D9)</f>
        <v>GOZDE BEGUM AKUZUM</v>
      </c>
      <c r="R8" s="206"/>
      <c r="S8" s="206"/>
      <c r="T8" s="206"/>
      <c r="U8" s="206"/>
      <c r="V8" s="206" t="str">
        <f>IF('SCOUT &amp; LOGISTICS'!D10="","",'SCOUT &amp; LOGISTICS'!D10)</f>
        <v>AHMET ERKASAP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543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Just perfect in a very weird match. I cannot say anything better. Congratulations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80B77A-6C07-4D9F-8D98-F12C2834A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2026-01-29T19:45:32Z</cp:lastPrinted>
  <dcterms:created xsi:type="dcterms:W3CDTF">2023-09-19T19:50:35Z</dcterms:created>
  <dcterms:modified xsi:type="dcterms:W3CDTF">2026-01-29T19:45:36Z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