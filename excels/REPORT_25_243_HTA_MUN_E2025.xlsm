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57" documentId="8_{62336FAF-FC6B-48C3-BBF2-6AEF7FF5FB73}" xr6:coauthVersionLast="47" xr6:coauthVersionMax="47" xr10:uidLastSave="{8BE0B8D8-D2F1-4640-BD46-FB2B02D0AF45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<sst xmlns="http://schemas.openxmlformats.org/spreadsheetml/2006/main" count="3315" uniqueCount="772">
  <si>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</si>
  <si>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</si>
  <si>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</si>
  <si>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</si>
  <si>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</si>
  <si>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</si>
  <si>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</si>
  <si>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</si>
  <si>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</si>
  <si>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</si>
  <si>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</si>
  <si>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</si>
  <si>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</si>
  <si>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</si>
  <si>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</si>
  <si>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</si>
  <si>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</si>
  <si>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</si>
  <si>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</si>
  <si>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</si>
  <si>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</si>
  <si>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</si>
  <si>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</si>
  <si>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</si>
  <si>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</si>
  <si>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</si>
  <si>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</si>
  <si>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</si>
  <si>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</si>
  <si>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</si>
  <si>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</si>
  <si>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</si>
  <si>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</si>
  <si>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</si>
  <si>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</si>
  <si>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</si>
  <si>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</si>
  <si>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</si>
  <si>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</si>
  <si>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</si>
  <si>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</si>
  <si>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</si>
  <si>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</si>
  <si>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</si>
  <si>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</si>
  <si>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</si>
  <si>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</si>
  <si>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</si>
  <si>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</si>
  <si>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</si>
  <si>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</si>
  <si>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</si>
  <si>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</si>
  <si>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</si>
  <si>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</si>
  <si>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</si>
  <si>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</si>
  <si>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</si>
  <si>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</si>
  <si>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</si>
  <si>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</si>
  <si>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</si>
  <si>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</si>
  <si>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</si>
  <si>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</si>
  <si>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</si>
  <si>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</si>
  <si>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</si>
  <si>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</si>
  <si>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</si>
  <si>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</si>
  <si>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</si>
  <si>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</si>
  <si>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</si>
  <si>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</si>
  <si>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</si>
  <si>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</si>
  <si>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</si>
  <si>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</si>
  <si>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</si>
  <si>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</si>
  <si>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</si>
  <si>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</si>
  <si>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</si>
  <si>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</si>
  <si>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</si>
  <si>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</si>
  <si>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</si>
  <si>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</si>
  <si>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</si>
  <si>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</si>
  <si>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</si>
  <si>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</si>
  <si>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</si>
  <si>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</si>
  <si>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</si>
  <si>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</si>
  <si>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</si>
  <si>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</si>
  <si>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</si>
  <si>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</si>
  <si>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</si>
  <si>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</si>
  <si>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</si>
  <si>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</si>
  <si>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</si>
  <si>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</si>
  <si>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</si>
  <si>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</si>
  <si>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</si>
  <si>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</si>
  <si>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</si>
  <si>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</si>
  <si>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</si>
  <si>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</si>
  <si>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</si>
  <si>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</si>
  <si>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</si>
  <si>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</si>
  <si>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</si>
  <si>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</si>
  <si>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</si>
  <si>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</si>
  <si>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</si>
  <si>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</si>
  <si>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</si>
  <si>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</si>
  <si>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</si>
  <si>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</si>
  <si>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</si>
  <si>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</si>
  <si>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</si>
  <si>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</si>
  <si>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</si>
  <si>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</si>
  <si>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</si>
  <si>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</si>
  <si>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</si>
  <si>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</si>
  <si>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</si>
  <si>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</si>
  <si>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</si>
  <si>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</si>
  <si>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</si>
  <si>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</si>
  <si>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</si>
  <si>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</si>
  <si>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</si>
  <si>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</si>
  <si>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</si>
  <si>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</si>
  <si>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</si>
  <si>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</si>
  <si>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</si>
  <si>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</si>
  <si>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</si>
  <si>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</si>
  <si>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</si>
  <si>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</si>
  <si>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</si>
  <si>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</si>
  <si>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</si>
  <si>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</si>
  <si>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</si>
  <si>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</si>
  <si>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</si>
  <si>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</si>
  <si>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</si>
  <si>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</si>
  <si>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</si>
  <si>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</si>
  <si>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</si>
  <si>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</si>
  <si>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</si>
  <si>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</si>
  <si>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</si>
  <si>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</si>
  <si>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</si>
  <si>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</si>
  <si>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</si>
  <si>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</si>
  <si>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</si>
  <si>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</si>
  <si>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</si>
  <si>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</si>
  <si>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</si>
  <si>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</si>
  <si>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</si>
  <si>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</si>
  <si>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</si>
  <si>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</si>
  <si>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</si>
  <si>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</si>
  <si>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</si>
  <si>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</si>
  <si>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</si>
  <si>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</si>
  <si>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</si>
  <si>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</si>
  <si>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</si>
  <si>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</si>
  <si>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</si>
  <si>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</si>
  <si>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</si>
  <si>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</si>
  <si>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</si>
  <si>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</si>
  <si>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</si>
  <si>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</si>
  <si>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</si>
  <si>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</si>
  <si>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</si>
  <si>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</si>
  <si>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</si>
  <si>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</si>
  <si>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</si>
  <si>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</si>
  <si>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</si>
  <si>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</si>
  <si>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</si>
  <si>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</si>
  <si>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</si>
  <si>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</si>
  <si>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</si>
  <si>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</si>
  <si>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</si>
  <si>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</si>
  <si>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</si>
  <si>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</si>
  <si>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</si>
  <si>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</si>
  <si>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</si>
  <si>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</si>
  <si>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</si>
  <si>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</si>
  <si>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</si>
  <si>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</si>
  <si>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</si>
  <si>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</si>
  <si>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</si>
  <si>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</si>
  <si>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</si>
  <si>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</si>
  <si>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</si>
  <si>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</si>
  <si>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</si>
  <si>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</si>
  <si>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</si>
  <si>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</si>
  <si>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</si>
  <si>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</si>
  <si>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</si>
  <si>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</si>
  <si>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</si>
  <si>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</si>
  <si>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</si>
  <si>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</si>
  <si>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</si>
  <si>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</si>
  <si>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</si>
  <si>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</si>
  <si>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</si>
  <si>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</si>
  <si>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</si>
  <si>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</si>
  <si>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</si>
  <si>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</si>
  <si>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</si>
  <si>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</si>
  <si>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</si>
  <si>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</si>
  <si>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</si>
  <si>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</si>
  <si>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</si>
  <si>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</si>
  <si>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</si>
  <si>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</si>
  <si>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</si>
  <si>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</si>
  <si>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</si>
  <si>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</si>
  <si>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</si>
  <si>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</si>
  <si>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</si>
  <si>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</si>
  <si>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</si>
  <si>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</si>
  <si>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</si>
  <si>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</si>
  <si>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</si>
  <si>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</si>
  <si>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</si>
  <si>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</si>
  <si>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</si>
  <si>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</si>
  <si>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</si>
  <si>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</si>
  <si>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</si>
  <si>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</si>
  <si>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</si>
  <si>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</si>
  <si>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</si>
  <si>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</si>
  <si>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</si>
  <si>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</si>
  <si>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</si>
  <si>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</si>
  <si>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</si>
  <si>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</si>
  <si>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</si>
  <si>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</si>
  <si>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</si>
  <si>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</si>
  <si>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</si>
  <si>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</si>
  <si>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</si>
  <si>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</si>
  <si>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</si>
  <si>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</si>
  <si>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</si>
  <si>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</si>
  <si>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</si>
  <si>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</si>
  <si>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</si>
  <si>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</si>
  <si>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</si>
  <si>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</si>
  <si>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</si>
  <si>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</si>
  <si>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</si>
  <si>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</si>
  <si>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</si>
  <si>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</si>
  <si>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</si>
  <si>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</si>
  <si>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</si>
  <si>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</si>
  <si>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</si>
  <si>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</si>
  <si>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</si>
  <si>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</si>
  <si>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</si>
  <si>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</si>
  <si>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</si>
  <si>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</si>
  <si>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</si>
  <si>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</si>
  <si>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</si>
  <si>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</si>
  <si>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</si>
  <si>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</si>
  <si>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</si>
  <si>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</si>
  <si>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</si>
  <si>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</si>
  <si>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</si>
  <si>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</si>
  <si>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</si>
  <si>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</si>
  <si>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</si>
  <si>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</si>
  <si>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</si>
  <si>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</si>
  <si>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</si>
  <si>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</si>
  <si>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</si>
  <si>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</si>
  <si>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</si>
  <si>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</si>
  <si>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</si>
  <si>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</si>
  <si>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</si>
  <si>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</si>
  <si>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</si>
  <si>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</si>
  <si>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</si>
  <si>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</si>
  <si>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</si>
  <si>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</si>
  <si>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</si>
  <si>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</si>
  <si>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</si>
  <si>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</si>
  <si>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</si>
  <si>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</si>
  <si>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</si>
  <si>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</si>
  <si>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</si>
  <si>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</si>
  <si>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</si>
  <si>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</si>
  <si>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</si>
  <si>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</si>
  <si>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</si>
  <si>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</si>
  <si>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</si>
  <si>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</si>
  <si>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</si>
  <si>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</si>
  <si>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</si>
  <si>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</si>
  <si>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</si>
  <si>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</si>
  <si>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</si>
  <si>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</si>
  <si>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</si>
  <si>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</si>
  <si>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</si>
  <si>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</si>
  <si>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</si>
  <si>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</si>
  <si>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</si>
  <si>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</si>
  <si>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</si>
  <si>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</si>
  <si>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</si>
  <si>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</si>
  <si>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</si>
  <si>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</si>
  <si>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</si>
  <si>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</si>
  <si>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</si>
  <si>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</si>
  <si>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</si>
  <si>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</si>
  <si>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</si>
  <si>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</si>
  <si>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</si>
  <si>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</si>
  <si>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</si>
  <si>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</si>
  <si>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</si>
  <si>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</si>
  <si>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</si>
  <si>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</si>
  <si>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</si>
  <si>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</si>
  <si>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</si>
  <si>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</si>
  <si>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</si>
  <si>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</si>
  <si>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</si>
  <si>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</si>
  <si>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</si>
  <si>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</si>
  <si>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</si>
  <si>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</si>
  <si>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</si>
  <si>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</si>
  <si>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</si>
  <si>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</si>
  <si>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</si>
  <si>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</si>
  <si>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</si>
  <si>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</si>
  <si>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</si>
  <si>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</si>
  <si>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</si>
  <si>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</si>
  <si>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</si>
  <si>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</si>
  <si>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</si>
  <si>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</si>
  <si>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</si>
  <si>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</si>
  <si>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</si>
  <si>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</si>
  <si>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</si>
  <si>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</si>
  <si>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</si>
  <si>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</si>
  <si>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</si>
  <si>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</si>
  <si>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</si>
  <si>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</si>
  <si>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</si>
  <si>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</si>
  <si>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</si>
  <si>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</si>
  <si>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</si>
  <si>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</si>
  <si>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</si>
  <si>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</si>
  <si>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</si>
  <si>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</si>
  <si>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</si>
  <si>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</si>
  <si>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</si>
  <si>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</si>
  <si>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</si>
  <si>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</si>
  <si>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</si>
  <si>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</si>
  <si>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</si>
  <si>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</si>
  <si>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</si>
  <si>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</si>
  <si>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</si>
  <si>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</si>
  <si>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</si>
  <si>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</si>
  <si>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</si>
  <si>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</si>
  <si>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</si>
  <si>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</si>
  <si>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</si>
  <si>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</si>
  <si>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</si>
  <si>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</si>
  <si>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</si>
  <si>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</si>
  <si>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</si>
  <si>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</si>
  <si>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</si>
  <si>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</si>
  <si>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</si>
  <si>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</si>
  <si>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</si>
  <si>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</si>
  <si>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</si>
  <si>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</si>
  <si>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</si>
  <si>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</si>
  <si>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</si>
  <si>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</si>
  <si>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</si>
  <si>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</si>
  <si>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</si>
  <si>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</si>
  <si>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</si>
  <si>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</si>
  <si>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</si>
  <si>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</si>
  <si>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</si>
  <si>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</si>
  <si>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</si>
  <si>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</si>
  <si>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</si>
  <si>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</si>
  <si>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</si>
  <si>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</si>
  <si>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</si>
  <si>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</si>
  <si>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</si>
  <si>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</si>
  <si>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</si>
  <si>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</si>
  <si>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</si>
  <si>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</si>
  <si>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</si>
  <si>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</si>
  <si>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</si>
  <si>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</si>
  <si>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</si>
  <si>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</si>
  <si>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</si>
  <si>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</si>
  <si>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</si>
  <si>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</si>
  <si>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</si>
  <si>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</si>
  <si>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</si>
  <si>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</si>
  <si>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</si>
  <si>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</si>
  <si>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</si>
  <si>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</si>
  <si>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</si>
  <si>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</si>
  <si>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</si>
  <si>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</si>
  <si>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</si>
  <si>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</si>
  <si>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</si>
  <si>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</si>
  <si>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</si>
  <si>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</si>
  <si>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</si>
  <si>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</si>
  <si>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</si>
  <si>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</si>
  <si>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</si>
  <si>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</si>
  <si>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</si>
  <si>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</si>
  <si>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</si>
  <si>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</si>
  <si>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</si>
  <si>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</si>
  <si>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</si>
  <si>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</si>
  <si>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</si>
  <si>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</si>
  <si>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</si>
  <si>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</si>
  <si>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</si>
  <si>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</si>
  <si>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</si>
  <si>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</si>
  <si>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</si>
  <si>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</si>
  <si>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</si>
  <si>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</si>
  <si>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</si>
  <si>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</si>
  <si>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</si>
  <si>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</si>
  <si>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</si>
  <si>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</si>
  <si>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</si>
  <si>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</si>
  <si>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</si>
  <si>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</si>
  <si>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</si>
  <si>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</si>
  <si>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</si>
  <si>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</si>
  <si>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</si>
  <si>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</si>
  <si>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</si>
  <si>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</si>
  <si>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</si>
  <si>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</si>
  <si>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</si>
  <si>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</si>
  <si>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</si>
  <si>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</si>
  <si>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</si>
  <si>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</si>
  <si>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</si>
  <si>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</si>
  <si>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</si>
  <si>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</si>
  <si>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</si>
  <si>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</si>
  <si>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</si>
  <si>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</si>
  <si>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</si>
  <si>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</si>
  <si>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</si>
  <si>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</si>
  <si>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</si>
  <si>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</si>
  <si>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</si>
  <si>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</si>
  <si>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</si>
  <si>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</si>
  <si>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</si>
  <si>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</si>
  <si>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</si>
  <si>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</si>
  <si>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</si>
  <si>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</si>
  <si>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</si>
  <si>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</si>
  <si>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</si>
  <si>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</si>
  <si>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</si>
  <si>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</si>
  <si>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</si>
  <si>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</si>
  <si>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</si>
  <si>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</si>
  <si>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</si>
  <si>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</si>
  <si>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</si>
  <si>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</si>
  <si>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</si>
  <si>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</si>
  <si>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</si>
  <si>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</si>
  <si>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</si>
  <si>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</si>
  <si>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</si>
  <si>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</si>
  <si>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</si>
  <si>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</si>
  <si>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</si>
  <si>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</si>
  <si>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</si>
  <si>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</si>
  <si>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</si>
  <si>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</si>
  <si>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</si>
  <si>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</si>
  <si>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</si>
  <si>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</si>
  <si>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</si>
  <si>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</si>
  <si>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</si>
  <si>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</si>
  <si>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</si>
  <si>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</si>
  <si>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</si>
  <si>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</si>
  <si>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</si>
  <si>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</si>
  <si>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</si>
  <si>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</si>
  <si>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</si>
  <si>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</si>
  <si>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</si>
  <si>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</si>
  <si>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</si>
  <si>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</si>
  <si>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</si>
  <si>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</si>
  <si>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</si>
  <si>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</si>
  <si>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</si>
  <si>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</si>
  <si>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</si>
  <si>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</si>
  <si>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</si>
  <si>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</si>
  <si>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</si>
  <si>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</si>
  <si>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</si>
  <si>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</si>
  <si>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</si>
  <si>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</si>
  <si>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</si>
  <si>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</si>
  <si>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</si>
  <si>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</si>
  <si>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</si>
  <si>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</si>
  <si>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</si>
  <si>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</si>
  <si>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</si>
  <si>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</si>
  <si>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</si>
  <si>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</si>
  <si>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</si>
  <si>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</si>
  <si>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</si>
  <si>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</si>
  <si>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</si>
  <si>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</si>
  <si>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</si>
  <si>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</si>
  <si>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</si>
  <si>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</si>
  <si>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</si>
  <si>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</si>
  <si>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</si>
  <si>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</si>
  <si>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</si>
  <si>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</si>
  <si>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</si>
  <si>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</si>
  <si>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ALMOG BAND</t>
  </si>
  <si>
    <t>YUVAL TZUCKERMAN</t>
  </si>
  <si>
    <t>NOA KONFINO</t>
  </si>
  <si>
    <t>IDO SEGAL</t>
  </si>
  <si>
    <t>SAGY BARKAY</t>
  </si>
  <si>
    <t>NIR DOBY WAIDMAN</t>
  </si>
  <si>
    <t>09:30</t>
  </si>
  <si>
    <t>06:01</t>
  </si>
  <si>
    <t>07:46</t>
  </si>
  <si>
    <t>03:02</t>
  </si>
  <si>
    <t>00:56</t>
  </si>
  <si>
    <t>03:33</t>
  </si>
  <si>
    <t>08:50</t>
  </si>
  <si>
    <t>08:10</t>
  </si>
  <si>
    <t>05:34</t>
  </si>
  <si>
    <t>05:14</t>
  </si>
  <si>
    <t>03:30</t>
  </si>
  <si>
    <t>02:26</t>
  </si>
  <si>
    <t>01:55</t>
  </si>
  <si>
    <t>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</si>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</sst>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25_243_HTA_MUN_E2025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46051.833333333336</v>
      </c>
      <c r="C3" s="157"/>
      <c r="D3" s="39">
        <v>525</v>
      </c>
      <c r="E3" s="29"/>
      <c r="F3" s="26">
        <f>SUBTOTAL(3,I17:I106)</f>
        <v>14</v>
      </c>
      <c r="G3" s="27">
        <f>IF(OR(D3="",D3=0),"",F3/D3)</f>
        <v>2.6666666666666668E-2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67" t="s">
        <v>770</v>
      </c>
      <c r="N4" s="168"/>
      <c r="O4" s="2"/>
      <c r="P4" s="2"/>
      <c r="Q4" s="84" t="s">
        <v>175</v>
      </c>
      <c r="R4" s="94">
        <f>(IF(G3="",0,G3))</f>
        <v>2.6666666666666668E-2</v>
      </c>
      <c r="S4" s="61">
        <f>SUM(I13:M13)</f>
        <v>2</v>
      </c>
      <c r="T4" s="78"/>
      <c r="U4" s="61">
        <f>AC18</f>
        <v>6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2.666666666666667</v>
      </c>
      <c r="S5" s="70">
        <f t="shared" ref="S5" si="0">S4*S3</f>
        <v>2</v>
      </c>
      <c r="T5" s="92"/>
      <c r="U5" s="70">
        <f t="shared" ref="U5:AG5" si="1">U4*U3</f>
        <v>3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19.166666666666668</v>
      </c>
      <c r="N7" s="58"/>
      <c r="O7" s="2"/>
      <c r="P7" s="2"/>
      <c r="Q7" s="86">
        <f>SUM(R5,S5,AC16)</f>
        <v>19.166666666666668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19.166666666666668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16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14</v>
      </c>
      <c r="J15" s="24">
        <f>SUBTOTAL(3,J17:J106)</f>
        <v>14</v>
      </c>
      <c r="K15" s="24">
        <f>SUBTOTAL(3,K17:K106)</f>
        <v>14</v>
      </c>
      <c r="L15" s="24">
        <f>SUBTOTAL(3,L17:L106)</f>
        <v>14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14</v>
      </c>
      <c r="Z16" s="90" t="s">
        <v>110</v>
      </c>
      <c r="AA16" s="75">
        <f>SUM(AA17:AA24)</f>
        <v>14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14.5</v>
      </c>
      <c r="AD16" s="75">
        <f>SUM(AD17:AD24)</f>
        <v>45</v>
      </c>
      <c r="AE16" s="76" t="s">
        <v>42</v>
      </c>
      <c r="AF16" s="75">
        <f>SUM(AF17:AF24)</f>
        <v>8</v>
      </c>
      <c r="AG16" s="75">
        <f>SUM(AG17:AG21)</f>
        <v>14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243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5</v>
      </c>
      <c r="J17" s="13" t="s">
        <v>4</v>
      </c>
      <c r="K17" s="13" t="s">
        <v>63</v>
      </c>
      <c r="L17" s="13" t="s">
        <v>6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14</v>
      </c>
      <c r="Z17" s="105" t="s">
        <v>63</v>
      </c>
      <c r="AA17" s="62">
        <f>COUNTIF($K$17:$K$106,Z17)</f>
        <v>9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243</v>
      </c>
      <c r="D18" s="32" t="s">
        <v>758</v>
      </c>
      <c r="E18" s="33">
        <v>1</v>
      </c>
      <c r="F18" s="36">
        <v>13</v>
      </c>
      <c r="G18" s="36">
        <v>7</v>
      </c>
      <c r="H18" s="38" t="str">
        <f t="shared" ref="H18:H81" si="8">IF(I18="","",$I$14)</f>
        <v>SCOUTING</v>
      </c>
      <c r="I18" s="34">
        <v>53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243</v>
      </c>
      <c r="D19" s="32" t="s">
        <v>759</v>
      </c>
      <c r="E19" s="33">
        <v>2</v>
      </c>
      <c r="F19" s="36">
        <v>28</v>
      </c>
      <c r="G19" s="36">
        <v>30</v>
      </c>
      <c r="H19" s="38" t="str">
        <f t="shared" si="8"/>
        <v>SCOUTING</v>
      </c>
      <c r="I19" s="34">
        <v>147</v>
      </c>
      <c r="J19" s="13" t="s">
        <v>4</v>
      </c>
      <c r="K19" s="13" t="s">
        <v>62</v>
      </c>
      <c r="L19" s="13" t="s">
        <v>6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243</v>
      </c>
      <c r="D20" s="32" t="s">
        <v>760</v>
      </c>
      <c r="E20" s="33">
        <v>2</v>
      </c>
      <c r="F20" s="36">
        <v>39</v>
      </c>
      <c r="G20" s="36">
        <v>34</v>
      </c>
      <c r="H20" s="38" t="str">
        <f t="shared" si="8"/>
        <v>SCOUTING</v>
      </c>
      <c r="I20" s="34">
        <v>218</v>
      </c>
      <c r="J20" s="13" t="s">
        <v>4</v>
      </c>
      <c r="K20" s="13" t="s">
        <v>63</v>
      </c>
      <c r="L20" s="13" t="s">
        <v>6</v>
      </c>
      <c r="M20" s="13" t="s">
        <v>12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7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243</v>
      </c>
      <c r="D21" s="32" t="s">
        <v>761</v>
      </c>
      <c r="E21" s="33">
        <v>2</v>
      </c>
      <c r="F21" s="36">
        <v>39</v>
      </c>
      <c r="G21" s="36">
        <v>41</v>
      </c>
      <c r="H21" s="38" t="str">
        <f t="shared" si="8"/>
        <v>SCOUTING</v>
      </c>
      <c r="I21" s="34">
        <v>250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243</v>
      </c>
      <c r="D22" s="32" t="s">
        <v>53</v>
      </c>
      <c r="E22" s="33">
        <v>2</v>
      </c>
      <c r="F22" s="36">
        <v>39</v>
      </c>
      <c r="G22" s="36">
        <v>43</v>
      </c>
      <c r="H22" s="38" t="str">
        <f t="shared" si="8"/>
        <v>SCOUTING</v>
      </c>
      <c r="I22" s="34">
        <v>257</v>
      </c>
      <c r="J22" s="13" t="s">
        <v>4</v>
      </c>
      <c r="K22" s="13" t="s">
        <v>63</v>
      </c>
      <c r="L22" s="13" t="s">
        <v>7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243</v>
      </c>
      <c r="D23" s="32" t="s">
        <v>762</v>
      </c>
      <c r="E23" s="33">
        <v>3</v>
      </c>
      <c r="F23" s="36">
        <v>41</v>
      </c>
      <c r="G23" s="36">
        <v>50</v>
      </c>
      <c r="H23" s="38" t="str">
        <f t="shared" si="8"/>
        <v>SCOUTING</v>
      </c>
      <c r="I23" s="34">
        <v>354</v>
      </c>
      <c r="J23" s="13" t="s">
        <v>4</v>
      </c>
      <c r="K23" s="13" t="s">
        <v>62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243</v>
      </c>
      <c r="D24" s="32" t="s">
        <v>763</v>
      </c>
      <c r="E24" s="33">
        <v>4</v>
      </c>
      <c r="F24" s="36">
        <v>50</v>
      </c>
      <c r="G24" s="36">
        <v>61</v>
      </c>
      <c r="H24" s="38" t="str">
        <f t="shared" si="8"/>
        <v>SCOUTING</v>
      </c>
      <c r="I24" s="34">
        <v>412</v>
      </c>
      <c r="J24" s="13" t="s">
        <v>4</v>
      </c>
      <c r="K24" s="13" t="s">
        <v>63</v>
      </c>
      <c r="L24" s="13" t="s">
        <v>48</v>
      </c>
      <c r="M24" s="13" t="s">
        <v>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243</v>
      </c>
      <c r="D25" s="32" t="s">
        <v>764</v>
      </c>
      <c r="E25" s="33">
        <v>4</v>
      </c>
      <c r="F25" s="36">
        <v>50</v>
      </c>
      <c r="G25" s="36">
        <v>61</v>
      </c>
      <c r="H25" s="38" t="str">
        <f t="shared" si="8"/>
        <v>SCOUTING</v>
      </c>
      <c r="I25" s="34">
        <v>418</v>
      </c>
      <c r="J25" s="13" t="s">
        <v>4</v>
      </c>
      <c r="K25" s="13" t="s">
        <v>63</v>
      </c>
      <c r="L25" s="13" t="s">
        <v>5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243</v>
      </c>
      <c r="D26" s="32" t="s">
        <v>765</v>
      </c>
      <c r="E26" s="33">
        <v>4</v>
      </c>
      <c r="F26" s="36">
        <v>54</v>
      </c>
      <c r="G26" s="36">
        <v>71</v>
      </c>
      <c r="H26" s="38" t="str">
        <f t="shared" si="8"/>
        <v>SCOUTING</v>
      </c>
      <c r="I26" s="34">
        <v>450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243</v>
      </c>
      <c r="D27" s="32" t="s">
        <v>766</v>
      </c>
      <c r="E27" s="33">
        <v>4</v>
      </c>
      <c r="F27" s="36">
        <v>54</v>
      </c>
      <c r="G27" s="36">
        <v>73</v>
      </c>
      <c r="H27" s="38" t="str">
        <f t="shared" si="8"/>
        <v>SCOUTING</v>
      </c>
      <c r="I27" s="34">
        <v>453</v>
      </c>
      <c r="J27" s="13" t="s">
        <v>4</v>
      </c>
      <c r="K27" s="13" t="s">
        <v>63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243</v>
      </c>
      <c r="D28" s="32" t="s">
        <v>767</v>
      </c>
      <c r="E28" s="33">
        <v>4</v>
      </c>
      <c r="F28" s="36">
        <v>56</v>
      </c>
      <c r="G28" s="36">
        <v>75</v>
      </c>
      <c r="H28" s="38" t="str">
        <f t="shared" si="8"/>
        <v>SCOUTING</v>
      </c>
      <c r="I28" s="34">
        <v>481</v>
      </c>
      <c r="J28" s="13" t="s">
        <v>4</v>
      </c>
      <c r="K28" s="13" t="s">
        <v>62</v>
      </c>
      <c r="L28" s="13" t="s">
        <v>48</v>
      </c>
      <c r="M28" s="13" t="s">
        <v>10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243</v>
      </c>
      <c r="D29" s="32" t="s">
        <v>768</v>
      </c>
      <c r="E29" s="33">
        <v>4</v>
      </c>
      <c r="F29" s="36">
        <v>58</v>
      </c>
      <c r="G29" s="36">
        <v>75</v>
      </c>
      <c r="H29" s="38" t="str">
        <f t="shared" si="8"/>
        <v>SCOUTING</v>
      </c>
      <c r="I29" s="34">
        <v>492</v>
      </c>
      <c r="J29" s="13" t="s">
        <v>4</v>
      </c>
      <c r="K29" s="13" t="s">
        <v>63</v>
      </c>
      <c r="L29" s="13" t="s">
        <v>6</v>
      </c>
      <c r="M29" s="13" t="s">
        <v>10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243</v>
      </c>
      <c r="D30" s="32" t="s">
        <v>769</v>
      </c>
      <c r="E30" s="33">
        <v>4</v>
      </c>
      <c r="F30" s="36">
        <v>58</v>
      </c>
      <c r="G30" s="36">
        <v>77</v>
      </c>
      <c r="H30" s="38" t="str">
        <f t="shared" si="8"/>
        <v>SCOUTING</v>
      </c>
      <c r="I30" s="34">
        <v>500</v>
      </c>
      <c r="J30" s="13" t="s">
        <v>4</v>
      </c>
      <c r="K30" s="13" t="s">
        <v>62</v>
      </c>
      <c r="L30" s="13" t="s">
        <v>6</v>
      </c>
      <c r="M30" s="13" t="s">
        <v>22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REPORT_E2025243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"E2025243"</v>
      </c>
      <c r="F3" s="45" t="str">
        <f t="shared" ref="F3:F16" si="0">""""&amp;B3&amp;"""" &amp; " : " &amp;C3&amp;","</f>
        <v>"name" : "E2025243",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"E243"</v>
      </c>
      <c r="F4" s="45" t="str">
        <f t="shared" si="0"/>
        <v>"cod" : "E243",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243</v>
      </c>
      <c r="F6" s="45" t="str">
        <f t="shared" si="0"/>
        <v>"number" : 243,</v>
      </c>
    </row>
    <row r="7" spans="2:6" x14ac:dyDescent="0.25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"ALMOG BAND"</v>
      </c>
      <c r="F10" s="45" t="str">
        <f t="shared" si="0"/>
        <v>"Data_entry" : "ALMOG BAND",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"YUVAL TZUCKERMAN"</v>
      </c>
      <c r="F11" s="45" t="str">
        <f t="shared" si="0"/>
        <v>"Caller_1" : "YUVAL TZUCKERMAN",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"NOA KONFINO"</v>
      </c>
      <c r="F12" s="45" t="str">
        <f t="shared" si="0"/>
        <v>"Caller_2" : "NOA KONFINO",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"IDO SEGAL"</v>
      </c>
      <c r="F13" s="45" t="str">
        <f t="shared" si="0"/>
        <v>"Timerkeeper" : "IDO SEGAL",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"SAGY BARKAY"</v>
      </c>
      <c r="F14" s="45" t="str">
        <f t="shared" si="0"/>
        <v>"Shotclock" : "SAGY BARKAY",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"NIR DOBY WAIDMAN"</v>
      </c>
      <c r="F15" s="45" t="str">
        <f t="shared" si="0"/>
        <v>"IRS" : "NIR DOBY WAIDMAN",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525</v>
      </c>
      <c r="F25" s="45" t="str">
        <f t="shared" ref="F25:F48" si="1">""""&amp;C25&amp;"""" &amp; " : " &amp;D25&amp;","</f>
        <v>"total_actions" : 525,</v>
      </c>
    </row>
    <row r="26" spans="2:6" x14ac:dyDescent="0.25">
      <c r="C26" s="43" t="s">
        <v>132</v>
      </c>
      <c r="D26" s="43">
        <f>'SCOUT &amp; LOGISTICS'!F3</f>
        <v>14</v>
      </c>
      <c r="F26" s="45" t="str">
        <f t="shared" si="1"/>
        <v>"total_correcions" : 14,</v>
      </c>
    </row>
    <row r="27" spans="2:6" x14ac:dyDescent="0.25">
      <c r="C27" s="43" t="s">
        <v>133</v>
      </c>
      <c r="D27" s="43" t="str">
        <f>""""&amp;IF(OR(D25="",D25=0),"",TEXT(D26/D25,"0,0%"))&amp;""""</f>
        <v>"03%"</v>
      </c>
      <c r="F27" s="45" t="str">
        <f t="shared" si="1"/>
        <v>"%_corrections" : "03%",</v>
      </c>
    </row>
    <row r="28" spans="2:6" x14ac:dyDescent="0.25">
      <c r="C28" s="43" t="s">
        <v>125</v>
      </c>
      <c r="D28" s="43">
        <f>IF('SCOUT &amp; LOGISTICS'!AA17="","",'SCOUT &amp; LOGISTICS'!AA17)</f>
        <v>9</v>
      </c>
      <c r="F28" s="45" t="str">
        <f t="shared" si="1"/>
        <v>"home_team" : 9,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7</v>
      </c>
      <c r="F34" s="45" t="str">
        <f t="shared" si="1"/>
        <v>"q4" : 7,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14</v>
      </c>
      <c r="F37" s="45" t="str">
        <f t="shared" si="1"/>
        <v>"scoresheet_corrections" : 14,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to."</v>
      </c>
      <c r="F51" s="45" t="str">
        <f>""""&amp;B51&amp;"""" &amp; " : " &amp;C51&amp;","</f>
        <v>"comments" : "You’ve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to.",</v>
      </c>
    </row>
    <row r="52" spans="2:6" x14ac:dyDescent="0.25">
      <c r="B52" s="43" t="s">
        <v>153</v>
      </c>
      <c r="C52" s="43" t="str">
        <f>TEXT('SCOUT &amp; LOGISTICS'!F1,"0,0")</f>
        <v>25_243_HTA_MUN_E2025</v>
      </c>
      <c r="F52" s="45" t="str">
        <f>""""&amp;B52&amp;"""" &amp; " : " &amp;C52</f>
        <v>"result" : 25_243_HTA_MUN_E2025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E243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ALMOG BAND</v>
      </c>
      <c r="C8" s="206"/>
      <c r="D8" s="206"/>
      <c r="E8" s="206"/>
      <c r="F8" s="206"/>
      <c r="G8" s="206" t="str">
        <f>IF('SCOUT &amp; LOGISTICS'!D7="","",'SCOUT &amp; LOGISTICS'!D7)</f>
        <v>YUVAL TZUCKERMAN</v>
      </c>
      <c r="H8" s="206"/>
      <c r="I8" s="206"/>
      <c r="J8" s="206"/>
      <c r="K8" s="206"/>
      <c r="L8" s="206" t="str">
        <f>IF('SCOUT &amp; LOGISTICS'!D8="","",'SCOUT &amp; LOGISTICS'!D8)</f>
        <v>NOA KONFINO</v>
      </c>
      <c r="M8" s="206"/>
      <c r="N8" s="206"/>
      <c r="O8" s="206"/>
      <c r="P8" s="206"/>
      <c r="Q8" s="206" t="str">
        <f>IF('SCOUT &amp; LOGISTICS'!D9="","",'SCOUT &amp; LOGISTICS'!D9)</f>
        <v>IDO SEGAL</v>
      </c>
      <c r="R8" s="206"/>
      <c r="S8" s="206"/>
      <c r="T8" s="206"/>
      <c r="U8" s="206"/>
      <c r="V8" s="206" t="str">
        <f>IF('SCOUT &amp; LOGISTICS'!D10="","",'SCOUT &amp; LOGISTICS'!D10)</f>
        <v>SAGY BARKAY</v>
      </c>
      <c r="W8" s="206"/>
      <c r="X8" s="206"/>
      <c r="Y8" s="206"/>
      <c r="Z8" s="206"/>
      <c r="AA8" s="206" t="str">
        <f>IF('SCOUT &amp; LOGISTICS'!D11="","",'SCOUT &amp; LOGISTICS'!D11)</f>
        <v>NIR DOBY WAIDMAN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SLOW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2.6666666666666668E-2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9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4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7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19.166666666666668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44918E-AFEE-4F20-92A9-A7E292E80C2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2026-01-30T16:31:22Z</cp:lastPrinted>
  <dcterms:created xsi:type="dcterms:W3CDTF">2023-09-19T19:50:35Z</dcterms:created>
  <dcterms:modified xsi:type="dcterms:W3CDTF">2026-01-30T16:31:24Z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