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7" documentId="8_{FE0002C4-483B-41EA-A255-EA9201F9B6FB}" xr6:coauthVersionLast="47" xr6:coauthVersionMax="47" xr10:uidLastSave="{632B4152-ED65-4B42-A5DC-13323EBC64DD}"/>
  <bookViews>
    <workbookView xWindow="-28920" yWindow="63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<sst xmlns="http://schemas.openxmlformats.org/spreadsheetml/2006/main" count="3270" uniqueCount="762">
  <si>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</si>
  <si>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</si>
  <si>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</si>
  <si>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</si>
  <si>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</si>
  <si>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</si>
  <si>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</si>
  <si>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</si>
  <si>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</si>
  <si>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</si>
  <si>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</si>
  <si>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</si>
  <si>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</si>
  <si>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</si>
  <si>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</si>
  <si>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</si>
  <si>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</si>
  <si>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</si>
  <si>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</si>
  <si>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</si>
  <si>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</si>
  <si>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</si>
  <si>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</si>
  <si>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</si>
  <si>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</si>
  <si>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</si>
  <si>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</si>
  <si>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</si>
  <si>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</si>
  <si>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</si>
  <si>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</si>
  <si>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</si>
  <si>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</si>
  <si>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</si>
  <si>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</si>
  <si>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</si>
  <si>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</si>
  <si>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</si>
  <si>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</si>
  <si>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</si>
  <si>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</si>
  <si>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</si>
  <si>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</si>
  <si>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</si>
  <si>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</si>
  <si>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</si>
  <si>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</si>
  <si>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</si>
  <si>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</si>
  <si>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</si>
  <si>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</si>
  <si>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</si>
  <si>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</si>
  <si>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</si>
  <si>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</si>
  <si>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</si>
  <si>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</si>
  <si>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</si>
  <si>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</si>
  <si>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</si>
  <si>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</si>
  <si>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</si>
  <si>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</si>
  <si>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</si>
  <si>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</si>
  <si>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</si>
  <si>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</si>
  <si>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</si>
  <si>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</si>
  <si>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</si>
  <si>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</si>
  <si>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</si>
  <si>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</si>
  <si>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</si>
  <si>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</si>
  <si>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</si>
  <si>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</si>
  <si>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</si>
  <si>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</si>
  <si>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</si>
  <si>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</si>
  <si>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</si>
  <si>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</si>
  <si>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</si>
  <si>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</si>
  <si>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</si>
  <si>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</si>
  <si>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</si>
  <si>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</si>
  <si>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</si>
  <si>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</si>
  <si>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</si>
  <si>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</si>
  <si>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</si>
  <si>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</si>
  <si>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</si>
  <si>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</si>
  <si>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</si>
  <si>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</si>
  <si>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</si>
  <si>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</si>
  <si>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</si>
  <si>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</si>
  <si>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</si>
  <si>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</si>
  <si>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</si>
  <si>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</si>
  <si>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</si>
  <si>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</si>
  <si>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</si>
  <si>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</si>
  <si>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</si>
  <si>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</si>
  <si>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</si>
  <si>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</si>
  <si>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</si>
  <si>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</si>
  <si>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</si>
  <si>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</si>
  <si>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</si>
  <si>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</si>
  <si>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</si>
  <si>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</si>
  <si>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</si>
  <si>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</si>
  <si>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</si>
  <si>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</si>
  <si>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</si>
  <si>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</si>
  <si>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</si>
  <si>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</si>
  <si>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</si>
  <si>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</si>
  <si>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</si>
  <si>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</si>
  <si>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</si>
  <si>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</si>
  <si>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</si>
  <si>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</si>
  <si>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</si>
  <si>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</si>
  <si>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</si>
  <si>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</si>
  <si>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</si>
  <si>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</si>
  <si>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</si>
  <si>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</si>
  <si>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</si>
  <si>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</si>
  <si>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</si>
  <si>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</si>
  <si>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</si>
  <si>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</si>
  <si>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</si>
  <si>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</si>
  <si>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</si>
  <si>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</si>
  <si>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</si>
  <si>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</si>
  <si>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</si>
  <si>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</si>
  <si>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</si>
  <si>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</si>
  <si>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</si>
  <si>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</si>
  <si>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</si>
  <si>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</si>
  <si>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</si>
  <si>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</si>
  <si>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</si>
  <si>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</si>
  <si>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</si>
  <si>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</si>
  <si>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</si>
  <si>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</si>
  <si>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</si>
  <si>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</si>
  <si>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</si>
  <si>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</si>
  <si>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</si>
  <si>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</si>
  <si>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</si>
  <si>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</si>
  <si>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</si>
  <si>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</si>
  <si>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</si>
  <si>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</si>
  <si>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</si>
  <si>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</si>
  <si>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</si>
  <si>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</si>
  <si>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</si>
  <si>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</si>
  <si>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</si>
  <si>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</si>
  <si>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</si>
  <si>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</si>
  <si>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</si>
  <si>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</si>
  <si>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</si>
  <si>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</si>
  <si>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</si>
  <si>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</si>
  <si>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</si>
  <si>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</si>
  <si>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</si>
  <si>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</si>
  <si>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</si>
  <si>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</si>
  <si>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</si>
  <si>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</si>
  <si>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</si>
  <si>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</si>
  <si>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</si>
  <si>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</si>
  <si>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</si>
  <si>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</si>
  <si>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</si>
  <si>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</si>
  <si>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</si>
  <si>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</si>
  <si>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</si>
  <si>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</si>
  <si>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</si>
  <si>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</si>
  <si>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</si>
  <si>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</si>
  <si>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</si>
  <si>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</si>
  <si>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</si>
  <si>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</si>
  <si>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</si>
  <si>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</si>
  <si>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</si>
  <si>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</si>
  <si>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</si>
  <si>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</si>
  <si>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</si>
  <si>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</si>
  <si>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</si>
  <si>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</si>
  <si>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</si>
  <si>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</si>
  <si>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</si>
  <si>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</si>
  <si>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</si>
  <si>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</si>
  <si>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</si>
  <si>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</si>
  <si>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</si>
  <si>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</si>
  <si>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</si>
  <si>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</si>
  <si>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</si>
  <si>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</si>
  <si>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</si>
  <si>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</si>
  <si>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</si>
  <si>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</si>
  <si>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</si>
  <si>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</si>
  <si>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</si>
  <si>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</si>
  <si>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</si>
  <si>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</si>
  <si>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</si>
  <si>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</si>
  <si>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</si>
  <si>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</si>
  <si>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</si>
  <si>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</si>
  <si>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</si>
  <si>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</si>
  <si>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</si>
  <si>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</si>
  <si>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</si>
  <si>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</si>
  <si>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</si>
  <si>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</si>
  <si>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</si>
  <si>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</si>
  <si>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</si>
  <si>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</si>
  <si>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</si>
  <si>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</si>
  <si>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</si>
  <si>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</si>
  <si>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</si>
  <si>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</si>
  <si>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</si>
  <si>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</si>
  <si>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</si>
  <si>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</si>
  <si>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</si>
  <si>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</si>
  <si>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</si>
  <si>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</si>
  <si>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</si>
  <si>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</si>
  <si>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</si>
  <si>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</si>
  <si>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</si>
  <si>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</si>
  <si>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</si>
  <si>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</si>
  <si>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</si>
  <si>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</si>
  <si>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</si>
  <si>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</si>
  <si>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</si>
  <si>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</si>
  <si>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</si>
  <si>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</si>
  <si>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</si>
  <si>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</si>
  <si>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</si>
  <si>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</si>
  <si>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</si>
  <si>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</si>
  <si>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</si>
  <si>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</si>
  <si>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</si>
  <si>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</si>
  <si>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</si>
  <si>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</si>
  <si>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</si>
  <si>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</si>
  <si>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</si>
  <si>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</si>
  <si>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</si>
  <si>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</si>
  <si>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</si>
  <si>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</si>
  <si>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</si>
  <si>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</si>
  <si>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</si>
  <si>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</si>
  <si>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</si>
  <si>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</si>
  <si>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</si>
  <si>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</si>
  <si>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</si>
  <si>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</si>
  <si>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</si>
  <si>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</si>
  <si>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</si>
  <si>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</si>
  <si>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</si>
  <si>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</si>
  <si>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</si>
  <si>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</si>
  <si>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</si>
  <si>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</si>
  <si>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</si>
  <si>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</si>
  <si>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</si>
  <si>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</si>
  <si>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</si>
  <si>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</si>
  <si>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</si>
  <si>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</si>
  <si>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</si>
  <si>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</si>
  <si>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</si>
  <si>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</si>
  <si>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</si>
  <si>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</si>
  <si>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</si>
  <si>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</si>
  <si>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</si>
  <si>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</si>
  <si>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</si>
  <si>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</si>
  <si>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</si>
  <si>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</si>
  <si>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</si>
  <si>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</si>
  <si>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</si>
  <si>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</si>
  <si>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</si>
  <si>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</si>
  <si>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</si>
  <si>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</si>
  <si>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</si>
  <si>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</si>
  <si>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</si>
  <si>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</si>
  <si>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</si>
  <si>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</si>
  <si>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</si>
  <si>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</si>
  <si>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</si>
  <si>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</si>
  <si>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</si>
  <si>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</si>
  <si>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</si>
  <si>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</si>
  <si>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</si>
  <si>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</si>
  <si>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</si>
  <si>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</si>
  <si>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</si>
  <si>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</si>
  <si>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</si>
  <si>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</si>
  <si>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</si>
  <si>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</si>
  <si>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</si>
  <si>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</si>
  <si>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</si>
  <si>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</si>
  <si>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</si>
  <si>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</si>
  <si>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</si>
  <si>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</si>
  <si>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</si>
  <si>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</si>
  <si>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</si>
  <si>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</si>
  <si>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</si>
  <si>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</si>
  <si>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</si>
  <si>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</si>
  <si>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</si>
  <si>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</si>
  <si>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</si>
  <si>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</si>
  <si>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</si>
  <si>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</si>
  <si>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</si>
  <si>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</si>
  <si>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</si>
  <si>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</si>
  <si>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</si>
  <si>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</si>
  <si>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</si>
  <si>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</si>
  <si>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</si>
  <si>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</si>
  <si>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</si>
  <si>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</si>
  <si>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</si>
  <si>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</si>
  <si>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</si>
  <si>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</si>
  <si>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</si>
  <si>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</si>
  <si>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</si>
  <si>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</si>
  <si>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</si>
  <si>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</si>
  <si>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</si>
  <si>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</si>
  <si>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</si>
  <si>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</si>
  <si>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</si>
  <si>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</si>
  <si>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</si>
  <si>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</si>
  <si>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</si>
  <si>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</si>
  <si>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</si>
  <si>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</si>
  <si>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</si>
  <si>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</si>
  <si>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</si>
  <si>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</si>
  <si>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</si>
  <si>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</si>
  <si>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</si>
  <si>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</si>
  <si>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</si>
  <si>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</si>
  <si>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</si>
  <si>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</si>
  <si>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</si>
  <si>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</si>
  <si>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</si>
  <si>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</si>
  <si>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</si>
  <si>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</si>
  <si>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</si>
  <si>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</si>
  <si>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</si>
  <si>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</si>
  <si>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</si>
  <si>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</si>
  <si>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</si>
  <si>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</si>
  <si>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</si>
  <si>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</si>
  <si>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</si>
  <si>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</si>
  <si>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</si>
  <si>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</si>
  <si>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</si>
  <si>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</si>
  <si>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</si>
  <si>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</si>
  <si>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</si>
  <si>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</si>
  <si>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</si>
  <si>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</si>
  <si>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</si>
  <si>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</si>
  <si>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</si>
  <si>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</si>
  <si>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</si>
  <si>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</si>
  <si>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</si>
  <si>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</si>
  <si>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</si>
  <si>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</si>
  <si>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</si>
  <si>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</si>
  <si>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</si>
  <si>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</si>
  <si>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</si>
  <si>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</si>
  <si>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</si>
  <si>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</si>
  <si>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</si>
  <si>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</si>
  <si>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</si>
  <si>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</si>
  <si>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</si>
  <si>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</si>
  <si>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</si>
  <si>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</si>
  <si>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</si>
  <si>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</si>
  <si>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</si>
  <si>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</si>
  <si>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</si>
  <si>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</si>
  <si>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</si>
  <si>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</si>
  <si>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</si>
  <si>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</si>
  <si>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</si>
  <si>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</si>
  <si>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</si>
  <si>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</si>
  <si>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</si>
  <si>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</si>
  <si>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</si>
  <si>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</si>
  <si>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</si>
  <si>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</si>
  <si>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</si>
  <si>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</si>
  <si>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</si>
  <si>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</si>
  <si>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</si>
  <si>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</si>
  <si>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</si>
  <si>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</si>
  <si>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</si>
  <si>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</si>
  <si>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</si>
  <si>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</si>
  <si>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</si>
  <si>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</si>
  <si>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</si>
  <si>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</si>
  <si>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</si>
  <si>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</si>
  <si>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</si>
  <si>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</si>
  <si>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</si>
  <si>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</si>
  <si>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</si>
  <si>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</si>
  <si>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</si>
  <si>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</si>
  <si>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</si>
  <si>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</si>
  <si>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</si>
  <si>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</si>
  <si>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</si>
  <si>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</si>
  <si>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</si>
  <si>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</si>
  <si>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</si>
  <si>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</si>
  <si>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</si>
  <si>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</si>
  <si>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</si>
  <si>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</si>
  <si>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</si>
  <si>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</si>
  <si>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</si>
  <si>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</si>
  <si>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</si>
  <si>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</si>
  <si>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</si>
  <si>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</si>
  <si>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</si>
  <si>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</si>
  <si>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</si>
  <si>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</si>
  <si>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</si>
  <si>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</si>
  <si>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</si>
  <si>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</si>
  <si>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</si>
  <si>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</si>
  <si>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</si>
  <si>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</si>
  <si>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</si>
  <si>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</si>
  <si>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</si>
  <si>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</si>
  <si>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</si>
  <si>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</si>
  <si>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</si>
  <si>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</si>
  <si>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</si>
  <si>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</si>
  <si>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</si>
  <si>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</si>
  <si>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</si>
  <si>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</si>
  <si>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</si>
  <si>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</si>
  <si>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</si>
  <si>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</si>
  <si>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</si>
  <si>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</si>
  <si>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</si>
  <si>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</si>
  <si>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</si>
  <si>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</si>
  <si>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</si>
  <si>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</si>
  <si>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</si>
  <si>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</si>
  <si>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</si>
  <si>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</si>
  <si>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</si>
  <si>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</si>
  <si>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</si>
  <si>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</si>
  <si>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</si>
  <si>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</si>
  <si>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</si>
  <si>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</si>
  <si>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</si>
  <si>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</si>
  <si>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</si>
  <si>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</si>
  <si>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</si>
  <si>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</si>
  <si>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</si>
  <si>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</si>
  <si>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</si>
  <si>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</si>
  <si>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</si>
  <si>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</si>
  <si>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</si>
  <si>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</si>
  <si>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</si>
  <si>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</si>
  <si>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</si>
  <si>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</si>
  <si>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</si>
  <si>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</si>
  <si>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</si>
  <si>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</si>
  <si>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</si>
  <si>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</si>
  <si>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</si>
  <si>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</si>
  <si>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</si>
  <si>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</si>
  <si>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</si>
  <si>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</si>
  <si>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</si>
  <si>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</si>
  <si>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</si>
  <si>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</si>
  <si>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</si>
  <si>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</si>
  <si>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</si>
  <si>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</si>
  <si>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</si>
  <si>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</si>
  <si>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</si>
  <si>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</si>
  <si>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</si>
  <si>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</si>
  <si>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</si>
  <si>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</si>
  <si>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</si>
  <si>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</si>
  <si>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</si>
  <si>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</si>
  <si>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</si>
  <si>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</si>
  <si>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</si>
  <si>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</si>
  <si>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</si>
  <si>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</si>
  <si>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</si>
  <si>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</si>
  <si>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</si>
  <si>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</si>
  <si>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</si>
  <si>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</si>
  <si>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</si>
  <si>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</si>
  <si>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</si>
  <si>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</si>
  <si>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</si>
  <si>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</si>
  <si>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</si>
  <si>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</si>
  <si>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</si>
  <si>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</si>
  <si>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</si>
  <si>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</si>
  <si>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</si>
  <si>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</si>
  <si>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</si>
  <si>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</si>
  <si>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</si>
  <si>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</si>
  <si>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</si>
  <si>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</si>
  <si>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</si>
  <si>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</si>
  <si>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</si>
  <si>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</si>
  <si>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</si>
  <si>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</si>
  <si>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</si>
  <si>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</si>
  <si>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</si>
  <si>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</si>
  <si>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</si>
  <si>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</si>
  <si>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</si>
  <si>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</si>
  <si>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</si>
  <si>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</si>
  <si>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</si>
  <si>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</si>
  <si>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</si>
  <si>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</si>
  <si>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</si>
  <si>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KONSTANTINOS KRANIOTIS</t>
  </si>
  <si>
    <t>ANASTASIOS KARIOFYLIS</t>
  </si>
  <si>
    <t>ATHINA KAROUMPALOU</t>
  </si>
  <si>
    <t>ANGELOS KALOGERAKOS</t>
  </si>
  <si>
    <t>MINAS SOLON</t>
  </si>
  <si>
    <t>ORIOL GARCIA</t>
  </si>
  <si>
    <t>00:59</t>
  </si>
  <si>
    <t>01:44</t>
  </si>
  <si>
    <t>04:22</t>
  </si>
  <si>
    <t>01:47</t>
  </si>
  <si>
    <t xml:space="preserve">Good attitude, good procedures. On criteria 3 missing actions, two of them hard to see on court. Great job and decisions by the shot clock operator in difficult situations.  </t>
  </si>
  <si>
    <t>C:\Users\oriol.garcia\OneDrive - EUROLEAGUE\Documents\Season 25-26\Reports\Euroleague\Olympiacos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</si>
</sst>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33" sqref="N33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25_244_OLY_BAR_E2025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244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46051.885416666664</v>
      </c>
      <c r="C3" s="157"/>
      <c r="D3" s="39">
        <v>566</v>
      </c>
      <c r="E3" s="29"/>
      <c r="F3" s="26">
        <f>SUBTOTAL(3,I17:I106)</f>
        <v>5</v>
      </c>
      <c r="G3" s="27">
        <f>IF(OR(D3="",D3=0),"",F3/D3)</f>
        <v>8.8339222614840993E-3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Olympiacos Piraeus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OLY</v>
      </c>
      <c r="I4" s="5"/>
      <c r="J4" s="119" t="s">
        <v>714</v>
      </c>
      <c r="K4" s="54" t="s">
        <v>743</v>
      </c>
      <c r="L4" s="5"/>
      <c r="M4" s="167" t="s">
        <v>760</v>
      </c>
      <c r="N4" s="168"/>
      <c r="O4" s="2"/>
      <c r="P4" s="2"/>
      <c r="Q4" s="84" t="s">
        <v>175</v>
      </c>
      <c r="R4" s="94">
        <f>(IF(G3="",0,G3))</f>
        <v>8.8339222614840993E-3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3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FC Barcelona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BAR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0.88339222614840995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7.5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10.883392226148409</v>
      </c>
      <c r="N7" s="58"/>
      <c r="O7" s="2"/>
      <c r="P7" s="2"/>
      <c r="Q7" s="86">
        <f>SUM(R5,S5,AC16)</f>
        <v>10.883392226148409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10.883392226148409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734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244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10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244</v>
      </c>
      <c r="D17" s="32" t="s">
        <v>756</v>
      </c>
      <c r="E17" s="33">
        <v>2</v>
      </c>
      <c r="F17" s="36">
        <v>44</v>
      </c>
      <c r="G17" s="36">
        <v>35</v>
      </c>
      <c r="H17" s="38" t="str">
        <f>IF(I17="","",$I$14)</f>
        <v>SCOUTING</v>
      </c>
      <c r="I17" s="34">
        <v>251</v>
      </c>
      <c r="J17" s="13" t="s">
        <v>4</v>
      </c>
      <c r="K17" s="13" t="s">
        <v>63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244</v>
      </c>
      <c r="D18" s="32" t="s">
        <v>757</v>
      </c>
      <c r="E18" s="33">
        <v>3</v>
      </c>
      <c r="F18" s="36">
        <v>56</v>
      </c>
      <c r="G18" s="36">
        <v>58</v>
      </c>
      <c r="H18" s="38" t="str">
        <f t="shared" ref="H18:H81" si="8">IF(I18="","",$I$14)</f>
        <v>SCOUTING</v>
      </c>
      <c r="I18" s="34">
        <v>358</v>
      </c>
      <c r="J18" s="13" t="s">
        <v>4</v>
      </c>
      <c r="K18" s="13" t="s">
        <v>61</v>
      </c>
      <c r="L18" s="13" t="s">
        <v>7</v>
      </c>
      <c r="M18" s="13" t="s">
        <v>26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244</v>
      </c>
      <c r="D19" s="32" t="s">
        <v>757</v>
      </c>
      <c r="E19" s="33">
        <v>3</v>
      </c>
      <c r="F19" s="36">
        <v>56</v>
      </c>
      <c r="G19" s="36">
        <v>58</v>
      </c>
      <c r="H19" s="38" t="str">
        <f t="shared" si="8"/>
        <v>SCOUTING</v>
      </c>
      <c r="I19" s="34">
        <v>359</v>
      </c>
      <c r="J19" s="13" t="s">
        <v>4</v>
      </c>
      <c r="K19" s="13" t="s">
        <v>61</v>
      </c>
      <c r="L19" s="13" t="s">
        <v>7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2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244</v>
      </c>
      <c r="D20" s="32" t="s">
        <v>758</v>
      </c>
      <c r="E20" s="33">
        <v>4</v>
      </c>
      <c r="F20" s="36">
        <v>69</v>
      </c>
      <c r="G20" s="36">
        <v>68</v>
      </c>
      <c r="H20" s="38" t="str">
        <f t="shared" si="8"/>
        <v>SCOUTING</v>
      </c>
      <c r="I20" s="34">
        <v>473</v>
      </c>
      <c r="J20" s="13" t="s">
        <v>4</v>
      </c>
      <c r="K20" s="13" t="s">
        <v>62</v>
      </c>
      <c r="L20" s="13" t="s">
        <v>7</v>
      </c>
      <c r="M20" s="13" t="s">
        <v>10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244</v>
      </c>
      <c r="D21" s="32" t="s">
        <v>759</v>
      </c>
      <c r="E21" s="33">
        <v>2</v>
      </c>
      <c r="F21" s="36">
        <v>42</v>
      </c>
      <c r="G21" s="36">
        <v>32</v>
      </c>
      <c r="H21" s="38" t="str">
        <f t="shared" si="8"/>
        <v>SCOUTING</v>
      </c>
      <c r="I21" s="34">
        <v>237</v>
      </c>
      <c r="J21" s="13" t="s">
        <v>4</v>
      </c>
      <c r="K21" s="13" t="s">
        <v>63</v>
      </c>
      <c r="L21" s="13" t="s">
        <v>48</v>
      </c>
      <c r="M21" s="13" t="s">
        <v>10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3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3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REPORT_E2025244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"E2025244"</v>
      </c>
      <c r="F3" s="45" t="str">
        <f t="shared" ref="F3:F16" si="0">""""&amp;B3&amp;"""" &amp; " : " &amp;C3&amp;","</f>
        <v>"name" : "E2025244",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"E244"</v>
      </c>
      <c r="F4" s="45" t="str">
        <f t="shared" si="0"/>
        <v>"cod" : "E244",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244</v>
      </c>
      <c r="F6" s="45" t="str">
        <f t="shared" si="0"/>
        <v>"number" : 244,</v>
      </c>
    </row>
    <row r="7" spans="2:6" x14ac:dyDescent="0.25">
      <c r="B7" s="43" t="s">
        <v>116</v>
      </c>
      <c r="C7" s="43" t="str">
        <f ca="1">""""&amp;TEXT('SCOUT &amp; LOGISTICS'!B3,"dd/mm/aaaa")&amp;""""</f>
        <v>"29/01/Thursday"</v>
      </c>
      <c r="F7" s="45" t="str">
        <f t="shared" ca="1" si="0"/>
        <v>"date" : "29/01/Thursday",</v>
      </c>
    </row>
    <row r="8" spans="2:6" x14ac:dyDescent="0.25">
      <c r="B8" s="43" t="s">
        <v>125</v>
      </c>
      <c r="C8" s="43" t="str">
        <f>""""&amp;'SCOUT &amp; LOGISTICS'!D4 &amp;""""</f>
        <v>"Olympiacos Piraeus"</v>
      </c>
      <c r="F8" s="45" t="str">
        <f t="shared" si="0"/>
        <v>"home_team" : "Olympiacos Piraeus",</v>
      </c>
    </row>
    <row r="9" spans="2:6" x14ac:dyDescent="0.25">
      <c r="B9" s="43" t="s">
        <v>126</v>
      </c>
      <c r="C9" s="43" t="str">
        <f>""""&amp;'SCOUT &amp; LOGISTICS'!D5&amp;""""</f>
        <v>"FC Barcelona"</v>
      </c>
      <c r="F9" s="45" t="str">
        <f t="shared" si="0"/>
        <v>"away_team" : "FC Barcelona",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"KONSTANTINOS KRANIOTIS"</v>
      </c>
      <c r="F10" s="45" t="str">
        <f t="shared" si="0"/>
        <v>"Data_entry" : "KONSTANTINOS KRANIOTIS",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"ANASTASIOS KARIOFYLIS"</v>
      </c>
      <c r="F11" s="45" t="str">
        <f t="shared" si="0"/>
        <v>"Caller_1" : "ANASTASIOS KARIOFYLIS",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"ATHINA KAROUMPALOU"</v>
      </c>
      <c r="F12" s="45" t="str">
        <f t="shared" si="0"/>
        <v>"Caller_2" : "ATHINA KAROUMPALOU",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"ANGELOS KALOGERAKOS"</v>
      </c>
      <c r="F13" s="45" t="str">
        <f t="shared" si="0"/>
        <v>"Timerkeeper" : "ANGELOS KALOGERAKOS",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"MINAS SOLON"</v>
      </c>
      <c r="F14" s="45" t="str">
        <f t="shared" si="0"/>
        <v>"Shotclock" : "MINAS SOLON",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"KONSTANTINOS TROUPIS"</v>
      </c>
      <c r="F15" s="45" t="str">
        <f t="shared" si="0"/>
        <v>"IRS" : "KONSTANTINOS TROUPIS",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566</v>
      </c>
      <c r="F25" s="45" t="str">
        <f t="shared" ref="F25:F48" si="1">""""&amp;C25&amp;"""" &amp; " : " &amp;D25&amp;","</f>
        <v>"total_actions" : 566,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2</v>
      </c>
      <c r="F30" s="45" t="str">
        <f t="shared" si="1"/>
        <v>"away_team" : 2,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3</v>
      </c>
      <c r="F46" s="45" t="str">
        <f t="shared" si="1"/>
        <v>"part_of_a_sequence" : 3,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attitude, good procedures. On criteria 3 missing actions, two of them hard to see on court. Great job and decisions by the shot clock operator in difficult situations.  "</v>
      </c>
      <c r="F51" s="45" t="str">
        <f>""""&amp;B51&amp;"""" &amp; " : " &amp;C51&amp;","</f>
        <v>"comments" : "Good attitude, good procedures. On criteria 3 missing actions, two of them hard to see on court. Great job and decisions by the shot clock operator in difficult situations.  ",</v>
      </c>
    </row>
    <row r="52" spans="2:6" x14ac:dyDescent="0.25">
      <c r="B52" s="43" t="s">
        <v>153</v>
      </c>
      <c r="C52" s="43" t="str">
        <f>TEXT('SCOUT &amp; LOGISTICS'!F1,"0,0")</f>
        <v>25_244_OLY_BAR_E2025</v>
      </c>
      <c r="F52" s="45" t="str">
        <f>""""&amp;B52&amp;"""" &amp; " : " &amp;C52</f>
        <v>"result" : 25_244_OLY_BAR_E2025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E244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29/01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Olympiacos Piraeus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Fc Barcelona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KONSTANTINOS KRANIOTIS</v>
      </c>
      <c r="C8" s="206"/>
      <c r="D8" s="206"/>
      <c r="E8" s="206"/>
      <c r="F8" s="206"/>
      <c r="G8" s="206" t="str">
        <f>IF('SCOUT &amp; LOGISTICS'!D7="","",'SCOUT &amp; LOGISTICS'!D7)</f>
        <v>ANASTASIOS KARIOFYLIS</v>
      </c>
      <c r="H8" s="206"/>
      <c r="I8" s="206"/>
      <c r="J8" s="206"/>
      <c r="K8" s="206"/>
      <c r="L8" s="206" t="str">
        <f>IF('SCOUT &amp; LOGISTICS'!D8="","",'SCOUT &amp; LOGISTICS'!D8)</f>
        <v>ATHINA KAROUMPALOU</v>
      </c>
      <c r="M8" s="206"/>
      <c r="N8" s="206"/>
      <c r="O8" s="206"/>
      <c r="P8" s="206"/>
      <c r="Q8" s="206" t="str">
        <f>IF('SCOUT &amp; LOGISTICS'!D9="","",'SCOUT &amp; LOGISTICS'!D9)</f>
        <v>ANGELOS KALOGERAKOS</v>
      </c>
      <c r="R8" s="206"/>
      <c r="S8" s="206"/>
      <c r="T8" s="206"/>
      <c r="U8" s="206"/>
      <c r="V8" s="206" t="str">
        <f>IF('SCOUT &amp; LOGISTICS'!D10="","",'SCOUT &amp; LOGISTICS'!D10)</f>
        <v>MINAS SOLON</v>
      </c>
      <c r="W8" s="206"/>
      <c r="X8" s="206"/>
      <c r="Y8" s="206"/>
      <c r="Z8" s="206"/>
      <c r="AA8" s="206" t="str">
        <f>IF('SCOUT &amp; LOGISTICS'!D11="","",'SCOUT &amp; LOGISTICS'!D11)</f>
        <v>KONSTANTINOS TROUPIS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566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8.8339222614840993E-3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2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3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1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 xml:space="preserve">Good attitude, good procedures. On criteria 3 missing actions, two of them hard to see on court. Great job and decisions by the shot clock operator in difficult situations. 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10.883392226148409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56D521C-D0AB-4104-822F-0363BC31B51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2026-02-16T09:44:06Z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