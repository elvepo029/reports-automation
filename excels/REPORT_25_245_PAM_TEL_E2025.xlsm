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B0BC9A29-4327-4924-AF0A-0BF90AF07A8B}" xr6:coauthVersionLast="47" xr6:coauthVersionMax="47" xr10:uidLastSave="{CEA09C4F-E8BD-44B1-9200-D1BAE772F5A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<sst xmlns="http://schemas.openxmlformats.org/spreadsheetml/2006/main" count="3245" uniqueCount="759">
  <si>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</si>
  <si>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</si>
  <si>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</si>
  <si>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</si>
  <si>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</si>
  <si>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</si>
  <si>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</si>
  <si>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</si>
  <si>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</si>
  <si>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</si>
  <si>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</si>
  <si>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</si>
  <si>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</si>
  <si>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</si>
  <si>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</si>
  <si>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</si>
  <si>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</si>
  <si>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</si>
  <si>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</si>
  <si>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</si>
  <si>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</si>
  <si>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</si>
  <si>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</si>
  <si>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</si>
  <si>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</si>
  <si>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</si>
  <si>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</si>
  <si>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</si>
  <si>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</si>
  <si>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</si>
  <si>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</si>
  <si>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</si>
  <si>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</si>
  <si>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</si>
  <si>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</si>
  <si>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</si>
  <si>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</si>
  <si>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</si>
  <si>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</si>
  <si>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</si>
  <si>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</si>
  <si>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</si>
  <si>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</si>
  <si>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</si>
  <si>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</si>
  <si>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</si>
  <si>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</si>
  <si>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</si>
  <si>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</si>
  <si>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</si>
  <si>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</si>
  <si>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</si>
  <si>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</si>
  <si>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</si>
  <si>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</si>
  <si>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</si>
  <si>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</si>
  <si>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</si>
  <si>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</si>
  <si>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</si>
  <si>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</si>
  <si>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</si>
  <si>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</si>
  <si>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</si>
  <si>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</si>
  <si>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</si>
  <si>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</si>
  <si>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</si>
  <si>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</si>
  <si>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</si>
  <si>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</si>
  <si>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</si>
  <si>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</si>
  <si>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</si>
  <si>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</si>
  <si>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</si>
  <si>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</si>
  <si>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</si>
  <si>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</si>
  <si>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</si>
  <si>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</si>
  <si>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</si>
  <si>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</si>
  <si>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</si>
  <si>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</si>
  <si>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</si>
  <si>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</si>
  <si>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</si>
  <si>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</si>
  <si>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</si>
  <si>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</si>
  <si>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</si>
  <si>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</si>
  <si>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</si>
  <si>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</si>
  <si>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</si>
  <si>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</si>
  <si>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</si>
  <si>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</si>
  <si>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</si>
  <si>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</si>
  <si>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</si>
  <si>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</si>
  <si>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</si>
  <si>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</si>
  <si>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</si>
  <si>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</si>
  <si>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</si>
  <si>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</si>
  <si>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</si>
  <si>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</si>
  <si>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</si>
  <si>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</si>
  <si>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</si>
  <si>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</si>
  <si>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</si>
  <si>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</si>
  <si>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</si>
  <si>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</si>
  <si>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</si>
  <si>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</si>
  <si>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</si>
  <si>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</si>
  <si>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</si>
  <si>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</si>
  <si>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</si>
  <si>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</si>
  <si>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</si>
  <si>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</si>
  <si>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</si>
  <si>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</si>
  <si>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</si>
  <si>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</si>
  <si>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</si>
  <si>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</si>
  <si>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</si>
  <si>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</si>
  <si>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</si>
  <si>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</si>
  <si>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</si>
  <si>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</si>
  <si>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</si>
  <si>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</si>
  <si>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</si>
  <si>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</si>
  <si>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</si>
  <si>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</si>
  <si>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</si>
  <si>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</si>
  <si>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</si>
  <si>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</si>
  <si>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</si>
  <si>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</si>
  <si>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</si>
  <si>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</si>
  <si>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</si>
  <si>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</si>
  <si>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</si>
  <si>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</si>
  <si>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</si>
  <si>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</si>
  <si>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</si>
  <si>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</si>
  <si>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</si>
  <si>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</si>
  <si>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</si>
  <si>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</si>
  <si>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</si>
  <si>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</si>
  <si>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</si>
  <si>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</si>
  <si>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</si>
  <si>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</si>
  <si>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</si>
  <si>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</si>
  <si>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</si>
  <si>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</si>
  <si>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</si>
  <si>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</si>
  <si>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</si>
  <si>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</si>
  <si>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</si>
  <si>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</si>
  <si>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</si>
  <si>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</si>
  <si>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</si>
  <si>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</si>
  <si>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</si>
  <si>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</si>
  <si>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</si>
  <si>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</si>
  <si>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</si>
  <si>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</si>
  <si>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</si>
  <si>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</si>
  <si>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</si>
  <si>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</si>
  <si>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</si>
  <si>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</si>
  <si>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</si>
  <si>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</si>
  <si>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</si>
  <si>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</si>
  <si>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</si>
  <si>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</si>
  <si>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</si>
  <si>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</si>
  <si>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</si>
  <si>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</si>
  <si>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</si>
  <si>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</si>
  <si>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</si>
  <si>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</si>
  <si>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</si>
  <si>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</si>
  <si>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</si>
  <si>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</si>
  <si>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</si>
  <si>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</si>
  <si>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</si>
  <si>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</si>
  <si>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</si>
  <si>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</si>
  <si>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</si>
  <si>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</si>
  <si>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</si>
  <si>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</si>
  <si>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</si>
  <si>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</si>
  <si>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</si>
  <si>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</si>
  <si>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</si>
  <si>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</si>
  <si>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</si>
  <si>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</si>
  <si>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</si>
  <si>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</si>
  <si>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</si>
  <si>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</si>
  <si>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</si>
  <si>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</si>
  <si>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</si>
  <si>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</si>
  <si>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</si>
  <si>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</si>
  <si>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</si>
  <si>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</si>
  <si>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</si>
  <si>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</si>
  <si>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</si>
  <si>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</si>
  <si>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</si>
  <si>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</si>
  <si>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</si>
  <si>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</si>
  <si>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</si>
  <si>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</si>
  <si>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</si>
  <si>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</si>
  <si>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</si>
  <si>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</si>
  <si>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</si>
  <si>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</si>
  <si>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</si>
  <si>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</si>
  <si>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</si>
  <si>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</si>
  <si>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</si>
  <si>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</si>
  <si>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</si>
  <si>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</si>
  <si>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</si>
  <si>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</si>
  <si>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</si>
  <si>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</si>
  <si>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</si>
  <si>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</si>
  <si>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</si>
  <si>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</si>
  <si>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</si>
  <si>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</si>
  <si>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</si>
  <si>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</si>
  <si>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</si>
  <si>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</si>
  <si>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</si>
  <si>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</si>
  <si>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</si>
  <si>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</si>
  <si>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</si>
  <si>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</si>
  <si>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</si>
  <si>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</si>
  <si>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</si>
  <si>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</si>
  <si>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</si>
  <si>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</si>
  <si>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</si>
  <si>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</si>
  <si>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</si>
  <si>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</si>
  <si>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</si>
  <si>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</si>
  <si>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</si>
  <si>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</si>
  <si>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</si>
  <si>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</si>
  <si>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</si>
  <si>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</si>
  <si>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</si>
  <si>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</si>
  <si>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</si>
  <si>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</si>
  <si>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</si>
  <si>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</si>
  <si>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</si>
  <si>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</si>
  <si>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</si>
  <si>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</si>
  <si>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</si>
  <si>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</si>
  <si>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</si>
  <si>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</si>
  <si>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</si>
  <si>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</si>
  <si>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</si>
  <si>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</si>
  <si>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</si>
  <si>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</si>
  <si>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</si>
  <si>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</si>
  <si>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</si>
  <si>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</si>
  <si>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</si>
  <si>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</si>
  <si>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</si>
  <si>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</si>
  <si>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</si>
  <si>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</si>
  <si>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</si>
  <si>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</si>
  <si>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</si>
  <si>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</si>
  <si>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</si>
  <si>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</si>
  <si>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</si>
  <si>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</si>
  <si>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</si>
  <si>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</si>
  <si>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</si>
  <si>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</si>
  <si>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</si>
  <si>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</si>
  <si>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</si>
  <si>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</si>
  <si>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</si>
  <si>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</si>
  <si>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</si>
  <si>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</si>
  <si>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</si>
  <si>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</si>
  <si>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</si>
  <si>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</si>
  <si>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</si>
  <si>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</si>
  <si>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</si>
  <si>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</si>
  <si>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</si>
  <si>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</si>
  <si>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</si>
  <si>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</si>
  <si>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</si>
  <si>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</si>
  <si>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</si>
  <si>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</si>
  <si>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</si>
  <si>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</si>
  <si>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</si>
  <si>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</si>
  <si>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</si>
  <si>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</si>
  <si>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</si>
  <si>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</si>
  <si>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</si>
  <si>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</si>
  <si>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</si>
  <si>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</si>
  <si>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</si>
  <si>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</si>
  <si>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</si>
  <si>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</si>
  <si>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</si>
  <si>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</si>
  <si>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</si>
  <si>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</si>
  <si>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</si>
  <si>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</si>
  <si>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</si>
  <si>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</si>
  <si>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</si>
  <si>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</si>
  <si>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</si>
  <si>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</si>
  <si>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</si>
  <si>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</si>
  <si>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</si>
  <si>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</si>
  <si>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</si>
  <si>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</si>
  <si>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</si>
  <si>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</si>
  <si>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</si>
  <si>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</si>
  <si>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</si>
  <si>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</si>
  <si>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</si>
  <si>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</si>
  <si>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</si>
  <si>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</si>
  <si>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</si>
  <si>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</si>
  <si>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</si>
  <si>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</si>
  <si>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</si>
  <si>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</si>
  <si>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</si>
  <si>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</si>
  <si>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</si>
  <si>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</si>
  <si>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</si>
  <si>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</si>
  <si>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</si>
  <si>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</si>
  <si>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</si>
  <si>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</si>
  <si>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</si>
  <si>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</si>
  <si>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</si>
  <si>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</si>
  <si>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</si>
  <si>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</si>
  <si>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</si>
  <si>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</si>
  <si>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</si>
  <si>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</si>
  <si>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</si>
  <si>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</si>
  <si>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</si>
  <si>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</si>
  <si>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</si>
  <si>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</si>
  <si>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</si>
  <si>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</si>
  <si>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</si>
  <si>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</si>
  <si>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</si>
  <si>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</si>
  <si>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</si>
  <si>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</si>
  <si>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</si>
  <si>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</si>
  <si>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</si>
  <si>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</si>
  <si>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</si>
  <si>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</si>
  <si>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</si>
  <si>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</si>
  <si>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</si>
  <si>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</si>
  <si>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</si>
  <si>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</si>
  <si>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</si>
  <si>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</si>
  <si>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</si>
  <si>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</si>
  <si>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</si>
  <si>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</si>
  <si>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</si>
  <si>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</si>
  <si>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</si>
  <si>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</si>
  <si>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</si>
  <si>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</si>
  <si>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</si>
  <si>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</si>
  <si>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</si>
  <si>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</si>
  <si>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</si>
  <si>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</si>
  <si>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</si>
  <si>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</si>
  <si>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</si>
  <si>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</si>
  <si>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</si>
  <si>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</si>
  <si>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</si>
  <si>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</si>
  <si>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</si>
  <si>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</si>
  <si>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</si>
  <si>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</si>
  <si>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</si>
  <si>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</si>
  <si>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</si>
  <si>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</si>
  <si>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</si>
  <si>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</si>
  <si>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</si>
  <si>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</si>
  <si>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</si>
  <si>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</si>
  <si>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</si>
  <si>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</si>
  <si>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</si>
  <si>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</si>
  <si>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</si>
  <si>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</si>
  <si>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</si>
  <si>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</si>
  <si>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</si>
  <si>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</si>
  <si>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</si>
  <si>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</si>
  <si>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</si>
  <si>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</si>
  <si>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</si>
  <si>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</si>
  <si>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</si>
  <si>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</si>
  <si>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</si>
  <si>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</si>
  <si>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</si>
  <si>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</si>
  <si>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</si>
  <si>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</si>
  <si>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</si>
  <si>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</si>
  <si>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</si>
  <si>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</si>
  <si>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</si>
  <si>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</si>
  <si>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</si>
  <si>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</si>
  <si>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</si>
  <si>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</si>
  <si>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</si>
  <si>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</si>
  <si>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</si>
  <si>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</si>
  <si>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</si>
  <si>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</si>
  <si>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</si>
  <si>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</si>
  <si>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</si>
  <si>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</si>
  <si>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</si>
  <si>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</si>
  <si>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</si>
  <si>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</si>
  <si>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</si>
  <si>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</si>
  <si>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</si>
  <si>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</si>
  <si>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</si>
  <si>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</si>
  <si>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</si>
  <si>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</si>
  <si>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</si>
  <si>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</si>
  <si>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</si>
  <si>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</si>
  <si>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</si>
  <si>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</si>
  <si>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</si>
  <si>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</si>
  <si>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</si>
  <si>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</si>
  <si>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</si>
  <si>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</si>
  <si>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</si>
  <si>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</si>
  <si>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</si>
  <si>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</si>
  <si>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</si>
  <si>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</si>
  <si>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</si>
  <si>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</si>
  <si>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</si>
  <si>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</si>
  <si>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</si>
  <si>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</si>
  <si>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</si>
  <si>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</si>
  <si>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</si>
  <si>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</si>
  <si>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</si>
  <si>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</si>
  <si>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</si>
  <si>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</si>
  <si>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</si>
  <si>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</si>
  <si>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</si>
  <si>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</si>
  <si>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</si>
  <si>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</si>
  <si>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</si>
  <si>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</si>
  <si>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</si>
  <si>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</si>
  <si>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</si>
  <si>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</si>
  <si>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</si>
  <si>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</si>
  <si>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</si>
  <si>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</si>
  <si>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</si>
  <si>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</si>
  <si>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</si>
  <si>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</si>
  <si>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</si>
  <si>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</si>
  <si>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</si>
  <si>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</si>
  <si>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</si>
  <si>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</si>
  <si>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</si>
  <si>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</si>
  <si>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</si>
  <si>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</si>
  <si>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</si>
  <si>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</si>
  <si>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</si>
  <si>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</si>
  <si>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</si>
  <si>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</si>
  <si>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</si>
  <si>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</si>
  <si>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</si>
  <si>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</si>
  <si>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</si>
  <si>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</si>
  <si>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</si>
  <si>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</si>
  <si>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</si>
  <si>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</si>
  <si>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</si>
  <si>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</si>
  <si>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</si>
  <si>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</si>
  <si>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</si>
  <si>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</si>
  <si>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</si>
  <si>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</si>
  <si>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</si>
  <si>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</si>
  <si>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</si>
  <si>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</si>
  <si>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</si>
  <si>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</si>
  <si>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</si>
  <si>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</si>
  <si>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</si>
  <si>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</si>
  <si>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</si>
  <si>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</si>
  <si>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</si>
  <si>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</si>
  <si>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</si>
  <si>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</si>
  <si>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</si>
  <si>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</si>
  <si>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</si>
  <si>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</si>
  <si>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</si>
  <si>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</si>
  <si>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</si>
  <si>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</si>
  <si>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</si>
  <si>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</si>
  <si>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</si>
  <si>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</si>
  <si>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</si>
  <si>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</si>
  <si>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</si>
  <si>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</si>
  <si>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</si>
  <si>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</si>
  <si>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</si>
  <si>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</si>
  <si>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</si>
  <si>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</si>
  <si>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</si>
  <si>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</si>
  <si>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</si>
  <si>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</si>
  <si>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</si>
  <si>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</si>
  <si>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</si>
  <si>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</si>
  <si>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</si>
  <si>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</si>
  <si>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</si>
  <si>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</si>
  <si>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</si>
  <si>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</si>
  <si>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</si>
  <si>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</si>
  <si>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</si>
  <si>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</si>
  <si>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</si>
  <si>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</si>
  <si>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</si>
  <si>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</si>
  <si>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</si>
  <si>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</si>
  <si>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</si>
  <si>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</si>
  <si>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</si>
  <si>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</si>
  <si>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</si>
  <si>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</si>
  <si>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</si>
  <si>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</si>
  <si>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</si>
  <si>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</si>
  <si>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</si>
  <si>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</si>
  <si>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</si>
  <si>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</si>
  <si>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</si>
  <si>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</si>
  <si>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</si>
  <si>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</si>
  <si>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</si>
  <si>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</si>
  <si>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</si>
  <si>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</si>
  <si>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</si>
  <si>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</si>
  <si>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</si>
  <si>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</si>
  <si>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</si>
  <si>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</si>
  <si>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</si>
  <si>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</si>
  <si>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</si>
  <si>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</si>
  <si>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</si>
  <si>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</si>
  <si>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</si>
  <si>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</si>
  <si>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Very good job! Keep it up!</t>
  </si>
  <si>
    <t>JACOBO LAPRESTA</t>
  </si>
  <si>
    <t>JOSE VICENTE ARQUES</t>
  </si>
  <si>
    <t>JOSE ANTONIO RODRIGUEZ</t>
  </si>
  <si>
    <t>DIEGO RUIZ</t>
  </si>
  <si>
    <t>CRISTINA TORRES</t>
  </si>
  <si>
    <t>BORJA RODRIGUEZ</t>
  </si>
  <si>
    <t>HECTOR GUILLEN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</si>
</sst>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25_245_PAM_TEL_E2025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46051.864583333336</v>
      </c>
      <c r="C3" s="157"/>
      <c r="D3" s="39">
        <v>660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751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"E2025245"</v>
      </c>
      <c r="F3" s="45" t="str">
        <f t="shared" ref="F3:F16" si="0">""""&amp;B3&amp;"""" &amp; " : " &amp;C3&amp;","</f>
        <v>"name" : "E2025245",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"E245"</v>
      </c>
      <c r="F4" s="45" t="str">
        <f t="shared" si="0"/>
        <v>"cod" : "E245",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245</v>
      </c>
      <c r="F6" s="45" t="str">
        <f t="shared" si="0"/>
        <v>"number" : 245,</v>
      </c>
    </row>
    <row r="7" spans="2:6" x14ac:dyDescent="0.25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"DIEGO RUIZ"</v>
      </c>
      <c r="F13" s="45" t="str">
        <f t="shared" si="0"/>
        <v>"Timerkeeper" : "DIEGO RUIZ",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"CRISTINA TORRES"</v>
      </c>
      <c r="F14" s="45" t="str">
        <f t="shared" si="0"/>
        <v>"Shotclock" : "CRISTINA TORRES",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660</v>
      </c>
      <c r="F25" s="45" t="str">
        <f t="shared" ref="F25:F48" si="1">""""&amp;C25&amp;"""" &amp; " : " &amp;D25&amp;","</f>
        <v>"total_actions" : 660,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25_245_PAM_TEL_E2025</v>
      </c>
      <c r="F52" s="45" t="str">
        <f>""""&amp;B52&amp;"""" &amp; " : " &amp;C52</f>
        <v>"result" : 25_245_PAM_TEL_E2025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VICENTE ARQUES</v>
      </c>
      <c r="H8" s="206"/>
      <c r="I8" s="206"/>
      <c r="J8" s="206"/>
      <c r="K8" s="206"/>
      <c r="L8" s="206" t="str">
        <f>IF('SCOUT &amp; LOGISTICS'!D8="","",'SCOUT &amp; LOGISTICS'!D8)</f>
        <v>JOSE ANTONIO RODRIGUEZ</v>
      </c>
      <c r="M8" s="206"/>
      <c r="N8" s="206"/>
      <c r="O8" s="206"/>
      <c r="P8" s="206"/>
      <c r="Q8" s="206" t="str">
        <f>IF('SCOUT &amp; LOGISTICS'!D9="","",'SCOUT &amp; LOGISTICS'!D9)</f>
        <v>DIEGO RUIZ</v>
      </c>
      <c r="R8" s="206"/>
      <c r="S8" s="206"/>
      <c r="T8" s="206"/>
      <c r="U8" s="206"/>
      <c r="V8" s="206" t="str">
        <f>IF('SCOUT &amp; LOGISTICS'!D10="","",'SCOUT &amp; LOGISTICS'!D10)</f>
        <v>CRISTINA TORRES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CC9A2-3742-46E7-8D05-2CB20ACE4E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2026-02-06T21:08:21Z</cp:lastPrinted>
  <dcterms:created xsi:type="dcterms:W3CDTF">2023-09-19T19:50:35Z</dcterms:created>
  <dcterms:modified xsi:type="dcterms:W3CDTF">2026-02-06T21:08:24Z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