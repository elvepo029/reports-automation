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6E93EC4B-696B-435F-BDDA-B2BC32F9E71D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<sst xmlns="http://schemas.openxmlformats.org/spreadsheetml/2006/main" count="3235" uniqueCount="752">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</sst>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25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25_246_MIL_PAR_E2025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246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46051.854166666664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EA7 Emporio Armani Milan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MIL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Partizan Mozzart Bet Belgrade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REPORT_E2025246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"E2025246"</v>
      </c>
      <c r="F3" s="45" t="str">
        <f t="shared" ref="F3:F16" si="0">""""&amp;B3&amp;"""" &amp; " : " &amp;C3&amp;","</f>
        <v>"name" : "E2025246",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"E246"</v>
      </c>
      <c r="F4" s="45" t="str">
        <f t="shared" si="0"/>
        <v>"cod" : "E246",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246</v>
      </c>
      <c r="F6" s="45" t="str">
        <f t="shared" si="0"/>
        <v>"number" : 246,</v>
      </c>
    </row>
    <row r="7" spans="2:6" x14ac:dyDescent="0.2">
      <c r="B7" s="43" t="s">
        <v>116</v>
      </c>
      <c r="C7" s="43" t="str">
        <f ca="1">""""&amp;TEXT('SCOUT &amp; LOGISTICS'!B3,"dd/mm/aaaa")&amp;""""</f>
        <v>"29/01/Thursday"</v>
      </c>
      <c r="F7" s="45" t="str">
        <f t="shared" ca="1" si="0"/>
        <v>"date" : "29/01/Thursday",</v>
      </c>
    </row>
    <row r="8" spans="2:6" x14ac:dyDescent="0.2">
      <c r="B8" s="43" t="s">
        <v>125</v>
      </c>
      <c r="C8" s="43" t="str">
        <f>""""&amp;'SCOUT &amp; LOGISTICS'!D4 &amp;""""</f>
        <v>"EA7 Emporio Armani Milan"</v>
      </c>
      <c r="F8" s="45" t="str">
        <f t="shared" si="0"/>
        <v>"home_team" : "EA7 Emporio Armani Milan",</v>
      </c>
    </row>
    <row r="9" spans="2:6" x14ac:dyDescent="0.2">
      <c r="B9" s="43" t="s">
        <v>126</v>
      </c>
      <c r="C9" s="43" t="str">
        <f>""""&amp;'SCOUT &amp; LOGISTICS'!D5&amp;""""</f>
        <v>"Partizan Mozzart Bet Belgrade"</v>
      </c>
      <c r="F9" s="45" t="str">
        <f t="shared" si="0"/>
        <v>"away_team" : "Partizan Mozzart Bet Belgrade",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25_246_MIL_PAR_E2025</v>
      </c>
      <c r="F52" s="45" t="str">
        <f>""""&amp;B52&amp;"""" &amp; " : " &amp;C52</f>
        <v>"result" : 25_246_MIL_PAR_E2025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E246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29/01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Ea7 Emporio Armani Milan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Partizan Mozzart Bet Belgrade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8F3D221-965D-4862-8B60-B60967DC49EB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