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89DE9C31-A9E7-43FE-BCFA-AF0104087828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<sst xmlns="http://schemas.openxmlformats.org/spreadsheetml/2006/main" count="3250" uniqueCount="759">
  <si>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</si>
  <si>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</si>
  <si>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</si>
  <si>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</si>
  <si>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</si>
  <si>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</si>
  <si>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</si>
  <si>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</si>
  <si>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</si>
  <si>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</si>
  <si>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</si>
  <si>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</si>
  <si>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</si>
  <si>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</si>
  <si>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</si>
  <si>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</si>
  <si>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</si>
  <si>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</si>
  <si>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</si>
  <si>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</si>
  <si>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</si>
  <si>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</si>
  <si>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</si>
  <si>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</si>
  <si>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</si>
  <si>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</si>
  <si>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</si>
  <si>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</si>
  <si>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</si>
  <si>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</si>
  <si>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</si>
  <si>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</si>
  <si>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</si>
  <si>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</si>
  <si>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</si>
  <si>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</si>
  <si>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</si>
  <si>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</si>
  <si>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</si>
  <si>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</si>
  <si>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</si>
  <si>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</si>
  <si>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</si>
  <si>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</si>
  <si>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</si>
  <si>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</si>
  <si>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</si>
  <si>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</si>
  <si>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</si>
  <si>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</si>
  <si>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</si>
  <si>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</si>
  <si>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</si>
  <si>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</si>
  <si>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</si>
  <si>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</si>
  <si>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</si>
  <si>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</si>
  <si>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</si>
  <si>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</si>
  <si>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</si>
  <si>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</si>
  <si>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</si>
  <si>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</si>
  <si>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</si>
  <si>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</si>
  <si>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</si>
  <si>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</si>
  <si>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</si>
  <si>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</si>
  <si>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</si>
  <si>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</si>
  <si>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</si>
  <si>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</si>
  <si>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</si>
  <si>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</si>
  <si>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</si>
  <si>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</si>
  <si>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</si>
  <si>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</si>
  <si>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</si>
  <si>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</si>
  <si>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</si>
  <si>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</si>
  <si>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</si>
  <si>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</si>
  <si>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</si>
  <si>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</si>
  <si>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</si>
  <si>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</si>
  <si>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</si>
  <si>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</si>
  <si>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</si>
  <si>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</si>
  <si>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</si>
  <si>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</si>
  <si>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</si>
  <si>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</si>
  <si>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</si>
  <si>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</si>
  <si>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</si>
  <si>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</si>
  <si>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</si>
  <si>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</si>
  <si>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</si>
  <si>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</si>
  <si>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</si>
  <si>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</si>
  <si>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</si>
  <si>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</si>
  <si>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</si>
  <si>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</si>
  <si>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</si>
  <si>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</si>
  <si>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</si>
  <si>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</si>
  <si>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</si>
  <si>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</si>
  <si>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</si>
  <si>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</si>
  <si>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</si>
  <si>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</si>
  <si>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</si>
  <si>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</si>
  <si>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</si>
  <si>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</si>
  <si>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</si>
  <si>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</si>
  <si>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</si>
  <si>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</si>
  <si>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</si>
  <si>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</si>
  <si>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</si>
  <si>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</si>
  <si>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</si>
  <si>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</si>
  <si>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</si>
  <si>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</si>
  <si>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</si>
  <si>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</si>
  <si>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</si>
  <si>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</si>
  <si>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</si>
  <si>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</si>
  <si>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</si>
  <si>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</si>
  <si>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</si>
  <si>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</si>
  <si>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</si>
  <si>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</si>
  <si>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</si>
  <si>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</si>
  <si>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</si>
  <si>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</si>
  <si>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</si>
  <si>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</si>
  <si>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</si>
  <si>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</si>
  <si>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</si>
  <si>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</si>
  <si>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</si>
  <si>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</si>
  <si>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</si>
  <si>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</si>
  <si>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</si>
  <si>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</si>
  <si>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</si>
  <si>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</si>
  <si>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</si>
  <si>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</si>
  <si>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</si>
  <si>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</si>
  <si>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</si>
  <si>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</si>
  <si>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</si>
  <si>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</si>
  <si>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</si>
  <si>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</si>
  <si>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</si>
  <si>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</si>
  <si>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</si>
  <si>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</si>
  <si>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</si>
  <si>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</si>
  <si>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</si>
  <si>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</si>
  <si>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</si>
  <si>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</si>
  <si>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</si>
  <si>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</si>
  <si>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</si>
  <si>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</si>
  <si>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</si>
  <si>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</si>
  <si>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</si>
  <si>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</si>
  <si>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</si>
  <si>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</si>
  <si>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</si>
  <si>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</si>
  <si>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</si>
  <si>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</si>
  <si>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</si>
  <si>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</si>
  <si>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</si>
  <si>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</si>
  <si>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</si>
  <si>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</si>
  <si>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</si>
  <si>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</si>
  <si>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</si>
  <si>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</si>
  <si>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</si>
  <si>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</si>
  <si>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</si>
  <si>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</si>
  <si>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</si>
  <si>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</si>
  <si>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</si>
  <si>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</si>
  <si>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</si>
  <si>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</si>
  <si>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</si>
  <si>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</si>
  <si>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</si>
  <si>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</si>
  <si>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</si>
  <si>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</si>
  <si>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</si>
  <si>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</si>
  <si>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</si>
  <si>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</si>
  <si>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</si>
  <si>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</si>
  <si>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</si>
  <si>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</si>
  <si>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</si>
  <si>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</si>
  <si>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</si>
  <si>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</si>
  <si>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</si>
  <si>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</si>
  <si>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</si>
  <si>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</si>
  <si>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</si>
  <si>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</si>
  <si>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</si>
  <si>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</si>
  <si>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</si>
  <si>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</si>
  <si>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</si>
  <si>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</si>
  <si>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</si>
  <si>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</si>
  <si>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</si>
  <si>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</si>
  <si>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</si>
  <si>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</si>
  <si>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</si>
  <si>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</si>
  <si>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</si>
  <si>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</si>
  <si>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</si>
  <si>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</si>
  <si>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</si>
  <si>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</si>
  <si>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</si>
  <si>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</si>
  <si>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</si>
  <si>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</si>
  <si>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</si>
  <si>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</si>
  <si>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</si>
  <si>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</si>
  <si>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</si>
  <si>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</si>
  <si>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</si>
  <si>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</si>
  <si>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</si>
  <si>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</si>
  <si>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</si>
  <si>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</si>
  <si>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</si>
  <si>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</si>
  <si>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</si>
  <si>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</si>
  <si>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</si>
  <si>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</si>
  <si>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</si>
  <si>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</si>
  <si>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</si>
  <si>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</si>
  <si>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</si>
  <si>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</si>
  <si>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</si>
  <si>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</si>
  <si>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</si>
  <si>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</si>
  <si>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</si>
  <si>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</si>
  <si>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</si>
  <si>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</si>
  <si>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</si>
  <si>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</si>
  <si>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</si>
  <si>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</si>
  <si>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</si>
  <si>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</si>
  <si>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</si>
  <si>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</si>
  <si>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</si>
  <si>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</si>
  <si>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</si>
  <si>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</si>
  <si>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</si>
  <si>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</si>
  <si>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</si>
  <si>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</si>
  <si>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</si>
  <si>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</si>
  <si>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</si>
  <si>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</si>
  <si>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</si>
  <si>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</si>
  <si>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</si>
  <si>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</si>
  <si>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</si>
  <si>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</si>
  <si>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</si>
  <si>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</si>
  <si>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</si>
  <si>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</si>
  <si>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</si>
  <si>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</si>
  <si>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</si>
  <si>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</si>
  <si>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</si>
  <si>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</si>
  <si>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</si>
  <si>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</si>
  <si>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</si>
  <si>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</si>
  <si>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</si>
  <si>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</si>
  <si>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</si>
  <si>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</si>
  <si>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</si>
  <si>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</si>
  <si>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</si>
  <si>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</si>
  <si>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</si>
  <si>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</si>
  <si>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</si>
  <si>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</si>
  <si>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</si>
  <si>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</si>
  <si>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</si>
  <si>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</si>
  <si>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</si>
  <si>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</si>
  <si>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</si>
  <si>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</si>
  <si>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</si>
  <si>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</si>
  <si>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</si>
  <si>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</si>
  <si>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</si>
  <si>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</si>
  <si>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</si>
  <si>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</si>
  <si>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</si>
  <si>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</si>
  <si>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</si>
  <si>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</si>
  <si>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</si>
  <si>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</si>
  <si>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</si>
  <si>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</si>
  <si>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</si>
  <si>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</si>
  <si>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</si>
  <si>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</si>
  <si>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</si>
  <si>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</si>
  <si>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</si>
  <si>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</si>
  <si>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</si>
  <si>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</si>
  <si>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</si>
  <si>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</si>
  <si>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</si>
  <si>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</si>
  <si>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</si>
  <si>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</si>
  <si>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</si>
  <si>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</si>
  <si>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</si>
  <si>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</si>
  <si>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</si>
  <si>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</si>
  <si>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</si>
  <si>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</si>
  <si>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</si>
  <si>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</si>
  <si>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</si>
  <si>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</si>
  <si>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</si>
  <si>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</si>
  <si>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</si>
  <si>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</si>
  <si>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</si>
  <si>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</si>
  <si>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</si>
  <si>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</si>
  <si>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</si>
  <si>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</si>
  <si>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</si>
  <si>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</si>
  <si>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</si>
  <si>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</si>
  <si>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</si>
  <si>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</si>
  <si>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</si>
  <si>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</si>
  <si>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</si>
  <si>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</si>
  <si>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</si>
  <si>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</si>
  <si>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</si>
  <si>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</si>
  <si>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</si>
  <si>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</si>
  <si>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</si>
  <si>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</si>
  <si>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</si>
  <si>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</si>
  <si>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</si>
  <si>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</si>
  <si>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</si>
  <si>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</si>
  <si>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</si>
  <si>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</si>
  <si>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</si>
  <si>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</si>
  <si>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</si>
  <si>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</si>
  <si>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</si>
  <si>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</si>
  <si>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</si>
  <si>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</si>
  <si>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</si>
  <si>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</si>
  <si>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</si>
  <si>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</si>
  <si>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</si>
  <si>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</si>
  <si>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</si>
  <si>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</si>
  <si>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</si>
  <si>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</si>
  <si>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</si>
  <si>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</si>
  <si>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</si>
  <si>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</si>
  <si>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</si>
  <si>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</si>
  <si>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</si>
  <si>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</si>
  <si>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</si>
  <si>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</si>
  <si>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</si>
  <si>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</si>
  <si>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</si>
  <si>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</si>
  <si>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</si>
  <si>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</si>
  <si>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</si>
  <si>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</si>
  <si>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</si>
  <si>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</si>
  <si>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</si>
  <si>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</si>
  <si>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</si>
  <si>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</si>
  <si>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</si>
  <si>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</si>
  <si>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</si>
  <si>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</si>
  <si>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</si>
  <si>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</si>
  <si>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</si>
  <si>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</si>
  <si>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</si>
  <si>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</si>
  <si>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</si>
  <si>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</si>
  <si>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</si>
  <si>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</si>
  <si>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</si>
  <si>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</si>
  <si>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</si>
  <si>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</si>
  <si>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</si>
  <si>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</si>
  <si>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</si>
  <si>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</si>
  <si>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</si>
  <si>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</si>
  <si>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</si>
  <si>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</si>
  <si>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</si>
  <si>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</si>
  <si>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</si>
  <si>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</si>
  <si>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</si>
  <si>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</si>
  <si>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</si>
  <si>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</si>
  <si>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</si>
  <si>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</si>
  <si>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</si>
  <si>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</si>
  <si>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</si>
  <si>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</si>
  <si>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</si>
  <si>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</si>
  <si>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</si>
  <si>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</si>
  <si>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</si>
  <si>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</si>
  <si>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</si>
  <si>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</si>
  <si>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</si>
  <si>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</si>
  <si>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</si>
  <si>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</si>
  <si>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</si>
  <si>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</si>
  <si>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</si>
  <si>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</si>
  <si>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</si>
  <si>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</si>
  <si>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</si>
  <si>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</si>
  <si>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</si>
  <si>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</si>
  <si>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</si>
  <si>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</si>
  <si>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</si>
  <si>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</si>
  <si>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</si>
  <si>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</si>
  <si>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</si>
  <si>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</si>
  <si>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</si>
  <si>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</si>
  <si>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</si>
  <si>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</si>
  <si>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</si>
  <si>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</si>
  <si>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</si>
  <si>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</si>
  <si>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</si>
  <si>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</si>
  <si>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</si>
  <si>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</si>
  <si>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</si>
  <si>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</si>
  <si>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</si>
  <si>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</si>
  <si>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</si>
  <si>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</si>
  <si>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</si>
  <si>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</si>
  <si>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</si>
  <si>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</si>
  <si>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</si>
  <si>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</si>
  <si>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</si>
  <si>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</si>
  <si>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</si>
  <si>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</si>
  <si>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</si>
  <si>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</si>
  <si>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</si>
  <si>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</si>
  <si>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</si>
  <si>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</si>
  <si>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</si>
  <si>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</si>
  <si>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</si>
  <si>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</si>
  <si>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</si>
  <si>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</si>
  <si>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</si>
  <si>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</si>
  <si>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</si>
  <si>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</si>
  <si>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</si>
  <si>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</si>
  <si>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</si>
  <si>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</si>
  <si>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</si>
  <si>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</si>
  <si>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</si>
  <si>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</si>
  <si>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</si>
  <si>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</si>
  <si>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</si>
  <si>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</si>
  <si>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</si>
  <si>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</si>
  <si>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</si>
  <si>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</si>
  <si>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</si>
  <si>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</si>
  <si>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</si>
  <si>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</si>
  <si>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</si>
  <si>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</si>
  <si>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</si>
  <si>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</si>
  <si>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</si>
  <si>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</si>
  <si>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</si>
  <si>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</si>
  <si>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</si>
  <si>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</si>
  <si>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</si>
  <si>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</si>
  <si>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</si>
  <si>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</si>
  <si>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</si>
  <si>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</si>
  <si>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</si>
  <si>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</si>
  <si>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</si>
  <si>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</si>
  <si>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</si>
  <si>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</si>
  <si>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</si>
  <si>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</si>
  <si>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</si>
  <si>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</si>
  <si>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</si>
  <si>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</si>
  <si>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</si>
  <si>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</si>
  <si>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</si>
  <si>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</si>
  <si>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</si>
  <si>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</si>
  <si>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</si>
  <si>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</si>
  <si>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</si>
  <si>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</si>
  <si>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</si>
  <si>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</si>
  <si>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</si>
  <si>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</si>
  <si>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</si>
  <si>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</si>
  <si>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</si>
  <si>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</si>
  <si>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</si>
  <si>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</si>
  <si>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</si>
  <si>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</si>
  <si>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</si>
  <si>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</si>
  <si>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</si>
  <si>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</si>
  <si>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</si>
  <si>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</si>
  <si>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</si>
  <si>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</si>
  <si>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</si>
  <si>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</si>
  <si>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</si>
  <si>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</si>
  <si>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</si>
  <si>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</si>
  <si>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</si>
  <si>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</si>
  <si>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</si>
  <si>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</si>
  <si>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</si>
  <si>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</si>
  <si>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</si>
  <si>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</si>
  <si>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</si>
  <si>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</si>
  <si>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</si>
  <si>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</si>
  <si>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</si>
  <si>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</si>
  <si>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</si>
  <si>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</si>
  <si>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</si>
  <si>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</si>
  <si>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</si>
  <si>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</si>
  <si>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</si>
  <si>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</si>
  <si>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</si>
  <si>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</si>
  <si>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</si>
  <si>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</si>
  <si>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</si>
  <si>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</si>
  <si>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</si>
  <si>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</si>
  <si>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</si>
  <si>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</si>
  <si>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</si>
  <si>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</si>
  <si>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</si>
  <si>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</si>
  <si>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</si>
  <si>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</si>
  <si>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</si>
  <si>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</si>
  <si>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</si>
  <si>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</si>
  <si>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</si>
  <si>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</si>
  <si>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</si>
  <si>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</si>
  <si>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</si>
  <si>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</si>
  <si>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</si>
  <si>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</si>
  <si>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</si>
  <si>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</si>
  <si>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</si>
  <si>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</si>
  <si>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</si>
  <si>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</si>
  <si>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</si>
  <si>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</si>
  <si>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</si>
  <si>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</si>
  <si>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</si>
  <si>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</si>
  <si>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</si>
  <si>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</si>
  <si>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</si>
  <si>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</si>
  <si>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</si>
  <si>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</si>
  <si>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</si>
  <si>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6:45</t>
  </si>
  <si>
    <t>Afortunadamente, no hay mucho que decir. Aquella doble jugada fue casi imposible de registrar. Por lo demás, si encontrais huecos para poder corregir algo antes, mucho mejor. Mil gracias por el curro.</t>
  </si>
  <si>
    <t>ANDONI COLMENERO</t>
  </si>
  <si>
    <t>RAQUEL GARCIA-SAMPEDRO</t>
  </si>
  <si>
    <t>LUIS MOULIAA</t>
  </si>
  <si>
    <t>SERGIO CASTRO</t>
  </si>
  <si>
    <t>RODRIGO MENDAZA</t>
  </si>
  <si>
    <t>IKER BASCONES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</si>
</sst>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25_248_BAS_ZAL_E2025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46052.854166666664</v>
      </c>
      <c r="C3" s="157"/>
      <c r="D3" s="39">
        <v>611</v>
      </c>
      <c r="E3" s="29"/>
      <c r="F3" s="26">
        <f>SUBTOTAL(3,I17:I106)</f>
        <v>1</v>
      </c>
      <c r="G3" s="27">
        <f>IF(OR(D3="",D3=0),"",F3/D3)</f>
        <v>1.6366612111292963E-3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1.6366612111292963E-3</v>
      </c>
      <c r="S4" s="61">
        <f>SUM(I13:M13)</f>
        <v>1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0.16366612111292964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3.6636661211129296</v>
      </c>
      <c r="N7" s="58"/>
      <c r="O7" s="2"/>
      <c r="P7" s="2"/>
      <c r="Q7" s="86">
        <f>SUM(R5,S5,AC16)</f>
        <v>3.6636661211129296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3.6636661211129296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248</v>
      </c>
      <c r="D17" s="32" t="s">
        <v>751</v>
      </c>
      <c r="E17" s="33">
        <v>1</v>
      </c>
      <c r="F17" s="36">
        <v>5</v>
      </c>
      <c r="G17" s="36">
        <v>10</v>
      </c>
      <c r="H17" s="38" t="str">
        <f>IF(I17="","",$I$14)</f>
        <v>SCOUTING</v>
      </c>
      <c r="I17" s="34">
        <v>48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REPORT_E2025248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"E2025248"</v>
      </c>
      <c r="F3" s="45" t="str">
        <f t="shared" ref="F3:F16" si="0">""""&amp;B3&amp;"""" &amp; " : " &amp;C3&amp;","</f>
        <v>"name" : "E2025248",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"E248"</v>
      </c>
      <c r="F4" s="45" t="str">
        <f t="shared" si="0"/>
        <v>"cod" : "E248",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248</v>
      </c>
      <c r="F6" s="45" t="str">
        <f t="shared" si="0"/>
        <v>"number" : 248,</v>
      </c>
    </row>
    <row r="7" spans="2:6" x14ac:dyDescent="0.25">
      <c r="B7" s="43" t="s">
        <v>116</v>
      </c>
      <c r="C7" s="43" t="str">
        <f ca="1">""""&amp;TEXT('SCOUT &amp; LOGISTICS'!B3,"dd/mm/aaaa")&amp;""""</f>
        <v>"30/01/2026"</v>
      </c>
      <c r="F7" s="45" t="str">
        <f t="shared" ca="1" si="0"/>
        <v>"date" : "30/01/2026",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"SERGIO CASTRO"</v>
      </c>
      <c r="F13" s="45" t="str">
        <f t="shared" si="0"/>
        <v>"Timerkeeper" : "SERGIO CASTRO",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"RODRIGO MENDAZA"</v>
      </c>
      <c r="F14" s="45" t="str">
        <f t="shared" si="0"/>
        <v>"Shotclock" : "RODRIGO MENDAZA",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611</v>
      </c>
      <c r="F25" s="45" t="str">
        <f t="shared" ref="F25:F48" si="1">""""&amp;C25&amp;"""" &amp; " : " &amp;D25&amp;","</f>
        <v>"total_actions" : 611,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"Afortunadamente, no hay mucho que decir. Aquella doble jugada fue casi imposible de registrar. Por lo demás, si encontrais huecos para poder corregir algo antes, mucho mejor. Mil gracias por el curro."</v>
      </c>
      <c r="F51" s="45" t="str">
        <f>""""&amp;B51&amp;"""" &amp; " : " &amp;C51&amp;","</f>
        <v>"comments" : "Afortunadamente, no hay mucho que decir. Aquella doble jugada fue casi imposible de registrar. Por lo demás, si encontrais huecos para poder corregir algo antes, mucho mejor. Mil gracias por el curro.",</v>
      </c>
    </row>
    <row r="52" spans="2:6" x14ac:dyDescent="0.25">
      <c r="B52" s="43" t="s">
        <v>153</v>
      </c>
      <c r="C52" s="43" t="str">
        <f>TEXT('SCOUT &amp; LOGISTICS'!F1,"0,0")</f>
        <v>25_248_BAS_ZAL_E2025</v>
      </c>
      <c r="F52" s="45" t="str">
        <f>""""&amp;B52&amp;"""" &amp; " : " &amp;C52</f>
        <v>"result" : 25_248_BAS_ZAL_E2025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E248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30/01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SERGIO CASTRO</v>
      </c>
      <c r="R8" s="206"/>
      <c r="S8" s="206"/>
      <c r="T8" s="206"/>
      <c r="U8" s="206"/>
      <c r="V8" s="206" t="str">
        <f>IF('SCOUT &amp; LOGISTICS'!D10="","",'SCOUT &amp; LOGISTICS'!D10)</f>
        <v>RODRIGO MENDAZA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611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1.6366612111292963E-3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Afortunadamente, no hay mucho que decir. Aquella doble jugada fue casi imposible de registrar. Por lo demás, si encontrais huecos para poder corregir algo antes, mucho mejor. Mil gracias por el curro.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3.6636661211129296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C3EA96-8F0C-4C74-A738-EAD78D3584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2026-01-30T21:37:18Z</cp:lastPrinted>
  <dcterms:created xsi:type="dcterms:W3CDTF">2023-09-19T19:50:35Z</dcterms:created>
  <dcterms:modified xsi:type="dcterms:W3CDTF">2026-01-30T21:37:23Z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