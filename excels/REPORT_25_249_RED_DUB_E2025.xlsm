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4" documentId="8_{C77C138E-7C6E-40AD-A72D-6E1695E808A2}" xr6:coauthVersionLast="47" xr6:coauthVersionMax="47" xr10:uidLastSave="{999B1E38-9CC0-4EB0-B835-C0C712D5B7C5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<sst xmlns="http://schemas.openxmlformats.org/spreadsheetml/2006/main" count="3250" uniqueCount="759">
  <si>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</si>
  <si>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</si>
  <si>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</si>
  <si>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</si>
  <si>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</si>
  <si>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</si>
  <si>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</si>
  <si>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</si>
  <si>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</si>
  <si>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</si>
  <si>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</si>
  <si>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</si>
  <si>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</si>
  <si>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</si>
  <si>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</si>
  <si>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</si>
  <si>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</si>
  <si>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</si>
  <si>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</si>
  <si>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</si>
  <si>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</si>
  <si>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</si>
  <si>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</si>
  <si>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</si>
  <si>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</si>
  <si>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</si>
  <si>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</si>
  <si>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</si>
  <si>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</si>
  <si>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</si>
  <si>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</si>
  <si>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</si>
  <si>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</si>
  <si>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</si>
  <si>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</si>
  <si>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</si>
  <si>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</si>
  <si>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</si>
  <si>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</si>
  <si>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</si>
  <si>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</si>
  <si>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</si>
  <si>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</si>
  <si>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</si>
  <si>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</si>
  <si>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</si>
  <si>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</si>
  <si>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</si>
  <si>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</si>
  <si>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</si>
  <si>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</si>
  <si>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</si>
  <si>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</si>
  <si>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</si>
  <si>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</si>
  <si>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</si>
  <si>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</si>
  <si>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</si>
  <si>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</si>
  <si>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</si>
  <si>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</si>
  <si>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</si>
  <si>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</si>
  <si>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</si>
  <si>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</si>
  <si>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</si>
  <si>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</si>
  <si>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</si>
  <si>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</si>
  <si>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</si>
  <si>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</si>
  <si>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</si>
  <si>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</si>
  <si>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</si>
  <si>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</si>
  <si>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</si>
  <si>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</si>
  <si>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</si>
  <si>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</si>
  <si>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</si>
  <si>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</si>
  <si>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</si>
  <si>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</si>
  <si>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</si>
  <si>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</si>
  <si>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</si>
  <si>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</si>
  <si>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</si>
  <si>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</si>
  <si>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</si>
  <si>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</si>
  <si>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</si>
  <si>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</si>
  <si>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</si>
  <si>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</si>
  <si>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</si>
  <si>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</si>
  <si>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</si>
  <si>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</si>
  <si>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</si>
  <si>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</si>
  <si>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</si>
  <si>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</si>
  <si>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</si>
  <si>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</si>
  <si>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</si>
  <si>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</si>
  <si>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</si>
  <si>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</si>
  <si>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</si>
  <si>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</si>
  <si>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</si>
  <si>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</si>
  <si>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</si>
  <si>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</si>
  <si>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</si>
  <si>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</si>
  <si>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</si>
  <si>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</si>
  <si>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</si>
  <si>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</si>
  <si>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</si>
  <si>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</si>
  <si>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</si>
  <si>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</si>
  <si>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</si>
  <si>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</si>
  <si>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</si>
  <si>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</si>
  <si>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</si>
  <si>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</si>
  <si>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</si>
  <si>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</si>
  <si>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</si>
  <si>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</si>
  <si>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</si>
  <si>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</si>
  <si>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</si>
  <si>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</si>
  <si>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</si>
  <si>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</si>
  <si>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</si>
  <si>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</si>
  <si>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</si>
  <si>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</si>
  <si>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</si>
  <si>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</si>
  <si>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</si>
  <si>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</si>
  <si>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</si>
  <si>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</si>
  <si>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</si>
  <si>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</si>
  <si>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</si>
  <si>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</si>
  <si>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</si>
  <si>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</si>
  <si>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</si>
  <si>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</si>
  <si>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</si>
  <si>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</si>
  <si>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</si>
  <si>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</si>
  <si>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</si>
  <si>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</si>
  <si>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</si>
  <si>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</si>
  <si>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</si>
  <si>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</si>
  <si>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</si>
  <si>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</si>
  <si>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</si>
  <si>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</si>
  <si>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</si>
  <si>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</si>
  <si>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</si>
  <si>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</si>
  <si>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</si>
  <si>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</si>
  <si>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</si>
  <si>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</si>
  <si>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</si>
  <si>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</si>
  <si>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</si>
  <si>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</si>
  <si>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</si>
  <si>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</si>
  <si>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</si>
  <si>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</si>
  <si>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</si>
  <si>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</si>
  <si>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</si>
  <si>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</si>
  <si>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</si>
  <si>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</si>
  <si>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</si>
  <si>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</si>
  <si>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</si>
  <si>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</si>
  <si>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</si>
  <si>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</si>
  <si>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</si>
  <si>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</si>
  <si>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</si>
  <si>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</si>
  <si>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</si>
  <si>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</si>
  <si>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</si>
  <si>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</si>
  <si>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</si>
  <si>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</si>
  <si>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</si>
  <si>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</si>
  <si>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</si>
  <si>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</si>
  <si>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</si>
  <si>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</si>
  <si>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</si>
  <si>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</si>
  <si>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</si>
  <si>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</si>
  <si>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</si>
  <si>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</si>
  <si>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</si>
  <si>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</si>
  <si>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</si>
  <si>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</si>
  <si>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</si>
  <si>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</si>
  <si>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</si>
  <si>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</si>
  <si>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</si>
  <si>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</si>
  <si>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</si>
  <si>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</si>
  <si>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</si>
  <si>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</si>
  <si>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</si>
  <si>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</si>
  <si>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</si>
  <si>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</si>
  <si>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</si>
  <si>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</si>
  <si>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</si>
  <si>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</si>
  <si>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</si>
  <si>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</si>
  <si>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</si>
  <si>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</si>
  <si>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</si>
  <si>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</si>
  <si>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</si>
  <si>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</si>
  <si>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</si>
  <si>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</si>
  <si>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</si>
  <si>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</si>
  <si>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</si>
  <si>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</si>
  <si>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</si>
  <si>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</si>
  <si>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</si>
  <si>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</si>
  <si>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</si>
  <si>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</si>
  <si>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</si>
  <si>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</si>
  <si>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</si>
  <si>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</si>
  <si>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</si>
  <si>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</si>
  <si>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</si>
  <si>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</si>
  <si>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</si>
  <si>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</si>
  <si>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</si>
  <si>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</si>
  <si>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</si>
  <si>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</si>
  <si>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</si>
  <si>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</si>
  <si>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</si>
  <si>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</si>
  <si>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</si>
  <si>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</si>
  <si>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</si>
  <si>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</si>
  <si>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</si>
  <si>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</si>
  <si>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</si>
  <si>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</si>
  <si>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</si>
  <si>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</si>
  <si>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</si>
  <si>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</si>
  <si>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</si>
  <si>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</si>
  <si>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</si>
  <si>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</si>
  <si>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</si>
  <si>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</si>
  <si>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</si>
  <si>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</si>
  <si>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</si>
  <si>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</si>
  <si>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</si>
  <si>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</si>
  <si>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</si>
  <si>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</si>
  <si>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</si>
  <si>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</si>
  <si>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</si>
  <si>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</si>
  <si>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</si>
  <si>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</si>
  <si>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</si>
  <si>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</si>
  <si>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</si>
  <si>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</si>
  <si>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</si>
  <si>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</si>
  <si>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</si>
  <si>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</si>
  <si>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</si>
  <si>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</si>
  <si>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</si>
  <si>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</si>
  <si>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</si>
  <si>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</si>
  <si>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</si>
  <si>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</si>
  <si>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</si>
  <si>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</si>
  <si>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</si>
  <si>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</si>
  <si>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</si>
  <si>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</si>
  <si>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</si>
  <si>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</si>
  <si>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</si>
  <si>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</si>
  <si>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</si>
  <si>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</si>
  <si>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</si>
  <si>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</si>
  <si>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</si>
  <si>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</si>
  <si>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</si>
  <si>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</si>
  <si>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</si>
  <si>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</si>
  <si>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</si>
  <si>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</si>
  <si>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</si>
  <si>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</si>
  <si>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</si>
  <si>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</si>
  <si>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</si>
  <si>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</si>
  <si>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</si>
  <si>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</si>
  <si>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</si>
  <si>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</si>
  <si>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</si>
  <si>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</si>
  <si>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</si>
  <si>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</si>
  <si>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</si>
  <si>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</si>
  <si>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</si>
  <si>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</si>
  <si>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</si>
  <si>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</si>
  <si>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</si>
  <si>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</si>
  <si>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</si>
  <si>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</si>
  <si>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</si>
  <si>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</si>
  <si>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</si>
  <si>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</si>
  <si>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</si>
  <si>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</si>
  <si>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</si>
  <si>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</si>
  <si>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</si>
  <si>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</si>
  <si>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</si>
  <si>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</si>
  <si>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</si>
  <si>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</si>
  <si>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</si>
  <si>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</si>
  <si>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</si>
  <si>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</si>
  <si>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</si>
  <si>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</si>
  <si>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</si>
  <si>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</si>
  <si>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</si>
  <si>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</si>
  <si>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</si>
  <si>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</si>
  <si>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</si>
  <si>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</si>
  <si>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</si>
  <si>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</si>
  <si>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</si>
  <si>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</si>
  <si>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</si>
  <si>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</si>
  <si>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</si>
  <si>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</si>
  <si>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</si>
  <si>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</si>
  <si>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</si>
  <si>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</si>
  <si>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</si>
  <si>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</si>
  <si>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</si>
  <si>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</si>
  <si>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</si>
  <si>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</si>
  <si>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</si>
  <si>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</si>
  <si>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</si>
  <si>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</si>
  <si>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</si>
  <si>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</si>
  <si>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</si>
  <si>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</si>
  <si>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</si>
  <si>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</si>
  <si>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</si>
  <si>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</si>
  <si>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</si>
  <si>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</si>
  <si>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</si>
  <si>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</si>
  <si>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</si>
  <si>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</si>
  <si>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</si>
  <si>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</si>
  <si>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</si>
  <si>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</si>
  <si>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</si>
  <si>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</si>
  <si>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</si>
  <si>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</si>
  <si>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</si>
  <si>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</si>
  <si>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</si>
  <si>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</si>
  <si>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</si>
  <si>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</si>
  <si>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</si>
  <si>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</si>
  <si>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</si>
  <si>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</si>
  <si>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</si>
  <si>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</si>
  <si>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</si>
  <si>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</si>
  <si>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</si>
  <si>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</si>
  <si>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</si>
  <si>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</si>
  <si>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</si>
  <si>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</si>
  <si>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</si>
  <si>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</si>
  <si>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</si>
  <si>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</si>
  <si>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</si>
  <si>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</si>
  <si>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</si>
  <si>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</si>
  <si>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</si>
  <si>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</si>
  <si>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</si>
  <si>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</si>
  <si>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</si>
  <si>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</si>
  <si>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</si>
  <si>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</si>
  <si>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</si>
  <si>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</si>
  <si>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</si>
  <si>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</si>
  <si>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</si>
  <si>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</si>
  <si>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</si>
  <si>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</si>
  <si>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</si>
  <si>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</si>
  <si>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</si>
  <si>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</si>
  <si>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</si>
  <si>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</si>
  <si>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</si>
  <si>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</si>
  <si>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</si>
  <si>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</si>
  <si>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</si>
  <si>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</si>
  <si>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</si>
  <si>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</si>
  <si>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</si>
  <si>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</si>
  <si>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</si>
  <si>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</si>
  <si>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</si>
  <si>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</si>
  <si>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</si>
  <si>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</si>
  <si>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</si>
  <si>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</si>
  <si>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</si>
  <si>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</si>
  <si>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</si>
  <si>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</si>
  <si>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</si>
  <si>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</si>
  <si>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</si>
  <si>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</si>
  <si>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</si>
  <si>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</si>
  <si>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</si>
  <si>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</si>
  <si>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</si>
  <si>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</si>
  <si>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</si>
  <si>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</si>
  <si>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</si>
  <si>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</si>
  <si>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</si>
  <si>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</si>
  <si>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</si>
  <si>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</si>
  <si>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</si>
  <si>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</si>
  <si>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</si>
  <si>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</si>
  <si>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</si>
  <si>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</si>
  <si>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</si>
  <si>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</si>
  <si>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</si>
  <si>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</si>
  <si>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</si>
  <si>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</si>
  <si>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</si>
  <si>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</si>
  <si>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</si>
  <si>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</si>
  <si>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</si>
  <si>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</si>
  <si>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</si>
  <si>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</si>
  <si>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</si>
  <si>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</si>
  <si>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</si>
  <si>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</si>
  <si>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</si>
  <si>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</si>
  <si>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</si>
  <si>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</si>
  <si>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</si>
  <si>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</si>
  <si>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</si>
  <si>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</si>
  <si>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</si>
  <si>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</si>
  <si>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</si>
  <si>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</si>
  <si>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</si>
  <si>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</si>
  <si>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</si>
  <si>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</si>
  <si>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</si>
  <si>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</si>
  <si>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</si>
  <si>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</si>
  <si>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</si>
  <si>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</si>
  <si>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</si>
  <si>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</si>
  <si>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</si>
  <si>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</si>
  <si>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</si>
  <si>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</si>
  <si>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</si>
  <si>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</si>
  <si>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</si>
  <si>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</si>
  <si>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</si>
  <si>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</si>
  <si>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</si>
  <si>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</si>
  <si>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</si>
  <si>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</si>
  <si>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</si>
  <si>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</si>
  <si>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</si>
  <si>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</si>
  <si>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</si>
  <si>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</si>
  <si>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</si>
  <si>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</si>
  <si>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</si>
  <si>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</si>
  <si>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</si>
  <si>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</si>
  <si>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</si>
  <si>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</si>
  <si>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</si>
  <si>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</si>
  <si>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</si>
  <si>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</si>
  <si>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</si>
  <si>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</si>
  <si>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</si>
  <si>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</si>
  <si>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</si>
  <si>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</si>
  <si>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</si>
  <si>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</si>
  <si>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</si>
  <si>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</si>
  <si>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</si>
  <si>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</si>
  <si>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</si>
  <si>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</si>
  <si>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</si>
  <si>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</si>
  <si>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</si>
  <si>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</si>
  <si>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</si>
  <si>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</si>
  <si>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</si>
  <si>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</si>
  <si>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</si>
  <si>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</si>
  <si>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</si>
  <si>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</si>
  <si>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</si>
  <si>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</si>
  <si>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</si>
  <si>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</si>
  <si>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</si>
  <si>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</si>
  <si>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</si>
  <si>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</si>
  <si>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</si>
  <si>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</si>
  <si>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</si>
  <si>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</si>
  <si>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</si>
  <si>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</si>
  <si>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</si>
  <si>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</si>
  <si>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</si>
  <si>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</si>
  <si>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</si>
  <si>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</si>
  <si>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</si>
  <si>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</si>
  <si>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</si>
  <si>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</si>
  <si>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</si>
  <si>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</si>
  <si>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</si>
  <si>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</si>
  <si>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</si>
  <si>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</si>
  <si>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</si>
  <si>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</si>
  <si>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</si>
  <si>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</si>
  <si>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</si>
  <si>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</si>
  <si>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</si>
  <si>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</si>
  <si>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</si>
  <si>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</si>
  <si>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</si>
  <si>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</si>
  <si>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</si>
  <si>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</si>
  <si>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</si>
  <si>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</si>
  <si>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</si>
  <si>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</si>
  <si>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</si>
  <si>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</si>
  <si>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</si>
  <si>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</si>
  <si>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</si>
  <si>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</si>
  <si>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</si>
  <si>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</si>
  <si>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</si>
  <si>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</si>
  <si>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</si>
  <si>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</si>
  <si>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</si>
  <si>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</si>
  <si>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</si>
  <si>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</si>
  <si>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</si>
  <si>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</si>
  <si>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</si>
  <si>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</si>
  <si>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</si>
  <si>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</si>
  <si>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</si>
  <si>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</si>
  <si>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</si>
  <si>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</si>
  <si>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</si>
  <si>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</si>
  <si>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</si>
  <si>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</si>
  <si>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</si>
  <si>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</si>
  <si>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</si>
  <si>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</si>
  <si>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</si>
  <si>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</si>
  <si>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</si>
  <si>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</si>
  <si>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</si>
  <si>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</si>
  <si>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</si>
  <si>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</si>
  <si>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</si>
  <si>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</si>
  <si>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</si>
  <si>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</si>
  <si>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</si>
  <si>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</si>
  <si>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</si>
  <si>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</si>
  <si>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</si>
  <si>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</si>
  <si>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</si>
  <si>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</si>
  <si>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</si>
  <si>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</si>
  <si>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</si>
  <si>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</si>
  <si>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IVAN MOSIC</t>
  </si>
  <si>
    <t>MIODRAG STOJANOVIC</t>
  </si>
  <si>
    <t>MILOS KREMIC</t>
  </si>
  <si>
    <t>IVANA KRSTIC</t>
  </si>
  <si>
    <t>MIROSLAVA DERIKONJIC</t>
  </si>
  <si>
    <t>03:06</t>
  </si>
  <si>
    <t xml:space="preserve">Excellent job! 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</si>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</sst>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25_249_RED_DUB_E2025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758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249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46052.833333333336</v>
      </c>
      <c r="C3" s="157"/>
      <c r="D3" s="39">
        <v>615</v>
      </c>
      <c r="E3" s="29"/>
      <c r="F3" s="26">
        <f>SUBTOTAL(3,I17:I106)</f>
        <v>1</v>
      </c>
      <c r="G3" s="27">
        <f>IF(OR(D3="",D3=0),"",F3/D3)</f>
        <v>1.6260162601626016E-3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Crvena Zvezda Meridianbet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67" t="s">
        <v>757</v>
      </c>
      <c r="N4" s="168"/>
      <c r="O4" s="2"/>
      <c r="P4" s="2"/>
      <c r="Q4" s="84" t="s">
        <v>175</v>
      </c>
      <c r="R4" s="94">
        <f>(IF(G3="",0,G3))</f>
        <v>1.6260162601626016E-3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Dubai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DUB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0.16260162601626016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1.1626016260162602</v>
      </c>
      <c r="N7" s="58"/>
      <c r="O7" s="2"/>
      <c r="P7" s="2"/>
      <c r="Q7" s="86">
        <f>SUM(R5,S5,AC16)</f>
        <v>1.1626016260162602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1.1626016260162602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744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249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249</v>
      </c>
      <c r="D17" s="32" t="s">
        <v>756</v>
      </c>
      <c r="E17" s="33">
        <v>2</v>
      </c>
      <c r="F17" s="36">
        <v>42</v>
      </c>
      <c r="G17" s="36">
        <v>32</v>
      </c>
      <c r="H17" s="38" t="str">
        <f>IF(I17="","",$I$14)</f>
        <v>SCOUTING</v>
      </c>
      <c r="I17" s="34">
        <v>221</v>
      </c>
      <c r="J17" s="13" t="s">
        <v>4</v>
      </c>
      <c r="K17" s="13" t="s">
        <v>63</v>
      </c>
      <c r="L17" s="13" t="s">
        <v>6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REPORT_E2025249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"E2025249"</v>
      </c>
      <c r="F3" s="45" t="str">
        <f t="shared" ref="F3:F16" si="0">""""&amp;B3&amp;"""" &amp; " : " &amp;C3&amp;","</f>
        <v>"name" : "E2025249",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"E249"</v>
      </c>
      <c r="F4" s="45" t="str">
        <f t="shared" si="0"/>
        <v>"cod" : "E249",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249</v>
      </c>
      <c r="F6" s="45" t="str">
        <f t="shared" si="0"/>
        <v>"number" : 249,</v>
      </c>
    </row>
    <row r="7" spans="2:6" x14ac:dyDescent="0.25">
      <c r="B7" s="43" t="s">
        <v>116</v>
      </c>
      <c r="C7" s="43" t="str">
        <f ca="1">""""&amp;TEXT('SCOUT &amp; LOGISTICS'!B3,"dd/mm/aaaa")&amp;""""</f>
        <v>"30/01/Friday"</v>
      </c>
      <c r="F7" s="45" t="str">
        <f t="shared" ca="1" si="0"/>
        <v>"date" : "30/01/Friday",</v>
      </c>
    </row>
    <row r="8" spans="2:6" x14ac:dyDescent="0.25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5">
      <c r="B9" s="43" t="s">
        <v>126</v>
      </c>
      <c r="C9" s="43" t="str">
        <f>""""&amp;'SCOUT &amp; LOGISTICS'!D5&amp;""""</f>
        <v>"Dubai Basketball"</v>
      </c>
      <c r="F9" s="45" t="str">
        <f t="shared" si="0"/>
        <v>"away_team" : "Dubai Basketball",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"MILOS KREMIC"</v>
      </c>
      <c r="F12" s="45" t="str">
        <f t="shared" si="0"/>
        <v>"Caller_2" : "MILOS KREMIC",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"IVANA KRSTIC"</v>
      </c>
      <c r="F13" s="45" t="str">
        <f t="shared" si="0"/>
        <v>"Timerkeeper" : "IVANA KRSTIC",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"MIROSLAVA DERIKONJIC"</v>
      </c>
      <c r="F14" s="45" t="str">
        <f t="shared" si="0"/>
        <v>"Shotclock" : "MIROSLAVA DERIKONJIC",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"ANA KRSTIC"</v>
      </c>
      <c r="F15" s="45" t="str">
        <f t="shared" si="0"/>
        <v>"IRS" : "ANA KRSTIC",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615</v>
      </c>
      <c r="F25" s="45" t="str">
        <f t="shared" ref="F25:F48" si="1">""""&amp;C25&amp;"""" &amp; " : " &amp;D25&amp;","</f>
        <v>"total_actions" : 615,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"</v>
      </c>
      <c r="F51" s="45" t="str">
        <f>""""&amp;B51&amp;"""" &amp; " : " &amp;C51&amp;","</f>
        <v>"comments" : "Excellent job! ",</v>
      </c>
    </row>
    <row r="52" spans="2:6" x14ac:dyDescent="0.25">
      <c r="B52" s="43" t="s">
        <v>153</v>
      </c>
      <c r="C52" s="43" t="str">
        <f>TEXT('SCOUT &amp; LOGISTICS'!F1,"0,0")</f>
        <v>25_249_RED_DUB_E2025</v>
      </c>
      <c r="F52" s="45" t="str">
        <f>""""&amp;B52&amp;"""" &amp; " : " &amp;C52</f>
        <v>"result" : 25_249_RED_DUB_E2025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E249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30/01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Crvena Zvezda Meridianbet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Dubai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IVAN MOSIC</v>
      </c>
      <c r="C8" s="206"/>
      <c r="D8" s="206"/>
      <c r="E8" s="206"/>
      <c r="F8" s="206"/>
      <c r="G8" s="206" t="str">
        <f>IF('SCOUT &amp; LOGISTICS'!D7="","",'SCOUT &amp; LOGISTICS'!D7)</f>
        <v>MIODRAG STOJANOVIC</v>
      </c>
      <c r="H8" s="206"/>
      <c r="I8" s="206"/>
      <c r="J8" s="206"/>
      <c r="K8" s="206"/>
      <c r="L8" s="206" t="str">
        <f>IF('SCOUT &amp; LOGISTICS'!D8="","",'SCOUT &amp; LOGISTICS'!D8)</f>
        <v>MILOS KREMIC</v>
      </c>
      <c r="M8" s="206"/>
      <c r="N8" s="206"/>
      <c r="O8" s="206"/>
      <c r="P8" s="206"/>
      <c r="Q8" s="206" t="str">
        <f>IF('SCOUT &amp; LOGISTICS'!D9="","",'SCOUT &amp; LOGISTICS'!D9)</f>
        <v>IVANA KRSTIC</v>
      </c>
      <c r="R8" s="206"/>
      <c r="S8" s="206"/>
      <c r="T8" s="206"/>
      <c r="U8" s="206"/>
      <c r="V8" s="206" t="str">
        <f>IF('SCOUT &amp; LOGISTICS'!D10="","",'SCOUT &amp; LOGISTICS'!D10)</f>
        <v>MIROSLAVA DERIKONJIC</v>
      </c>
      <c r="W8" s="206"/>
      <c r="X8" s="206"/>
      <c r="Y8" s="206"/>
      <c r="Z8" s="206"/>
      <c r="AA8" s="206" t="str">
        <f>IF('SCOUT &amp; LOGISTICS'!D11="","",'SCOUT &amp; LOGISTICS'!D11)</f>
        <v>ANA KRSTIC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615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1.6260162601626016E-3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Excellent job!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1.1626016260162602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6CF836F-8B11-409D-B153-B1638113F4F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2026-01-30T21:37:23Z</cp:lastPrinted>
  <dcterms:created xsi:type="dcterms:W3CDTF">2023-09-19T19:50:35Z</dcterms:created>
  <dcterms:modified xsi:type="dcterms:W3CDTF">2026-01-30T21:37:25Z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