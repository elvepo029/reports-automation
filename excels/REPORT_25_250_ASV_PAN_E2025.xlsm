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326B85A-1930-4168-919D-B5AB33B20E2A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<sst xmlns="http://schemas.openxmlformats.org/spreadsheetml/2006/main" count="3256" uniqueCount="761">
  <si>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</si>
  <si>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</si>
  <si>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</si>
  <si>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</si>
  <si>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</si>
  <si>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</si>
  <si>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</si>
  <si>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</si>
  <si>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</si>
  <si>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</si>
  <si>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</si>
  <si>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</si>
  <si>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</si>
  <si>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</si>
  <si>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</si>
  <si>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</si>
  <si>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</si>
  <si>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</si>
  <si>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</si>
  <si>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</si>
  <si>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</si>
  <si>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</si>
  <si>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</si>
  <si>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</si>
  <si>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</si>
  <si>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</si>
  <si>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</si>
  <si>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</si>
  <si>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</si>
  <si>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</si>
  <si>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</si>
  <si>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</si>
  <si>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</si>
  <si>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</si>
  <si>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</si>
  <si>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</si>
  <si>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</si>
  <si>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</si>
  <si>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</si>
  <si>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</si>
  <si>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</si>
  <si>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</si>
  <si>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</si>
  <si>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</si>
  <si>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</si>
  <si>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</si>
  <si>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</si>
  <si>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</si>
  <si>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</si>
  <si>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</si>
  <si>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</si>
  <si>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</si>
  <si>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</si>
  <si>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</si>
  <si>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</si>
  <si>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</si>
  <si>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</si>
  <si>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</si>
  <si>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</si>
  <si>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</si>
  <si>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</si>
  <si>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</si>
  <si>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</si>
  <si>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</si>
  <si>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</si>
  <si>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</si>
  <si>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</si>
  <si>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</si>
  <si>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</si>
  <si>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</si>
  <si>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</si>
  <si>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</si>
  <si>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</si>
  <si>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</si>
  <si>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</si>
  <si>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</si>
  <si>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</si>
  <si>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</si>
  <si>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</si>
  <si>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</si>
  <si>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</si>
  <si>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</si>
  <si>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</si>
  <si>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</si>
  <si>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</si>
  <si>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</si>
  <si>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</si>
  <si>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</si>
  <si>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</si>
  <si>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</si>
  <si>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</si>
  <si>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</si>
  <si>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</si>
  <si>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</si>
  <si>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</si>
  <si>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</si>
  <si>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</si>
  <si>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</si>
  <si>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</si>
  <si>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</si>
  <si>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</si>
  <si>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</si>
  <si>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</si>
  <si>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</si>
  <si>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</si>
  <si>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</si>
  <si>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</si>
  <si>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</si>
  <si>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</si>
  <si>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</si>
  <si>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</si>
  <si>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</si>
  <si>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</si>
  <si>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</si>
  <si>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</si>
  <si>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</si>
  <si>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</si>
  <si>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</si>
  <si>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</si>
  <si>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</si>
  <si>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</si>
  <si>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</si>
  <si>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</si>
  <si>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</si>
  <si>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</si>
  <si>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</si>
  <si>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</si>
  <si>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</si>
  <si>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</si>
  <si>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</si>
  <si>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</si>
  <si>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</si>
  <si>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</si>
  <si>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</si>
  <si>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</si>
  <si>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</si>
  <si>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</si>
  <si>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</si>
  <si>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</si>
  <si>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</si>
  <si>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</si>
  <si>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</si>
  <si>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</si>
  <si>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</si>
  <si>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</si>
  <si>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</si>
  <si>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</si>
  <si>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</si>
  <si>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</si>
  <si>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</si>
  <si>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</si>
  <si>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</si>
  <si>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</si>
  <si>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</si>
  <si>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</si>
  <si>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</si>
  <si>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</si>
  <si>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</si>
  <si>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</si>
  <si>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</si>
  <si>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</si>
  <si>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</si>
  <si>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</si>
  <si>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</si>
  <si>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</si>
  <si>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</si>
  <si>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</si>
  <si>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</si>
  <si>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</si>
  <si>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</si>
  <si>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</si>
  <si>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</si>
  <si>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</si>
  <si>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</si>
  <si>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</si>
  <si>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</si>
  <si>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</si>
  <si>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</si>
  <si>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</si>
  <si>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</si>
  <si>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</si>
  <si>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</si>
  <si>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</si>
  <si>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</si>
  <si>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</si>
  <si>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</si>
  <si>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</si>
  <si>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</si>
  <si>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</si>
  <si>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</si>
  <si>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</si>
  <si>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</si>
  <si>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</si>
  <si>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</si>
  <si>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</si>
  <si>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</si>
  <si>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</si>
  <si>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</si>
  <si>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</si>
  <si>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</si>
  <si>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</si>
  <si>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</si>
  <si>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</si>
  <si>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</si>
  <si>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</si>
  <si>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</si>
  <si>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</si>
  <si>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</si>
  <si>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</si>
  <si>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</si>
  <si>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</si>
  <si>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</si>
  <si>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</si>
  <si>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</si>
  <si>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</si>
  <si>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</si>
  <si>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</si>
  <si>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</si>
  <si>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</si>
  <si>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</si>
  <si>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</si>
  <si>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</si>
  <si>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</si>
  <si>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</si>
  <si>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</si>
  <si>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</si>
  <si>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</si>
  <si>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</si>
  <si>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</si>
  <si>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</si>
  <si>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</si>
  <si>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</si>
  <si>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</si>
  <si>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</si>
  <si>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</si>
  <si>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</si>
  <si>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</si>
  <si>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</si>
  <si>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</si>
  <si>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</si>
  <si>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</si>
  <si>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</si>
  <si>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</si>
  <si>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</si>
  <si>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</si>
  <si>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</si>
  <si>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</si>
  <si>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</si>
  <si>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</si>
  <si>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</si>
  <si>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</si>
  <si>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</si>
  <si>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</si>
  <si>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</si>
  <si>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</si>
  <si>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</si>
  <si>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</si>
  <si>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</si>
  <si>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</si>
  <si>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</si>
  <si>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</si>
  <si>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</si>
  <si>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</si>
  <si>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</si>
  <si>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</si>
  <si>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</si>
  <si>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</si>
  <si>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</si>
  <si>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</si>
  <si>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</si>
  <si>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</si>
  <si>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</si>
  <si>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</si>
  <si>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</si>
  <si>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</si>
  <si>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</si>
  <si>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</si>
  <si>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</si>
  <si>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</si>
  <si>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</si>
  <si>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</si>
  <si>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</si>
  <si>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</si>
  <si>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</si>
  <si>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</si>
  <si>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</si>
  <si>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</si>
  <si>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</si>
  <si>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</si>
  <si>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</si>
  <si>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</si>
  <si>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</si>
  <si>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</si>
  <si>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</si>
  <si>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</si>
  <si>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</si>
  <si>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</si>
  <si>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</si>
  <si>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</si>
  <si>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</si>
  <si>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</si>
  <si>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</si>
  <si>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</si>
  <si>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</si>
  <si>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</si>
  <si>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</si>
  <si>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</si>
  <si>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</si>
  <si>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</si>
  <si>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</si>
  <si>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</si>
  <si>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</si>
  <si>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</si>
  <si>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</si>
  <si>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</si>
  <si>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</si>
  <si>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</si>
  <si>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</si>
  <si>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</si>
  <si>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</si>
  <si>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</si>
  <si>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</si>
  <si>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</si>
  <si>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</si>
  <si>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</si>
  <si>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</si>
  <si>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</si>
  <si>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</si>
  <si>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</si>
  <si>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</si>
  <si>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</si>
  <si>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</si>
  <si>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</si>
  <si>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</si>
  <si>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</si>
  <si>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</si>
  <si>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</si>
  <si>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</si>
  <si>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</si>
  <si>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</si>
  <si>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</si>
  <si>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</si>
  <si>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</si>
  <si>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</si>
  <si>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</si>
  <si>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</si>
  <si>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</si>
  <si>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</si>
  <si>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</si>
  <si>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</si>
  <si>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</si>
  <si>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</si>
  <si>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</si>
  <si>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</si>
  <si>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</si>
  <si>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</si>
  <si>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</si>
  <si>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</si>
  <si>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</si>
  <si>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</si>
  <si>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</si>
  <si>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</si>
  <si>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</si>
  <si>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</si>
  <si>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</si>
  <si>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</si>
  <si>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</si>
  <si>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</si>
  <si>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</si>
  <si>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</si>
  <si>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</si>
  <si>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</si>
  <si>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</si>
  <si>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</si>
  <si>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</si>
  <si>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</si>
  <si>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</si>
  <si>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</si>
  <si>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</si>
  <si>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</si>
  <si>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</si>
  <si>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</si>
  <si>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</si>
  <si>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</si>
  <si>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</si>
  <si>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</si>
  <si>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</si>
  <si>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</si>
  <si>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</si>
  <si>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</si>
  <si>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</si>
  <si>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</si>
  <si>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</si>
  <si>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</si>
  <si>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</si>
  <si>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</si>
  <si>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</si>
  <si>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</si>
  <si>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</si>
  <si>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</si>
  <si>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</si>
  <si>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</si>
  <si>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</si>
  <si>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</si>
  <si>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</si>
  <si>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</si>
  <si>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</si>
  <si>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</si>
  <si>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</si>
  <si>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</si>
  <si>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</si>
  <si>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</si>
  <si>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</si>
  <si>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</si>
  <si>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</si>
  <si>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</si>
  <si>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</si>
  <si>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</si>
  <si>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</si>
  <si>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</si>
  <si>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</si>
  <si>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</si>
  <si>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</si>
  <si>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</si>
  <si>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</si>
  <si>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</si>
  <si>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</si>
  <si>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</si>
  <si>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</si>
  <si>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</si>
  <si>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</si>
  <si>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</si>
  <si>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</si>
  <si>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</si>
  <si>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</si>
  <si>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</si>
  <si>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</si>
  <si>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</si>
  <si>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</si>
  <si>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</si>
  <si>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</si>
  <si>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</si>
  <si>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</si>
  <si>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</si>
  <si>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</si>
  <si>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</si>
  <si>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</si>
  <si>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</si>
  <si>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</si>
  <si>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</si>
  <si>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</si>
  <si>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</si>
  <si>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</si>
  <si>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</si>
  <si>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</si>
  <si>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</si>
  <si>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</si>
  <si>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</si>
  <si>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</si>
  <si>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</si>
  <si>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</si>
  <si>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</si>
  <si>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</si>
  <si>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</si>
  <si>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</si>
  <si>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</si>
  <si>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</si>
  <si>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</si>
  <si>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</si>
  <si>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</si>
  <si>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</si>
  <si>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</si>
  <si>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</si>
  <si>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</si>
  <si>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</si>
  <si>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</si>
  <si>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</si>
  <si>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</si>
  <si>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</si>
  <si>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</si>
  <si>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</si>
  <si>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</si>
  <si>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</si>
  <si>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</si>
  <si>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</si>
  <si>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</si>
  <si>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</si>
  <si>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</si>
  <si>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</si>
  <si>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</si>
  <si>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</si>
  <si>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</si>
  <si>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</si>
  <si>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</si>
  <si>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</si>
  <si>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</si>
  <si>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</si>
  <si>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</si>
  <si>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</si>
  <si>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</si>
  <si>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</si>
  <si>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</si>
  <si>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</si>
  <si>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</si>
  <si>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</si>
  <si>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</si>
  <si>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</si>
  <si>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</si>
  <si>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</si>
  <si>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</si>
  <si>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</si>
  <si>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</si>
  <si>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</si>
  <si>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</si>
  <si>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</si>
  <si>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</si>
  <si>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</si>
  <si>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</si>
  <si>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</si>
  <si>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</si>
  <si>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</si>
  <si>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</si>
  <si>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</si>
  <si>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</si>
  <si>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</si>
  <si>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</si>
  <si>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</si>
  <si>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</si>
  <si>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</si>
  <si>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</si>
  <si>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</si>
  <si>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</si>
  <si>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</si>
  <si>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</si>
  <si>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</si>
  <si>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</si>
  <si>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</si>
  <si>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</si>
  <si>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</si>
  <si>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</si>
  <si>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</si>
  <si>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</si>
  <si>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</si>
  <si>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</si>
  <si>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</si>
  <si>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</si>
  <si>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</si>
  <si>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</si>
  <si>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</si>
  <si>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</si>
  <si>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</si>
  <si>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</si>
  <si>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</si>
  <si>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</si>
  <si>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</si>
  <si>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</si>
  <si>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</si>
  <si>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</si>
  <si>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</si>
  <si>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</si>
  <si>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</si>
  <si>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</si>
  <si>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</si>
  <si>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</si>
  <si>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</si>
  <si>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</si>
  <si>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</si>
  <si>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</si>
  <si>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</si>
  <si>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</si>
  <si>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</si>
  <si>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</si>
  <si>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</si>
  <si>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</si>
  <si>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</si>
  <si>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</si>
  <si>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</si>
  <si>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</si>
  <si>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</si>
  <si>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</si>
  <si>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</si>
  <si>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</si>
  <si>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</si>
  <si>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</si>
  <si>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</si>
  <si>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</si>
  <si>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</si>
  <si>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</si>
  <si>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</si>
  <si>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</si>
  <si>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</si>
  <si>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</si>
  <si>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</si>
  <si>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</si>
  <si>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</si>
  <si>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</si>
  <si>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</si>
  <si>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</si>
  <si>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</si>
  <si>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</si>
  <si>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</si>
  <si>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</si>
  <si>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</si>
  <si>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</si>
  <si>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</si>
  <si>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</si>
  <si>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</si>
  <si>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</si>
  <si>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</si>
  <si>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</si>
  <si>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</si>
  <si>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</si>
  <si>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</si>
  <si>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</si>
  <si>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</si>
  <si>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</si>
  <si>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</si>
  <si>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</si>
  <si>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</si>
  <si>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</si>
  <si>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</si>
  <si>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</si>
  <si>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</si>
  <si>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</si>
  <si>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</si>
  <si>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</si>
  <si>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</si>
  <si>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</si>
  <si>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</si>
  <si>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</si>
  <si>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</si>
  <si>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</si>
  <si>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</si>
  <si>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</si>
  <si>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</si>
  <si>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</si>
  <si>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</si>
  <si>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</si>
  <si>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</si>
  <si>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</si>
  <si>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</si>
  <si>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</si>
  <si>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</si>
  <si>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</si>
  <si>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</si>
  <si>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</si>
  <si>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</si>
  <si>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</si>
  <si>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</si>
  <si>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</si>
  <si>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</si>
  <si>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</si>
  <si>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</si>
  <si>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</si>
  <si>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</si>
  <si>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</si>
  <si>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</si>
  <si>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</si>
  <si>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</si>
  <si>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</si>
  <si>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</si>
  <si>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</si>
  <si>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</si>
  <si>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</si>
  <si>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</si>
  <si>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</si>
  <si>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</si>
  <si>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</si>
  <si>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</si>
  <si>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</si>
  <si>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</si>
  <si>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</si>
  <si>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</si>
  <si>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</si>
  <si>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</si>
  <si>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</si>
  <si>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</si>
  <si>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</si>
  <si>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</si>
  <si>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</si>
  <si>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</si>
  <si>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</si>
  <si>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</si>
  <si>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</si>
  <si>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</si>
  <si>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</si>
  <si>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</si>
  <si>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</si>
  <si>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</si>
  <si>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</si>
  <si>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</si>
  <si>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</si>
  <si>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</si>
  <si>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</si>
  <si>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</si>
  <si>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</si>
  <si>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</si>
  <si>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</si>
  <si>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</si>
  <si>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</si>
  <si>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</si>
  <si>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</si>
  <si>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</si>
  <si>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</si>
  <si>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</si>
  <si>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</si>
  <si>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</si>
  <si>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</si>
  <si>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</si>
  <si>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</si>
  <si>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</si>
  <si>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</si>
  <si>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</si>
  <si>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</si>
  <si>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</si>
  <si>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</si>
  <si>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</si>
  <si>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</si>
  <si>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</si>
  <si>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</si>
  <si>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</si>
  <si>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</si>
  <si>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</si>
  <si>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</si>
  <si>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</si>
  <si>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</si>
  <si>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</si>
  <si>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</si>
  <si>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</si>
  <si>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</si>
  <si>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</si>
  <si>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</si>
  <si>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</si>
  <si>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</si>
  <si>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</si>
  <si>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</si>
  <si>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</si>
  <si>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</si>
  <si>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</si>
  <si>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</si>
  <si>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</si>
  <si>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</si>
  <si>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</si>
  <si>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</si>
  <si>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</si>
  <si>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</si>
  <si>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</si>
  <si>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</si>
  <si>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</si>
  <si>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</si>
  <si>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</si>
  <si>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STEPHANE DURIEUX</t>
  </si>
  <si>
    <t>FLORENT BOITON</t>
  </si>
  <si>
    <t>STEPHANE FITOUSSI</t>
  </si>
  <si>
    <t>ANGELINE BLOT</t>
  </si>
  <si>
    <t>CEDRIC LAURANCY</t>
  </si>
  <si>
    <t>YOHAN STROBEL</t>
  </si>
  <si>
    <t>GOOD JOB ON PREPARATION AND COMMUNICATION</t>
  </si>
  <si>
    <t>EXCELLENT JOB. ET WAS AN "EASY" GAME BUT WITH SOME TRICKY ACTIONS, WELL SOLVED. GREAT PEACE OF THE GAME AND EDITING. QUITE GOOD CRITERIA.</t>
  </si>
  <si>
    <t>03:50</t>
  </si>
  <si>
    <t>9:07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</si>
</sst>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28" sqref="J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25_250_ASV_PAN_E2025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46052.833333333336</v>
      </c>
      <c r="C3" s="178"/>
      <c r="D3" s="39">
        <v>650</v>
      </c>
      <c r="E3" s="29"/>
      <c r="F3" s="26">
        <f>SUBTOTAL(3,I17:I106)</f>
        <v>2</v>
      </c>
      <c r="G3" s="27">
        <f>IF(OR(D3="",D3=0),"",F3/D3)</f>
        <v>3.0769230769230769E-3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3.0769230769230769E-3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0.30769230769230771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1.8076923076923077</v>
      </c>
      <c r="N7" s="58"/>
      <c r="O7" s="2"/>
      <c r="P7" s="2"/>
      <c r="Q7" s="86">
        <f>SUM(R5,S5,AC16)</f>
        <v>1.8076923076923077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1.8076923076923077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757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250</v>
      </c>
      <c r="D17" s="32" t="s">
        <v>759</v>
      </c>
      <c r="E17" s="33">
        <v>1</v>
      </c>
      <c r="F17" s="36">
        <v>14</v>
      </c>
      <c r="G17" s="36">
        <v>8</v>
      </c>
      <c r="H17" s="38" t="str">
        <f>IF(I17="","",$I$14)</f>
        <v>SCOUTING</v>
      </c>
      <c r="I17" s="34">
        <v>87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250</v>
      </c>
      <c r="D18" s="32" t="s">
        <v>760</v>
      </c>
      <c r="E18" s="33">
        <v>2</v>
      </c>
      <c r="F18" s="36">
        <v>17</v>
      </c>
      <c r="G18" s="36">
        <v>15</v>
      </c>
      <c r="H18" s="38" t="str">
        <f t="shared" ref="H18:H81" si="8">IF(I18="","",$I$14)</f>
        <v>SCOUTING</v>
      </c>
      <c r="I18" s="34">
        <v>146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"E2025250"</v>
      </c>
      <c r="F3" s="45" t="str">
        <f t="shared" ref="F3:F16" si="0">""""&amp;B3&amp;"""" &amp; " : " &amp;C3&amp;","</f>
        <v>"name" : "E2025250",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"E250"</v>
      </c>
      <c r="F4" s="45" t="str">
        <f t="shared" si="0"/>
        <v>"cod" : "E250",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250</v>
      </c>
      <c r="F6" s="45" t="str">
        <f t="shared" si="0"/>
        <v>"number" : 250,</v>
      </c>
    </row>
    <row r="7" spans="2:6" x14ac:dyDescent="0.2">
      <c r="B7" s="43" t="s">
        <v>116</v>
      </c>
      <c r="C7" s="43" t="str">
        <f ca="1">""""&amp;TEXT('SCOUT &amp; LOGISTICS'!B3,"dd/mm/aaaa")&amp;""""</f>
        <v>"30/01/2026"</v>
      </c>
      <c r="F7" s="45" t="str">
        <f t="shared" ca="1" si="0"/>
        <v>"date" : "30/01/2026",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"ANGELINE BLOT"</v>
      </c>
      <c r="F13" s="45" t="str">
        <f t="shared" si="0"/>
        <v>"Timerkeeper" : "ANGELINE BLOT",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"CEDRIC LAURANCY"</v>
      </c>
      <c r="F14" s="45" t="str">
        <f t="shared" si="0"/>
        <v>"Shotclock" : "CEDRIC LAURANCY",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650</v>
      </c>
      <c r="F25" s="45" t="str">
        <f t="shared" ref="F25:F48" si="1">""""&amp;C25&amp;"""" &amp; " : " &amp;D25&amp;","</f>
        <v>"total_actions" : 650,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"EXCELLENT JOB. ET WAS AN "EASY" GAME BUT WITH SOME TRICKY ACTIONS, WELL SOLVED. GREAT PEACE OF THE GAME AND EDITING. QUITE GOOD CRITERIA."</v>
      </c>
      <c r="F51" s="45" t="str">
        <f>""""&amp;B51&amp;"""" &amp; " : " &amp;C51&amp;","</f>
        <v>"comments" : "EXCELLENT JOB. ET WAS AN "EASY" GAME BUT WITH SOME TRICKY ACTIONS, WELL SOLVED. GREAT PEACE OF THE GAME AND EDITING. QUITE GOOD CRITERIA.",</v>
      </c>
    </row>
    <row r="52" spans="2:6" x14ac:dyDescent="0.2">
      <c r="B52" s="43" t="s">
        <v>153</v>
      </c>
      <c r="C52" s="43" t="str">
        <f>TEXT('SCOUT &amp; LOGISTICS'!F1,"0,0")</f>
        <v>25_250_ASV_PAN_E2025</v>
      </c>
      <c r="F52" s="45" t="str">
        <f>""""&amp;B52&amp;"""" &amp; " : " &amp;C52</f>
        <v>"result" : 25_250_ASV_PAN_E2025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DURIEUX</v>
      </c>
      <c r="C8" s="201"/>
      <c r="D8" s="201"/>
      <c r="E8" s="201"/>
      <c r="F8" s="201"/>
      <c r="G8" s="201" t="str">
        <f>IF('SCOUT &amp; LOGISTICS'!D7="","",'SCOUT &amp; LOGISTICS'!D7)</f>
        <v>FLORENT BOITON</v>
      </c>
      <c r="H8" s="201"/>
      <c r="I8" s="201"/>
      <c r="J8" s="201"/>
      <c r="K8" s="201"/>
      <c r="L8" s="201" t="str">
        <f>IF('SCOUT &amp; LOGISTICS'!D8="","",'SCOUT &amp; LOGISTICS'!D8)</f>
        <v>STEPHANE FITOUSSI</v>
      </c>
      <c r="M8" s="201"/>
      <c r="N8" s="201"/>
      <c r="O8" s="201"/>
      <c r="P8" s="201"/>
      <c r="Q8" s="201" t="str">
        <f>IF('SCOUT &amp; LOGISTICS'!D9="","",'SCOUT &amp; LOGISTICS'!D9)</f>
        <v>ANGELINE BLOT</v>
      </c>
      <c r="R8" s="201"/>
      <c r="S8" s="201"/>
      <c r="T8" s="201"/>
      <c r="U8" s="201"/>
      <c r="V8" s="201" t="str">
        <f>IF('SCOUT &amp; LOGISTICS'!D10="","",'SCOUT &amp; LOGISTICS'!D10)</f>
        <v>CEDRIC LAURANCY</v>
      </c>
      <c r="W8" s="201"/>
      <c r="X8" s="201"/>
      <c r="Y8" s="201"/>
      <c r="Z8" s="201"/>
      <c r="AA8" s="201" t="str">
        <f>IF('SCOUT &amp; LOGISTICS'!D11="","",'SCOUT &amp; LOGISTICS'!D11)</f>
        <v>YOHAN STROBEL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650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3.0769230769230769E-3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EXCELLENT JOB. ET WAS AN "EASY" GAME BUT WITH SOME TRICKY ACTIONS, WELL SOLVED. GREAT PEACE OF THE GAME AND EDITING. QUITE GOOD CRITERIA.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1.8076923076923077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9A0FCFCD-B0E7-40ED-B11A-BAE576D5B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2026-02-03T22:12:22Z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