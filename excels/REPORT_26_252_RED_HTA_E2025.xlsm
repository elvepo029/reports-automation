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1" documentId="8_{833D22CE-2A11-4B7A-8156-211AD2B3AEFA}" xr6:coauthVersionLast="47" xr6:coauthVersionMax="47" xr10:uidLastSave="{14B6C4D4-DDD2-4FE1-9D09-5101C5429A7D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<sst xmlns="http://schemas.openxmlformats.org/spreadsheetml/2006/main" count="3250" uniqueCount="760">
  <si>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</si>
  <si>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</si>
  <si>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</si>
  <si>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</si>
  <si>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</si>
  <si>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</si>
  <si>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</si>
  <si>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</si>
  <si>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</si>
  <si>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</si>
  <si>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</si>
  <si>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</si>
  <si>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</si>
  <si>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</si>
  <si>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</si>
  <si>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</si>
  <si>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</si>
  <si>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</si>
  <si>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</si>
  <si>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</si>
  <si>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</si>
  <si>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</si>
  <si>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</si>
  <si>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</si>
  <si>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</si>
  <si>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</si>
  <si>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</si>
  <si>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</si>
  <si>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</si>
  <si>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</si>
  <si>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</si>
  <si>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</si>
  <si>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</si>
  <si>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</si>
  <si>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</si>
  <si>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</si>
  <si>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</si>
  <si>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</si>
  <si>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</si>
  <si>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</si>
  <si>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</si>
  <si>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</si>
  <si>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</si>
  <si>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</si>
  <si>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</si>
  <si>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</si>
  <si>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</si>
  <si>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</si>
  <si>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</si>
  <si>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</si>
  <si>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</si>
  <si>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</si>
  <si>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</si>
  <si>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</si>
  <si>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</si>
  <si>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</si>
  <si>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</si>
  <si>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</si>
  <si>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</si>
  <si>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</si>
  <si>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</si>
  <si>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</si>
  <si>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</si>
  <si>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</si>
  <si>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</si>
  <si>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</si>
  <si>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</si>
  <si>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</si>
  <si>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</si>
  <si>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</si>
  <si>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</si>
  <si>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</si>
  <si>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</si>
  <si>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</si>
  <si>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</si>
  <si>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</si>
  <si>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</si>
  <si>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</si>
  <si>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</si>
  <si>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</si>
  <si>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</si>
  <si>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</si>
  <si>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</si>
  <si>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</si>
  <si>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</si>
  <si>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</si>
  <si>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</si>
  <si>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</si>
  <si>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</si>
  <si>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</si>
  <si>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</si>
  <si>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</si>
  <si>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</si>
  <si>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</si>
  <si>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</si>
  <si>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</si>
  <si>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</si>
  <si>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</si>
  <si>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</si>
  <si>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</si>
  <si>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</si>
  <si>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</si>
  <si>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</si>
  <si>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</si>
  <si>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</si>
  <si>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</si>
  <si>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</si>
  <si>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</si>
  <si>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</si>
  <si>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</si>
  <si>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</si>
  <si>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</si>
  <si>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</si>
  <si>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</si>
  <si>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</si>
  <si>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</si>
  <si>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</si>
  <si>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</si>
  <si>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</si>
  <si>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</si>
  <si>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</si>
  <si>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</si>
  <si>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</si>
  <si>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</si>
  <si>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</si>
  <si>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</si>
  <si>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</si>
  <si>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</si>
  <si>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</si>
  <si>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</si>
  <si>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</si>
  <si>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</si>
  <si>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</si>
  <si>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</si>
  <si>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</si>
  <si>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</si>
  <si>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</si>
  <si>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</si>
  <si>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</si>
  <si>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</si>
  <si>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</si>
  <si>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</si>
  <si>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</si>
  <si>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</si>
  <si>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</si>
  <si>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</si>
  <si>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</si>
  <si>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</si>
  <si>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</si>
  <si>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</si>
  <si>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</si>
  <si>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</si>
  <si>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</si>
  <si>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</si>
  <si>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</si>
  <si>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</si>
  <si>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</si>
  <si>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</si>
  <si>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</si>
  <si>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</si>
  <si>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</si>
  <si>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</si>
  <si>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</si>
  <si>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</si>
  <si>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</si>
  <si>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</si>
  <si>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</si>
  <si>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</si>
  <si>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</si>
  <si>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</si>
  <si>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</si>
  <si>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</si>
  <si>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</si>
  <si>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</si>
  <si>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</si>
  <si>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</si>
  <si>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</si>
  <si>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</si>
  <si>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</si>
  <si>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</si>
  <si>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</si>
  <si>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</si>
  <si>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</si>
  <si>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</si>
  <si>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</si>
  <si>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</si>
  <si>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</si>
  <si>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</si>
  <si>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</si>
  <si>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</si>
  <si>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</si>
  <si>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</si>
  <si>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</si>
  <si>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</si>
  <si>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</si>
  <si>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</si>
  <si>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</si>
  <si>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</si>
  <si>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</si>
  <si>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</si>
  <si>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</si>
  <si>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</si>
  <si>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</si>
  <si>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</si>
  <si>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</si>
  <si>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</si>
  <si>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</si>
  <si>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</si>
  <si>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</si>
  <si>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</si>
  <si>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</si>
  <si>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</si>
  <si>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</si>
  <si>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</si>
  <si>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</si>
  <si>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</si>
  <si>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</si>
  <si>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</si>
  <si>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</si>
  <si>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</si>
  <si>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</si>
  <si>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</si>
  <si>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</si>
  <si>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</si>
  <si>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</si>
  <si>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</si>
  <si>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</si>
  <si>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</si>
  <si>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</si>
  <si>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</si>
  <si>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</si>
  <si>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</si>
  <si>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</si>
  <si>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</si>
  <si>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</si>
  <si>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</si>
  <si>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</si>
  <si>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</si>
  <si>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</si>
  <si>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</si>
  <si>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</si>
  <si>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</si>
  <si>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</si>
  <si>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</si>
  <si>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</si>
  <si>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</si>
  <si>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</si>
  <si>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</si>
  <si>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</si>
  <si>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</si>
  <si>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</si>
  <si>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</si>
  <si>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</si>
  <si>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</si>
  <si>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</si>
  <si>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</si>
  <si>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</si>
  <si>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</si>
  <si>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</si>
  <si>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</si>
  <si>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</si>
  <si>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</si>
  <si>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</si>
  <si>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</si>
  <si>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</si>
  <si>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</si>
  <si>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</si>
  <si>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</si>
  <si>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</si>
  <si>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</si>
  <si>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</si>
  <si>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</si>
  <si>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</si>
  <si>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</si>
  <si>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</si>
  <si>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</si>
  <si>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</si>
  <si>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</si>
  <si>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</si>
  <si>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</si>
  <si>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</si>
  <si>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</si>
  <si>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</si>
  <si>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</si>
  <si>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</si>
  <si>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</si>
  <si>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</si>
  <si>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</si>
  <si>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</si>
  <si>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</si>
  <si>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</si>
  <si>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</si>
  <si>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</si>
  <si>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</si>
  <si>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</si>
  <si>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</si>
  <si>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</si>
  <si>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</si>
  <si>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</si>
  <si>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</si>
  <si>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</si>
  <si>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</si>
  <si>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</si>
  <si>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</si>
  <si>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</si>
  <si>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</si>
  <si>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</si>
  <si>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</si>
  <si>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</si>
  <si>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</si>
  <si>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</si>
  <si>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</si>
  <si>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</si>
  <si>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</si>
  <si>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</si>
  <si>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</si>
  <si>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</si>
  <si>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</si>
  <si>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</si>
  <si>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</si>
  <si>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</si>
  <si>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</si>
  <si>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</si>
  <si>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</si>
  <si>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</si>
  <si>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</si>
  <si>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</si>
  <si>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</si>
  <si>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</si>
  <si>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</si>
  <si>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</si>
  <si>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</si>
  <si>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</si>
  <si>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</si>
  <si>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</si>
  <si>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</si>
  <si>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</si>
  <si>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</si>
  <si>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</si>
  <si>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</si>
  <si>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</si>
  <si>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</si>
  <si>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</si>
  <si>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</si>
  <si>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</si>
  <si>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</si>
  <si>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</si>
  <si>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</si>
  <si>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</si>
  <si>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</si>
  <si>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</si>
  <si>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</si>
  <si>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</si>
  <si>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</si>
  <si>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</si>
  <si>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</si>
  <si>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</si>
  <si>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</si>
  <si>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</si>
  <si>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</si>
  <si>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</si>
  <si>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</si>
  <si>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</si>
  <si>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</si>
  <si>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</si>
  <si>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</si>
  <si>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</si>
  <si>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</si>
  <si>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</si>
  <si>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</si>
  <si>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</si>
  <si>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</si>
  <si>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</si>
  <si>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</si>
  <si>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</si>
  <si>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</si>
  <si>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</si>
  <si>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</si>
  <si>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</si>
  <si>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</si>
  <si>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</si>
  <si>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</si>
  <si>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</si>
  <si>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</si>
  <si>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</si>
  <si>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</si>
  <si>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</si>
  <si>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</si>
  <si>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</si>
  <si>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</si>
  <si>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</si>
  <si>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</si>
  <si>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</si>
  <si>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</si>
  <si>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</si>
  <si>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</si>
  <si>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</si>
  <si>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</si>
  <si>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</si>
  <si>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</si>
  <si>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</si>
  <si>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</si>
  <si>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</si>
  <si>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</si>
  <si>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</si>
  <si>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</si>
  <si>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</si>
  <si>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</si>
  <si>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</si>
  <si>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</si>
  <si>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</si>
  <si>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</si>
  <si>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</si>
  <si>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</si>
  <si>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</si>
  <si>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</si>
  <si>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</si>
  <si>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</si>
  <si>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</si>
  <si>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</si>
  <si>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</si>
  <si>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</si>
  <si>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</si>
  <si>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</si>
  <si>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</si>
  <si>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</si>
  <si>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</si>
  <si>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</si>
  <si>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</si>
  <si>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</si>
  <si>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</si>
  <si>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</si>
  <si>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</si>
  <si>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</si>
  <si>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</si>
  <si>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</si>
  <si>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</si>
  <si>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</si>
  <si>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</si>
  <si>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</si>
  <si>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</si>
  <si>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</si>
  <si>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</si>
  <si>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</si>
  <si>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</si>
  <si>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</si>
  <si>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</si>
  <si>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</si>
  <si>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</si>
  <si>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</si>
  <si>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</si>
  <si>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</si>
  <si>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</si>
  <si>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</si>
  <si>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</si>
  <si>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</si>
  <si>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</si>
  <si>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</si>
  <si>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</si>
  <si>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</si>
  <si>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</si>
  <si>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</si>
  <si>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</si>
  <si>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</si>
  <si>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</si>
  <si>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</si>
  <si>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</si>
  <si>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</si>
  <si>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</si>
  <si>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</si>
  <si>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</si>
  <si>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</si>
  <si>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</si>
  <si>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</si>
  <si>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</si>
  <si>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</si>
  <si>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</si>
  <si>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</si>
  <si>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</si>
  <si>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</si>
  <si>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</si>
  <si>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</si>
  <si>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</si>
  <si>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</si>
  <si>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</si>
  <si>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</si>
  <si>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</si>
  <si>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</si>
  <si>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</si>
  <si>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</si>
  <si>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</si>
  <si>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</si>
  <si>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</si>
  <si>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</si>
  <si>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</si>
  <si>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</si>
  <si>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</si>
  <si>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</si>
  <si>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</si>
  <si>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</si>
  <si>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</si>
  <si>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</si>
  <si>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</si>
  <si>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</si>
  <si>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</si>
  <si>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</si>
  <si>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</si>
  <si>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</si>
  <si>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</si>
  <si>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</si>
  <si>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</si>
  <si>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</si>
  <si>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</si>
  <si>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</si>
  <si>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</si>
  <si>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</si>
  <si>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</si>
  <si>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</si>
  <si>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</si>
  <si>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</si>
  <si>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</si>
  <si>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</si>
  <si>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</si>
  <si>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</si>
  <si>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</si>
  <si>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</si>
  <si>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</si>
  <si>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</si>
  <si>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</si>
  <si>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</si>
  <si>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</si>
  <si>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</si>
  <si>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</si>
  <si>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</si>
  <si>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</si>
  <si>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</si>
  <si>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</si>
  <si>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</si>
  <si>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</si>
  <si>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</si>
  <si>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</si>
  <si>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</si>
  <si>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</si>
  <si>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</si>
  <si>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</si>
  <si>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</si>
  <si>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</si>
  <si>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</si>
  <si>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</si>
  <si>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</si>
  <si>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</si>
  <si>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</si>
  <si>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</si>
  <si>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</si>
  <si>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</si>
  <si>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</si>
  <si>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</si>
  <si>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</si>
  <si>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</si>
  <si>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</si>
  <si>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</si>
  <si>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</si>
  <si>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</si>
  <si>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</si>
  <si>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</si>
  <si>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</si>
  <si>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</si>
  <si>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</si>
  <si>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</si>
  <si>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</si>
  <si>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</si>
  <si>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</si>
  <si>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</si>
  <si>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</si>
  <si>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</si>
  <si>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</si>
  <si>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</si>
  <si>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</si>
  <si>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</si>
  <si>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</si>
  <si>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</si>
  <si>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</si>
  <si>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</si>
  <si>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</si>
  <si>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</si>
  <si>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</si>
  <si>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</si>
  <si>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</si>
  <si>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</si>
  <si>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</si>
  <si>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</si>
  <si>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</si>
  <si>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</si>
  <si>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</si>
  <si>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</si>
  <si>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</si>
  <si>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</si>
  <si>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</si>
  <si>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</si>
  <si>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</si>
  <si>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</si>
  <si>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</si>
  <si>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</si>
  <si>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</si>
  <si>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</si>
  <si>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</si>
  <si>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</si>
  <si>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</si>
  <si>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</si>
  <si>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</si>
  <si>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</si>
  <si>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</si>
  <si>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</si>
  <si>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</si>
  <si>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</si>
  <si>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</si>
  <si>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</si>
  <si>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</si>
  <si>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</si>
  <si>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</si>
  <si>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</si>
  <si>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</si>
  <si>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</si>
  <si>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</si>
  <si>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</si>
  <si>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</si>
  <si>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</si>
  <si>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</si>
  <si>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</si>
  <si>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</si>
  <si>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</si>
  <si>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</si>
  <si>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</si>
  <si>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</si>
  <si>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</si>
  <si>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</si>
  <si>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</si>
  <si>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</si>
  <si>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</si>
  <si>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</si>
  <si>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</si>
  <si>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</si>
  <si>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</si>
  <si>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</si>
  <si>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</si>
  <si>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</si>
  <si>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</si>
  <si>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</si>
  <si>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</si>
  <si>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</si>
  <si>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</si>
  <si>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</si>
  <si>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</si>
  <si>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</si>
  <si>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</si>
  <si>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</si>
  <si>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</si>
  <si>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</si>
  <si>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</si>
  <si>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</si>
  <si>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</si>
  <si>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</si>
  <si>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</si>
  <si>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</si>
  <si>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</si>
  <si>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</si>
  <si>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</si>
  <si>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</si>
  <si>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</si>
  <si>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</si>
  <si>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</si>
  <si>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</si>
  <si>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</si>
  <si>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</si>
  <si>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</si>
  <si>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</si>
  <si>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</si>
  <si>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</si>
  <si>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</si>
  <si>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</si>
  <si>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</si>
  <si>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</si>
  <si>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</si>
  <si>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</si>
  <si>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</si>
  <si>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</si>
  <si>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</si>
  <si>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</si>
  <si>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</si>
  <si>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</si>
  <si>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</si>
  <si>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</si>
  <si>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</si>
  <si>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</si>
  <si>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</si>
  <si>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</si>
  <si>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</si>
  <si>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</si>
  <si>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</si>
  <si>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</si>
  <si>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</si>
  <si>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</si>
  <si>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</si>
  <si>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</si>
  <si>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</si>
  <si>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</si>
  <si>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</si>
  <si>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</si>
  <si>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</si>
  <si>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</si>
  <si>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</si>
  <si>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</si>
  <si>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</si>
  <si>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</si>
  <si>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</si>
  <si>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</si>
  <si>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</si>
  <si>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</si>
  <si>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</si>
  <si>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</si>
  <si>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</si>
  <si>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</si>
  <si>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</si>
  <si>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</si>
  <si>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</si>
  <si>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</si>
  <si>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</si>
  <si>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</si>
  <si>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</si>
  <si>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</si>
  <si>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</si>
  <si>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</si>
  <si>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</si>
  <si>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</si>
  <si>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</si>
  <si>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</si>
  <si>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</si>
  <si>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</si>
  <si>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</si>
  <si>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</si>
  <si>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</si>
  <si>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</si>
  <si>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</si>
  <si>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</si>
  <si>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</si>
  <si>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</si>
  <si>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</si>
  <si>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</si>
  <si>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</si>
  <si>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C:\Users\hector.guillen\EUROLEAGUE\EB STATS - Documents\General\SEASON 2025-26\Reports\Euroleague</t>
  </si>
  <si>
    <t>C:\Users\hector.guillen\EUROLEAGUE\EB STATS - Documents\General\SEASON 2025-26\Reports\Euroleague\PDF</t>
  </si>
  <si>
    <t>IVAN MOSIC</t>
  </si>
  <si>
    <t>MIODRAG STOJANOVIC</t>
  </si>
  <si>
    <t>MILOS MOSIC</t>
  </si>
  <si>
    <t>BOJANA KRALJEVIC</t>
  </si>
  <si>
    <t>JELENA BOGUCANIN</t>
  </si>
  <si>
    <t>JOVANA DOJCINOVIC</t>
  </si>
  <si>
    <t>HECTOR GUILLEN</t>
  </si>
  <si>
    <t>9:37</t>
  </si>
  <si>
    <t>Very good job!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</si>
</sst>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26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26_252_RED_HTA_E2025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252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46056.833333333336</v>
      </c>
      <c r="C3" s="157"/>
      <c r="D3" s="39">
        <v>558</v>
      </c>
      <c r="E3" s="29"/>
      <c r="F3" s="26">
        <f>SUBTOTAL(3,I17:I106)</f>
        <v>1</v>
      </c>
      <c r="G3" s="27">
        <f>IF(OR(D3="",D3=0),"",F3/D3)</f>
        <v>1.7921146953405018E-3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Crvena Zvezda Meridianbet Belgrade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RED</v>
      </c>
      <c r="I4" s="5"/>
      <c r="J4" s="119" t="s">
        <v>714</v>
      </c>
      <c r="K4" s="54" t="s">
        <v>742</v>
      </c>
      <c r="L4" s="5"/>
      <c r="M4" s="167" t="s">
        <v>759</v>
      </c>
      <c r="N4" s="168"/>
      <c r="O4" s="2"/>
      <c r="P4" s="2"/>
      <c r="Q4" s="84" t="s">
        <v>175</v>
      </c>
      <c r="R4" s="94">
        <f>(IF(G3="",0,G3))</f>
        <v>1.7921146953405018E-3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Hapoel IBI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0.17921146953405018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2.6792114695340503</v>
      </c>
      <c r="N7" s="58"/>
      <c r="O7" s="2"/>
      <c r="P7" s="2"/>
      <c r="Q7" s="86">
        <f>SUM(R5,S5,AC16)</f>
        <v>2.6792114695340503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2.6792114695340503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252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757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252</v>
      </c>
      <c r="D17" s="32" t="s">
        <v>758</v>
      </c>
      <c r="E17" s="33">
        <v>3</v>
      </c>
      <c r="F17" s="36">
        <v>49</v>
      </c>
      <c r="G17" s="36">
        <v>45</v>
      </c>
      <c r="H17" s="38" t="str">
        <f>IF(I17="","",$I$14)</f>
        <v>SCOUTING</v>
      </c>
      <c r="I17" s="34">
        <v>295</v>
      </c>
      <c r="J17" s="13" t="s">
        <v>4</v>
      </c>
      <c r="K17" s="13" t="s">
        <v>62</v>
      </c>
      <c r="L17" s="13" t="s">
        <v>7</v>
      </c>
      <c r="M17" s="13" t="s">
        <v>30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1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REPORT_E2025252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"E2025252"</v>
      </c>
      <c r="F3" s="45" t="str">
        <f t="shared" ref="F3:F16" si="0">""""&amp;B3&amp;"""" &amp; " : " &amp;C3&amp;","</f>
        <v>"name" : "E2025252",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"E252"</v>
      </c>
      <c r="F4" s="45" t="str">
        <f t="shared" si="0"/>
        <v>"cod" : "E252",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252</v>
      </c>
      <c r="F6" s="45" t="str">
        <f t="shared" si="0"/>
        <v>"number" : 252,</v>
      </c>
    </row>
    <row r="7" spans="2:6" x14ac:dyDescent="0.25">
      <c r="B7" s="43" t="s">
        <v>116</v>
      </c>
      <c r="C7" s="43" t="str">
        <f ca="1">""""&amp;TEXT('SCOUT &amp; LOGISTICS'!B3,"dd/mm/aaaa")&amp;""""</f>
        <v>"03/02/Tuesday"</v>
      </c>
      <c r="F7" s="45" t="str">
        <f t="shared" ca="1" si="0"/>
        <v>"date" : "03/02/Tuesday",</v>
      </c>
    </row>
    <row r="8" spans="2:6" x14ac:dyDescent="0.25">
      <c r="B8" s="43" t="s">
        <v>125</v>
      </c>
      <c r="C8" s="43" t="str">
        <f>""""&amp;'SCOUT &amp; LOGISTICS'!D4 &amp;""""</f>
        <v>"Crvena Zvezda Meridianbet Belgrade"</v>
      </c>
      <c r="F8" s="45" t="str">
        <f t="shared" si="0"/>
        <v>"home_team" : "Crvena Zvezda Meridianbet Belgrade",</v>
      </c>
    </row>
    <row r="9" spans="2:6" x14ac:dyDescent="0.25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"IVAN MOSIC"</v>
      </c>
      <c r="F10" s="45" t="str">
        <f t="shared" si="0"/>
        <v>"Data_entry" : "IVAN MOSIC",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"MIODRAG STOJANOVIC"</v>
      </c>
      <c r="F11" s="45" t="str">
        <f t="shared" si="0"/>
        <v>"Caller_1" : "MIODRAG STOJANOVIC",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"MILOS MOSIC"</v>
      </c>
      <c r="F12" s="45" t="str">
        <f t="shared" si="0"/>
        <v>"Caller_2" : "MILOS MOSIC",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"BOJANA KRALJEVIC"</v>
      </c>
      <c r="F13" s="45" t="str">
        <f t="shared" si="0"/>
        <v>"Timerkeeper" : "BOJANA KRALJEVIC",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"JELENA BOGUCANIN"</v>
      </c>
      <c r="F14" s="45" t="str">
        <f t="shared" si="0"/>
        <v>"Shotclock" : "JELENA BOGUCANIN",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"JOVANA DOJCINOVIC"</v>
      </c>
      <c r="F15" s="45" t="str">
        <f t="shared" si="0"/>
        <v>"IRS" : "JOVANA DOJCINOVIC",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558</v>
      </c>
      <c r="F25" s="45" t="str">
        <f t="shared" ref="F25:F48" si="1">""""&amp;C25&amp;"""" &amp; " : " &amp;D25&amp;","</f>
        <v>"total_actions" : 558,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up!"</v>
      </c>
      <c r="F51" s="45" t="str">
        <f>""""&amp;B51&amp;"""" &amp; " : " &amp;C51&amp;","</f>
        <v>"comments" : "Very good job! Keep it up!",</v>
      </c>
    </row>
    <row r="52" spans="2:6" x14ac:dyDescent="0.25">
      <c r="B52" s="43" t="s">
        <v>153</v>
      </c>
      <c r="C52" s="43" t="str">
        <f>TEXT('SCOUT &amp; LOGISTICS'!F1,"0,0")</f>
        <v>26_252_RED_HTA_E2025</v>
      </c>
      <c r="F52" s="45" t="str">
        <f>""""&amp;B52&amp;"""" &amp; " : " &amp;C52</f>
        <v>"result" : 26_252_RED_HTA_E2025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E252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03/02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Crvena Zvezda Meridianbet Belgrade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Hapoel Ibi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IVAN MOSIC</v>
      </c>
      <c r="C8" s="206"/>
      <c r="D8" s="206"/>
      <c r="E8" s="206"/>
      <c r="F8" s="206"/>
      <c r="G8" s="206" t="str">
        <f>IF('SCOUT &amp; LOGISTICS'!D7="","",'SCOUT &amp; LOGISTICS'!D7)</f>
        <v>MIODRAG STOJANOVIC</v>
      </c>
      <c r="H8" s="206"/>
      <c r="I8" s="206"/>
      <c r="J8" s="206"/>
      <c r="K8" s="206"/>
      <c r="L8" s="206" t="str">
        <f>IF('SCOUT &amp; LOGISTICS'!D8="","",'SCOUT &amp; LOGISTICS'!D8)</f>
        <v>MILOS MOSIC</v>
      </c>
      <c r="M8" s="206"/>
      <c r="N8" s="206"/>
      <c r="O8" s="206"/>
      <c r="P8" s="206"/>
      <c r="Q8" s="206" t="str">
        <f>IF('SCOUT &amp; LOGISTICS'!D9="","",'SCOUT &amp; LOGISTICS'!D9)</f>
        <v>BOJANA KRALJEVIC</v>
      </c>
      <c r="R8" s="206"/>
      <c r="S8" s="206"/>
      <c r="T8" s="206"/>
      <c r="U8" s="206"/>
      <c r="V8" s="206" t="str">
        <f>IF('SCOUT &amp; LOGISTICS'!D10="","",'SCOUT &amp; LOGISTICS'!D10)</f>
        <v>JELENA BOGUCANIN</v>
      </c>
      <c r="W8" s="206"/>
      <c r="X8" s="206"/>
      <c r="Y8" s="206"/>
      <c r="Z8" s="206"/>
      <c r="AA8" s="206" t="str">
        <f>IF('SCOUT &amp; LOGISTICS'!D11="","",'SCOUT &amp; LOGISTICS'!D11)</f>
        <v>JOVANA DOJCINOVIC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558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1.7921146953405018E-3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2.6792114695340503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DC698A2-29EB-472F-AC28-83CD4DC855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2026-02-06T21:26:48Z</cp:lastPrinted>
  <dcterms:created xsi:type="dcterms:W3CDTF">2023-09-19T19:50:35Z</dcterms:created>
  <dcterms:modified xsi:type="dcterms:W3CDTF">2026-02-06T21:26:51Z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