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8_{15CB2493-3DF8-44B8-9237-7BB7A1AF5A3B}" xr6:coauthVersionLast="47" xr6:coauthVersionMax="47" xr10:uidLastSave="{00000000-0000-0000-0000-000000000000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<sst xmlns="http://schemas.openxmlformats.org/spreadsheetml/2006/main" count="3235" uniqueCount="752">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</sst>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26_253_DUB_OLY_E2025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253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46056.833333333336</v>
      </c>
      <c r="C3" s="157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Dubai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tr">
        <f>H7</f>
        <v>Data entry Name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tr">
        <f>I7</f>
        <v>Caller 1 Name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tr">
        <f>J7</f>
        <v>Caller 2 Name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tr">
        <f>K7</f>
        <v>Timerkeeper Name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tr">
        <f>L7</f>
        <v>Shotclock Name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REPORT_E2025253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"E2025253"</v>
      </c>
      <c r="F3" s="45" t="str">
        <f t="shared" ref="F3:F16" si="0">""""&amp;B3&amp;"""" &amp; " : " &amp;C3&amp;","</f>
        <v>"name" : "E2025253",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"E253"</v>
      </c>
      <c r="F4" s="45" t="str">
        <f t="shared" si="0"/>
        <v>"cod" : "E253",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253</v>
      </c>
      <c r="F6" s="45" t="str">
        <f t="shared" si="0"/>
        <v>"number" : 253,</v>
      </c>
    </row>
    <row r="7" spans="2:6" x14ac:dyDescent="0.25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5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26_253_DUB_OLY_E2025</v>
      </c>
      <c r="F52" s="45" t="str">
        <f>""""&amp;B52&amp;"""" &amp; " : " &amp;C52</f>
        <v>"result" : 26_253_DUB_OLY_E2025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E253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Dubai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Data entry Name</v>
      </c>
      <c r="C8" s="206"/>
      <c r="D8" s="206"/>
      <c r="E8" s="206"/>
      <c r="F8" s="206"/>
      <c r="G8" s="206" t="str">
        <f>IF('SCOUT &amp; LOGISTICS'!D7="","",'SCOUT &amp; LOGISTICS'!D7)</f>
        <v>Caller 1 Name</v>
      </c>
      <c r="H8" s="206"/>
      <c r="I8" s="206"/>
      <c r="J8" s="206"/>
      <c r="K8" s="206"/>
      <c r="L8" s="206" t="str">
        <f>IF('SCOUT &amp; LOGISTICS'!D8="","",'SCOUT &amp; LOGISTICS'!D8)</f>
        <v>Caller 2 Name</v>
      </c>
      <c r="M8" s="206"/>
      <c r="N8" s="206"/>
      <c r="O8" s="206"/>
      <c r="P8" s="206"/>
      <c r="Q8" s="206" t="str">
        <f>IF('SCOUT &amp; LOGISTICS'!D9="","",'SCOUT &amp; LOGISTICS'!D9)</f>
        <v>Timerkeeper Name</v>
      </c>
      <c r="R8" s="206"/>
      <c r="S8" s="206"/>
      <c r="T8" s="206"/>
      <c r="U8" s="206"/>
      <c r="V8" s="206" t="str">
        <f>IF('SCOUT &amp; LOGISTICS'!D10="","",'SCOUT &amp; LOGISTICS'!D10)</f>
        <v>Shotclock Name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792354-DCB6-4084-B7AF-AB20D587CF6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2025-10-09T17:11:09Z</cp:lastPrinted>
  <dcterms:created xsi:type="dcterms:W3CDTF">2023-09-19T19:50:35Z</dcterms:created>
  <dcterms:modified xsi:type="dcterms:W3CDTF">2026-02-04T15:31:09Z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