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85" documentId="8_{FF4C7481-5D7E-461F-945F-F603EDD15284}" xr6:coauthVersionLast="47" xr6:coauthVersionMax="47" xr10:uidLastSave="{74082CBE-73C4-4E6B-9B60-F0AD48630BA1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<sst xmlns="http://schemas.openxmlformats.org/spreadsheetml/2006/main" count="3268" uniqueCount="765">
  <si>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</si>
  <si>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</si>
  <si>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</si>
  <si>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</si>
  <si>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</si>
  <si>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</si>
  <si>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</si>
  <si>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</si>
  <si>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</si>
  <si>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</si>
  <si>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</si>
  <si>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</si>
  <si>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</si>
  <si>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</si>
  <si>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</si>
  <si>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</si>
  <si>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</si>
  <si>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</si>
  <si>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</si>
  <si>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</si>
  <si>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</si>
  <si>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</si>
  <si>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</si>
  <si>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</si>
  <si>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</si>
  <si>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</si>
  <si>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</si>
  <si>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</si>
  <si>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</si>
  <si>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</si>
  <si>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</si>
  <si>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</si>
  <si>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</si>
  <si>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</si>
  <si>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</si>
  <si>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</si>
  <si>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</si>
  <si>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</si>
  <si>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</si>
  <si>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</si>
  <si>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</si>
  <si>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</si>
  <si>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</si>
  <si>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</si>
  <si>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</si>
  <si>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</si>
  <si>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</si>
  <si>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</si>
  <si>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</si>
  <si>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</si>
  <si>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</si>
  <si>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</si>
  <si>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</si>
  <si>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</si>
  <si>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</si>
  <si>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</si>
  <si>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</si>
  <si>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</si>
  <si>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</si>
  <si>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</si>
  <si>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</si>
  <si>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</si>
  <si>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</si>
  <si>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</si>
  <si>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</si>
  <si>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</si>
  <si>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</si>
  <si>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</si>
  <si>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</si>
  <si>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</si>
  <si>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</si>
  <si>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</si>
  <si>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</si>
  <si>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</si>
  <si>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</si>
  <si>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</si>
  <si>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</si>
  <si>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</si>
  <si>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</si>
  <si>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</si>
  <si>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</si>
  <si>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</si>
  <si>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</si>
  <si>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</si>
  <si>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</si>
  <si>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</si>
  <si>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</si>
  <si>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</si>
  <si>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</si>
  <si>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</si>
  <si>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</si>
  <si>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</si>
  <si>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</si>
  <si>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</si>
  <si>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</si>
  <si>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</si>
  <si>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</si>
  <si>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</si>
  <si>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</si>
  <si>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</si>
  <si>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</si>
  <si>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</si>
  <si>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</si>
  <si>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</si>
  <si>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</si>
  <si>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</si>
  <si>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</si>
  <si>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</si>
  <si>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</si>
  <si>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</si>
  <si>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</si>
  <si>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</si>
  <si>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</si>
  <si>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</si>
  <si>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</si>
  <si>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</si>
  <si>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</si>
  <si>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</si>
  <si>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</si>
  <si>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</si>
  <si>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</si>
  <si>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</si>
  <si>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</si>
  <si>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</si>
  <si>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</si>
  <si>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</si>
  <si>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</si>
  <si>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</si>
  <si>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</si>
  <si>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</si>
  <si>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</si>
  <si>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</si>
  <si>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</si>
  <si>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</si>
  <si>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</si>
  <si>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</si>
  <si>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</si>
  <si>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</si>
  <si>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</si>
  <si>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</si>
  <si>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</si>
  <si>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</si>
  <si>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</si>
  <si>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</si>
  <si>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</si>
  <si>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</si>
  <si>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</si>
  <si>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</si>
  <si>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</si>
  <si>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</si>
  <si>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</si>
  <si>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</si>
  <si>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</si>
  <si>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</si>
  <si>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</si>
  <si>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</si>
  <si>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</si>
  <si>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</si>
  <si>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</si>
  <si>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</si>
  <si>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</si>
  <si>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</si>
  <si>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</si>
  <si>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</si>
  <si>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</si>
  <si>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</si>
  <si>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</si>
  <si>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</si>
  <si>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</si>
  <si>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</si>
  <si>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</si>
  <si>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</si>
  <si>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</si>
  <si>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</si>
  <si>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</si>
  <si>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</si>
  <si>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</si>
  <si>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</si>
  <si>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</si>
  <si>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</si>
  <si>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</si>
  <si>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</si>
  <si>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</si>
  <si>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</si>
  <si>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</si>
  <si>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</si>
  <si>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</si>
  <si>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</si>
  <si>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</si>
  <si>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</si>
  <si>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</si>
  <si>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</si>
  <si>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</si>
  <si>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</si>
  <si>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</si>
  <si>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</si>
  <si>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</si>
  <si>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</si>
  <si>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</si>
  <si>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</si>
  <si>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</si>
  <si>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</si>
  <si>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</si>
  <si>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</si>
  <si>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</si>
  <si>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</si>
  <si>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</si>
  <si>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</si>
  <si>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</si>
  <si>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</si>
  <si>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</si>
  <si>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</si>
  <si>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</si>
  <si>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</si>
  <si>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</si>
  <si>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</si>
  <si>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</si>
  <si>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</si>
  <si>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</si>
  <si>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</si>
  <si>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</si>
  <si>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</si>
  <si>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</si>
  <si>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</si>
  <si>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</si>
  <si>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</si>
  <si>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</si>
  <si>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</si>
  <si>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</si>
  <si>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</si>
  <si>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</si>
  <si>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</si>
  <si>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</si>
  <si>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</si>
  <si>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</si>
  <si>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</si>
  <si>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</si>
  <si>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</si>
  <si>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</si>
  <si>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</si>
  <si>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</si>
  <si>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</si>
  <si>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</si>
  <si>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</si>
  <si>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</si>
  <si>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</si>
  <si>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</si>
  <si>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</si>
  <si>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</si>
  <si>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</si>
  <si>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</si>
  <si>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</si>
  <si>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</si>
  <si>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</si>
  <si>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</si>
  <si>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</si>
  <si>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</si>
  <si>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</si>
  <si>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</si>
  <si>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</si>
  <si>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</si>
  <si>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</si>
  <si>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</si>
  <si>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</si>
  <si>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</si>
  <si>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</si>
  <si>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</si>
  <si>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</si>
  <si>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</si>
  <si>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</si>
  <si>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</si>
  <si>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</si>
  <si>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</si>
  <si>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</si>
  <si>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</si>
  <si>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</si>
  <si>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</si>
  <si>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</si>
  <si>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</si>
  <si>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</si>
  <si>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</si>
  <si>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</si>
  <si>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</si>
  <si>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</si>
  <si>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</si>
  <si>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</si>
  <si>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</si>
  <si>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</si>
  <si>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</si>
  <si>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</si>
  <si>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</si>
  <si>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</si>
  <si>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</si>
  <si>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</si>
  <si>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</si>
  <si>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</si>
  <si>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</si>
  <si>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</si>
  <si>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</si>
  <si>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</si>
  <si>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</si>
  <si>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</si>
  <si>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</si>
  <si>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</si>
  <si>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</si>
  <si>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</si>
  <si>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</si>
  <si>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</si>
  <si>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</si>
  <si>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</si>
  <si>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</si>
  <si>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</si>
  <si>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</si>
  <si>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</si>
  <si>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</si>
  <si>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</si>
  <si>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</si>
  <si>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</si>
  <si>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</si>
  <si>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</si>
  <si>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</si>
  <si>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</si>
  <si>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</si>
  <si>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</si>
  <si>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</si>
  <si>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</si>
  <si>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</si>
  <si>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</si>
  <si>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</si>
  <si>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</si>
  <si>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</si>
  <si>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</si>
  <si>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</si>
  <si>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</si>
  <si>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</si>
  <si>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</si>
  <si>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</si>
  <si>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</si>
  <si>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</si>
  <si>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</si>
  <si>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</si>
  <si>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</si>
  <si>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</si>
  <si>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</si>
  <si>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</si>
  <si>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</si>
  <si>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</si>
  <si>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</si>
  <si>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</si>
  <si>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</si>
  <si>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</si>
  <si>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</si>
  <si>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</si>
  <si>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</si>
  <si>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</si>
  <si>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</si>
  <si>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</si>
  <si>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</si>
  <si>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</si>
  <si>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</si>
  <si>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</si>
  <si>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</si>
  <si>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</si>
  <si>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</si>
  <si>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</si>
  <si>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</si>
  <si>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</si>
  <si>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</si>
  <si>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</si>
  <si>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</si>
  <si>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</si>
  <si>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</si>
  <si>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</si>
  <si>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</si>
  <si>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</si>
  <si>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</si>
  <si>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</si>
  <si>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</si>
  <si>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</si>
  <si>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</si>
  <si>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</si>
  <si>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</si>
  <si>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</si>
  <si>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</si>
  <si>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</si>
  <si>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</si>
  <si>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</si>
  <si>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</si>
  <si>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</si>
  <si>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</si>
  <si>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</si>
  <si>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</si>
  <si>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</si>
  <si>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</si>
  <si>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</si>
  <si>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</si>
  <si>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</si>
  <si>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</si>
  <si>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</si>
  <si>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</si>
  <si>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</si>
  <si>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</si>
  <si>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</si>
  <si>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</si>
  <si>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</si>
  <si>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</si>
  <si>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</si>
  <si>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</si>
  <si>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</si>
  <si>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</si>
  <si>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</si>
  <si>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</si>
  <si>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</si>
  <si>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</si>
  <si>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</si>
  <si>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</si>
  <si>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</si>
  <si>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</si>
  <si>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</si>
  <si>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</si>
  <si>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</si>
  <si>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</si>
  <si>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</si>
  <si>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</si>
  <si>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</si>
  <si>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</si>
  <si>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</si>
  <si>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</si>
  <si>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</si>
  <si>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</si>
  <si>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</si>
  <si>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</si>
  <si>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</si>
  <si>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</si>
  <si>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</si>
  <si>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</si>
  <si>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</si>
  <si>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</si>
  <si>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</si>
  <si>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</si>
  <si>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</si>
  <si>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</si>
  <si>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</si>
  <si>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</si>
  <si>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</si>
  <si>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</si>
  <si>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</si>
  <si>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</si>
  <si>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</si>
  <si>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</si>
  <si>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</si>
  <si>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</si>
  <si>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</si>
  <si>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</si>
  <si>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</si>
  <si>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</si>
  <si>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</si>
  <si>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</si>
  <si>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</si>
  <si>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</si>
  <si>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</si>
  <si>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</si>
  <si>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</si>
  <si>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</si>
  <si>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</si>
  <si>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</si>
  <si>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</si>
  <si>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</si>
  <si>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</si>
  <si>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</si>
  <si>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</si>
  <si>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</si>
  <si>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</si>
  <si>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</si>
  <si>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</si>
  <si>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</si>
  <si>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</si>
  <si>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</si>
  <si>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</si>
  <si>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</si>
  <si>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</si>
  <si>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</si>
  <si>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</si>
  <si>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</si>
  <si>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</si>
  <si>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</si>
  <si>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</si>
  <si>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</si>
  <si>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</si>
  <si>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</si>
  <si>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</si>
  <si>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</si>
  <si>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</si>
  <si>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</si>
  <si>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</si>
  <si>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</si>
  <si>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</si>
  <si>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</si>
  <si>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</si>
  <si>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</si>
  <si>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</si>
  <si>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</si>
  <si>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</si>
  <si>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</si>
  <si>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</si>
  <si>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</si>
  <si>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</si>
  <si>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</si>
  <si>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</si>
  <si>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</si>
  <si>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</si>
  <si>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</si>
  <si>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</si>
  <si>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</si>
  <si>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</si>
  <si>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</si>
  <si>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</si>
  <si>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</si>
  <si>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</si>
  <si>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</si>
  <si>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</si>
  <si>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</si>
  <si>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</si>
  <si>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</si>
  <si>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</si>
  <si>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</si>
  <si>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</si>
  <si>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</si>
  <si>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</si>
  <si>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</si>
  <si>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</si>
  <si>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</si>
  <si>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</si>
  <si>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</si>
  <si>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</si>
  <si>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</si>
  <si>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</si>
  <si>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</si>
  <si>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</si>
  <si>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</si>
  <si>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</si>
  <si>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</si>
  <si>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</si>
  <si>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</si>
  <si>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</si>
  <si>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</si>
  <si>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</si>
  <si>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</si>
  <si>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</si>
  <si>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</si>
  <si>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</si>
  <si>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</si>
  <si>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</si>
  <si>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</si>
  <si>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</si>
  <si>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</si>
  <si>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</si>
  <si>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</si>
  <si>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</si>
  <si>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</si>
  <si>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</si>
  <si>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</si>
  <si>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</si>
  <si>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</si>
  <si>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</si>
  <si>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</si>
  <si>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</si>
  <si>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</si>
  <si>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</si>
  <si>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</si>
  <si>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</si>
  <si>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</si>
  <si>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</si>
  <si>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</si>
  <si>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</si>
  <si>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</si>
  <si>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</si>
  <si>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</si>
  <si>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</si>
  <si>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</si>
  <si>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</si>
  <si>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</si>
  <si>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</si>
  <si>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</si>
  <si>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</si>
  <si>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</si>
  <si>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</si>
  <si>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</si>
  <si>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</si>
  <si>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</si>
  <si>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</si>
  <si>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</si>
  <si>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</si>
  <si>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</si>
  <si>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</si>
  <si>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</si>
  <si>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</si>
  <si>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</si>
  <si>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</si>
  <si>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</si>
  <si>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</si>
  <si>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</si>
  <si>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</si>
  <si>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</si>
  <si>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</si>
  <si>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</si>
  <si>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</si>
  <si>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</si>
  <si>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</si>
  <si>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</si>
  <si>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</si>
  <si>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</si>
  <si>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</si>
  <si>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</si>
  <si>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</si>
  <si>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</si>
  <si>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</si>
  <si>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</si>
  <si>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</si>
  <si>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</si>
  <si>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</si>
  <si>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</si>
  <si>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</si>
  <si>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</si>
  <si>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</si>
  <si>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</si>
  <si>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</si>
  <si>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</si>
  <si>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</si>
  <si>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</si>
  <si>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</si>
  <si>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</si>
  <si>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</si>
  <si>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</si>
  <si>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</si>
  <si>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</si>
  <si>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</si>
  <si>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</si>
  <si>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</si>
  <si>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</si>
  <si>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</si>
  <si>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</si>
  <si>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</si>
  <si>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</si>
  <si>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</si>
  <si>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</si>
  <si>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</si>
  <si>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</si>
  <si>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</si>
  <si>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</si>
  <si>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</si>
  <si>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</si>
  <si>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</si>
  <si>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</si>
  <si>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</si>
  <si>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</si>
  <si>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</si>
  <si>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</si>
  <si>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</si>
  <si>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</si>
  <si>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</si>
  <si>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</si>
  <si>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</si>
  <si>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</si>
  <si>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</si>
  <si>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</si>
  <si>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</si>
  <si>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</si>
  <si>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</si>
  <si>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</si>
  <si>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</si>
  <si>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</si>
  <si>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</si>
  <si>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</si>
  <si>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</si>
  <si>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</si>
  <si>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</si>
  <si>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</si>
  <si>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</si>
  <si>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</si>
  <si>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</si>
  <si>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</si>
  <si>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</si>
  <si>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</si>
  <si>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</si>
  <si>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</si>
  <si>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</si>
  <si>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</si>
  <si>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</si>
  <si>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</si>
  <si>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</si>
  <si>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</si>
  <si>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</si>
  <si>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</si>
  <si>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</si>
  <si>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</si>
  <si>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</si>
  <si>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</si>
  <si>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</si>
  <si>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</si>
  <si>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</si>
  <si>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</si>
  <si>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</si>
  <si>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</si>
  <si>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</si>
  <si>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</si>
  <si>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</si>
  <si>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</si>
  <si>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</si>
  <si>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</si>
  <si>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</si>
  <si>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</si>
  <si>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</si>
  <si>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</si>
  <si>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</si>
  <si>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</si>
  <si>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</si>
  <si>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</si>
  <si>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</si>
  <si>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</si>
  <si>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</si>
  <si>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</si>
  <si>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</si>
  <si>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</si>
  <si>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</si>
  <si>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</si>
  <si>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</si>
  <si>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</si>
  <si>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</si>
  <si>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</si>
  <si>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</si>
  <si>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</si>
  <si>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</si>
  <si>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</si>
  <si>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</si>
  <si>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</si>
  <si>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</si>
  <si>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</si>
  <si>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</si>
  <si>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</si>
  <si>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</si>
  <si>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</si>
  <si>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</si>
  <si>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</si>
  <si>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</si>
  <si>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</si>
  <si>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</si>
  <si>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</si>
  <si>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</si>
  <si>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ALESSANDRO ZUCCA</t>
  </si>
  <si>
    <t>PAOLO NORBERTO ZANDALINI</t>
  </si>
  <si>
    <t>EMANUELA DALLA COSTA</t>
  </si>
  <si>
    <t>THEA MORELLO</t>
  </si>
  <si>
    <t>ENRICO ROSTI</t>
  </si>
  <si>
    <t>SIMONA PANFILI</t>
  </si>
  <si>
    <t>NEREA FRAILE</t>
  </si>
  <si>
    <t>C:\Users\nerea.fraile\EUROLEAGUE\EB STATS - Documents\General\SEASON 2025-26\Reports\Euroleague\PDF</t>
  </si>
  <si>
    <t>C:\Users\nerea.fraile\EUROLEAGUE\EB STATS - Documents\General\SEASON 2025-26\Reports\Euroleague</t>
  </si>
  <si>
    <t>00:26</t>
  </si>
  <si>
    <t>08:50</t>
  </si>
  <si>
    <t>The mistake is about a turnover and the steal asociated</t>
  </si>
  <si>
    <t>08:53</t>
  </si>
  <si>
    <t>03:10</t>
  </si>
  <si>
    <t>The mistake is about a missed two pointer and the rebound asociated</t>
  </si>
  <si>
    <t>Very good job! Be aware of quick turnovers and steals; if there's ball possession, these must be  counted although they happen in just a few seconds. Excellent teamwork and communication.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</si>
</sst>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26_254_MIL_BAS_E2025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254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46056.854166666664</v>
      </c>
      <c r="C3" s="178"/>
      <c r="D3" s="39">
        <v>583</v>
      </c>
      <c r="E3" s="29"/>
      <c r="F3" s="26">
        <f>SUBTOTAL(3,I17:I106)</f>
        <v>4</v>
      </c>
      <c r="G3" s="27">
        <f>IF(OR(D3="",D3=0),"",F3/D3)</f>
        <v>6.8610634648370496E-3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EA7 Emporio Armani Milan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742</v>
      </c>
      <c r="L4" s="5"/>
      <c r="M4" s="185" t="s">
        <v>764</v>
      </c>
      <c r="N4" s="186"/>
      <c r="O4" s="2"/>
      <c r="P4" s="2"/>
      <c r="Q4" s="84" t="s">
        <v>175</v>
      </c>
      <c r="R4" s="94">
        <f>(IF(G3="",0,G3))</f>
        <v>6.8610634648370496E-3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Baskonia Vitoria-Gasteiz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0.68610634648370494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749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5.1861063464837045</v>
      </c>
      <c r="N7" s="58"/>
      <c r="O7" s="2"/>
      <c r="P7" s="2"/>
      <c r="Q7" s="86">
        <f>SUM(R5,S5,AC16)</f>
        <v>5.1861063464837045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5.1861063464837045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753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254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254</v>
      </c>
      <c r="D17" s="32" t="s">
        <v>758</v>
      </c>
      <c r="E17" s="33">
        <v>2</v>
      </c>
      <c r="F17" s="36">
        <v>53</v>
      </c>
      <c r="G17" s="36">
        <v>54</v>
      </c>
      <c r="H17" s="38" t="str">
        <f>IF(I17="","",$I$14)</f>
        <v>SCOUTING</v>
      </c>
      <c r="I17" s="34">
        <v>253</v>
      </c>
      <c r="J17" s="13" t="s">
        <v>4</v>
      </c>
      <c r="K17" s="13" t="s">
        <v>61</v>
      </c>
      <c r="L17" s="13" t="s">
        <v>75</v>
      </c>
      <c r="M17" s="13" t="s">
        <v>26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254</v>
      </c>
      <c r="D18" s="32" t="s">
        <v>761</v>
      </c>
      <c r="E18" s="33">
        <v>3</v>
      </c>
      <c r="F18" s="36">
        <v>57</v>
      </c>
      <c r="G18" s="36">
        <v>56</v>
      </c>
      <c r="H18" s="38" t="str">
        <f t="shared" ref="H18:H81" si="8">IF(I18="","",$I$14)</f>
        <v>SCOUTING</v>
      </c>
      <c r="I18" s="34">
        <v>293</v>
      </c>
      <c r="J18" s="13" t="s">
        <v>4</v>
      </c>
      <c r="K18" s="13" t="s">
        <v>62</v>
      </c>
      <c r="L18" s="13" t="s">
        <v>5</v>
      </c>
      <c r="M18" s="13" t="s">
        <v>9</v>
      </c>
      <c r="N18" s="35" t="s">
        <v>760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254</v>
      </c>
      <c r="D19" s="32" t="s">
        <v>759</v>
      </c>
      <c r="E19" s="33">
        <v>3</v>
      </c>
      <c r="F19" s="36">
        <v>57</v>
      </c>
      <c r="G19" s="36">
        <v>56</v>
      </c>
      <c r="H19" s="38" t="str">
        <f t="shared" si="8"/>
        <v>SCOUTING</v>
      </c>
      <c r="I19" s="34">
        <v>293</v>
      </c>
      <c r="J19" s="13" t="s">
        <v>4</v>
      </c>
      <c r="K19" s="13" t="s">
        <v>63</v>
      </c>
      <c r="L19" s="13" t="s">
        <v>5</v>
      </c>
      <c r="M19" s="13" t="s">
        <v>9</v>
      </c>
      <c r="N19" s="35" t="s">
        <v>760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254</v>
      </c>
      <c r="D20" s="32" t="s">
        <v>762</v>
      </c>
      <c r="E20" s="33">
        <v>4</v>
      </c>
      <c r="F20" s="36">
        <v>103</v>
      </c>
      <c r="G20" s="36">
        <v>83</v>
      </c>
      <c r="H20" s="38" t="str">
        <f t="shared" si="8"/>
        <v>SCOUTING</v>
      </c>
      <c r="I20" s="34">
        <v>529</v>
      </c>
      <c r="J20" s="13" t="s">
        <v>4</v>
      </c>
      <c r="K20" s="13" t="s">
        <v>62</v>
      </c>
      <c r="L20" s="13" t="s">
        <v>7</v>
      </c>
      <c r="M20" s="13" t="s">
        <v>27</v>
      </c>
      <c r="N20" s="35" t="s">
        <v>763</v>
      </c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REPORT_E2025254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"E2025254"</v>
      </c>
      <c r="F3" s="45" t="str">
        <f t="shared" ref="F3:F16" si="0">""""&amp;B3&amp;"""" &amp; " : " &amp;C3&amp;","</f>
        <v>"name" : "E2025254",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"E254"</v>
      </c>
      <c r="F4" s="45" t="str">
        <f t="shared" si="0"/>
        <v>"cod" : "E254",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254</v>
      </c>
      <c r="F6" s="45" t="str">
        <f t="shared" si="0"/>
        <v>"number" : 254,</v>
      </c>
    </row>
    <row r="7" spans="2:6" x14ac:dyDescent="0.25">
      <c r="B7" s="43" t="s">
        <v>116</v>
      </c>
      <c r="C7" s="43" t="str">
        <f ca="1">""""&amp;TEXT('SCOUT &amp; LOGISTICS'!B3,"dd/mm/aaaa")&amp;""""</f>
        <v>"03/02/Tuesday"</v>
      </c>
      <c r="F7" s="45" t="str">
        <f t="shared" ca="1" si="0"/>
        <v>"date" : "03/02/Tuesday",</v>
      </c>
    </row>
    <row r="8" spans="2:6" x14ac:dyDescent="0.25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"ALESSANDRO ZUCCA"</v>
      </c>
      <c r="F10" s="45" t="str">
        <f t="shared" si="0"/>
        <v>"Data_entry" : "ALESSANDRO ZUCCA",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"PAOLO NORBERTO ZANDALINI"</v>
      </c>
      <c r="F11" s="45" t="str">
        <f t="shared" si="0"/>
        <v>"Caller_1" : "PAOLO NORBERTO ZANDALINI",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"EMANUELA DALLA COSTA"</v>
      </c>
      <c r="F12" s="45" t="str">
        <f t="shared" si="0"/>
        <v>"Caller_2" : "EMANUELA DALLA COSTA",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"THEA MORELLO"</v>
      </c>
      <c r="F13" s="45" t="str">
        <f t="shared" si="0"/>
        <v>"Timerkeeper" : "THEA MORELLO",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"SIMONA PANFILI"</v>
      </c>
      <c r="F14" s="45" t="str">
        <f t="shared" si="0"/>
        <v>"Shotclock" : "SIMONA PANFILI",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"ENRICO ROSTI"</v>
      </c>
      <c r="F15" s="45" t="str">
        <f t="shared" si="0"/>
        <v>"IRS" : "ENRICO ROSTI",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583</v>
      </c>
      <c r="F25" s="45" t="str">
        <f t="shared" ref="F25:F48" si="1">""""&amp;C25&amp;"""" &amp; " : " &amp;D25&amp;","</f>
        <v>"total_actions" : 583,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Be aware of quick turnovers and steals; if there's ball possession, these must be  counted although they happen in just a few seconds. Excellent teamwork and communication. Keep it up!"</v>
      </c>
      <c r="F51" s="45" t="str">
        <f>""""&amp;B51&amp;"""" &amp; " : " &amp;C51&amp;","</f>
        <v>"comments" : "Very good job! Be aware of quick turnovers and steals; if there's ball possession, these must be  counted although they happen in just a few seconds. Excellent teamwork and communication. Keep it up!",</v>
      </c>
    </row>
    <row r="52" spans="2:6" x14ac:dyDescent="0.25">
      <c r="B52" s="43" t="s">
        <v>153</v>
      </c>
      <c r="C52" s="43" t="str">
        <f>TEXT('SCOUT &amp; LOGISTICS'!F1,"0,0")</f>
        <v>26_254_MIL_BAS_E2025</v>
      </c>
      <c r="F52" s="45" t="str">
        <f>""""&amp;B52&amp;"""" &amp; " : " &amp;C52</f>
        <v>"result" : 26_254_MIL_BAS_E2025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E254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03/02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Ea7 Emporio Armani Milan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Baskonia Vitoria-Gasteiz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ALESSANDRO ZUCCA</v>
      </c>
      <c r="C8" s="201"/>
      <c r="D8" s="201"/>
      <c r="E8" s="201"/>
      <c r="F8" s="201"/>
      <c r="G8" s="201" t="str">
        <f>IF('SCOUT &amp; LOGISTICS'!D7="","",'SCOUT &amp; LOGISTICS'!D7)</f>
        <v>PAOLO NORBERTO ZANDALINI</v>
      </c>
      <c r="H8" s="201"/>
      <c r="I8" s="201"/>
      <c r="J8" s="201"/>
      <c r="K8" s="201"/>
      <c r="L8" s="201" t="str">
        <f>IF('SCOUT &amp; LOGISTICS'!D8="","",'SCOUT &amp; LOGISTICS'!D8)</f>
        <v>EMANUELA DALLA COSTA</v>
      </c>
      <c r="M8" s="201"/>
      <c r="N8" s="201"/>
      <c r="O8" s="201"/>
      <c r="P8" s="201"/>
      <c r="Q8" s="201" t="str">
        <f>IF('SCOUT &amp; LOGISTICS'!D9="","",'SCOUT &amp; LOGISTICS'!D9)</f>
        <v>THEA MORELLO</v>
      </c>
      <c r="R8" s="201"/>
      <c r="S8" s="201"/>
      <c r="T8" s="201"/>
      <c r="U8" s="201"/>
      <c r="V8" s="201" t="str">
        <f>IF('SCOUT &amp; LOGISTICS'!D10="","",'SCOUT &amp; LOGISTICS'!D10)</f>
        <v>SIMONA PANFILI</v>
      </c>
      <c r="W8" s="201"/>
      <c r="X8" s="201"/>
      <c r="Y8" s="201"/>
      <c r="Z8" s="201"/>
      <c r="AA8" s="201" t="str">
        <f>IF('SCOUT &amp; LOGISTICS'!D11="","",'SCOUT &amp; LOGISTICS'!D11)</f>
        <v>ENRICO ROSTI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583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4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6.8610634648370496E-3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1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4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1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 Be aware of quick turnovers and steals; if there's ball possession, these must be  counted although they happen in just a few seconds. Excellent teamwork and communication.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5.1861063464837045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1521AE96-EBD8-4DE1-B0BB-788BC70C90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2026-02-04T16:39:35Z</cp:lastPrinted>
  <dcterms:created xsi:type="dcterms:W3CDTF">2023-09-19T19:50:35Z</dcterms:created>
  <dcterms:modified xsi:type="dcterms:W3CDTF">2026-02-04T16:39:41Z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