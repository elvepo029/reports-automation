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6" documentId="8_{81622C87-2FB0-428A-8C4E-5426B9430F84}" xr6:coauthVersionLast="47" xr6:coauthVersionMax="47" xr10:uidLastSave="{9CE1D4BD-6F35-4561-BCA3-8377EB0A7FAC}"/>
  <bookViews>
    <workbookView xWindow="-28920" yWindow="675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<sst xmlns="http://schemas.openxmlformats.org/spreadsheetml/2006/main" count="3285" uniqueCount="767">
  <si>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</si>
  <si>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</si>
  <si>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</si>
  <si>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</si>
  <si>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</si>
  <si>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</si>
  <si>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</si>
  <si>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</si>
  <si>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</si>
  <si>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</si>
  <si>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</si>
  <si>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</si>
  <si>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</si>
  <si>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</si>
  <si>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</si>
  <si>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</si>
  <si>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</si>
  <si>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</si>
  <si>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</si>
  <si>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</si>
  <si>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</si>
  <si>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</si>
  <si>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</si>
  <si>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</si>
  <si>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</si>
  <si>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</si>
  <si>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</si>
  <si>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</si>
  <si>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</si>
  <si>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</si>
  <si>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</si>
  <si>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</si>
  <si>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</si>
  <si>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</si>
  <si>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</si>
  <si>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</si>
  <si>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</si>
  <si>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</si>
  <si>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</si>
  <si>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</si>
  <si>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</si>
  <si>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</si>
  <si>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</si>
  <si>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</si>
  <si>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</si>
  <si>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</si>
  <si>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</si>
  <si>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</si>
  <si>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</si>
  <si>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</si>
  <si>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</si>
  <si>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</si>
  <si>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</si>
  <si>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</si>
  <si>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</si>
  <si>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</si>
  <si>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</si>
  <si>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</si>
  <si>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</si>
  <si>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</si>
  <si>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</si>
  <si>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</si>
  <si>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</si>
  <si>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</si>
  <si>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</si>
  <si>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</si>
  <si>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</si>
  <si>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</si>
  <si>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</si>
  <si>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</si>
  <si>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</si>
  <si>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</si>
  <si>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</si>
  <si>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</si>
  <si>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</si>
  <si>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</si>
  <si>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</si>
  <si>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</si>
  <si>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</si>
  <si>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</si>
  <si>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</si>
  <si>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</si>
  <si>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</si>
  <si>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</si>
  <si>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</si>
  <si>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</si>
  <si>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</si>
  <si>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</si>
  <si>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</si>
  <si>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</si>
  <si>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</si>
  <si>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</si>
  <si>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</si>
  <si>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</si>
  <si>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</si>
  <si>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</si>
  <si>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</si>
  <si>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</si>
  <si>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</si>
  <si>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</si>
  <si>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</si>
  <si>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</si>
  <si>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</si>
  <si>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</si>
  <si>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</si>
  <si>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</si>
  <si>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</si>
  <si>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</si>
  <si>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</si>
  <si>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</si>
  <si>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</si>
  <si>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</si>
  <si>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</si>
  <si>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</si>
  <si>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</si>
  <si>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</si>
  <si>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</si>
  <si>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</si>
  <si>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</si>
  <si>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</si>
  <si>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</si>
  <si>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</si>
  <si>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</si>
  <si>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</si>
  <si>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</si>
  <si>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</si>
  <si>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</si>
  <si>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</si>
  <si>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</si>
  <si>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</si>
  <si>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</si>
  <si>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</si>
  <si>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</si>
  <si>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</si>
  <si>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</si>
  <si>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</si>
  <si>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</si>
  <si>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</si>
  <si>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</si>
  <si>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</si>
  <si>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</si>
  <si>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</si>
  <si>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</si>
  <si>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</si>
  <si>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</si>
  <si>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</si>
  <si>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</si>
  <si>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</si>
  <si>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</si>
  <si>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</si>
  <si>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</si>
  <si>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</si>
  <si>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</si>
  <si>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</si>
  <si>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</si>
  <si>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</si>
  <si>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</si>
  <si>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</si>
  <si>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</si>
  <si>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</si>
  <si>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</si>
  <si>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</si>
  <si>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</si>
  <si>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</si>
  <si>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</si>
  <si>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</si>
  <si>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</si>
  <si>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</si>
  <si>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</si>
  <si>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</si>
  <si>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</si>
  <si>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</si>
  <si>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</si>
  <si>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</si>
  <si>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</si>
  <si>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</si>
  <si>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</si>
  <si>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</si>
  <si>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</si>
  <si>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</si>
  <si>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</si>
  <si>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</si>
  <si>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</si>
  <si>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</si>
  <si>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</si>
  <si>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</si>
  <si>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</si>
  <si>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</si>
  <si>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</si>
  <si>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</si>
  <si>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</si>
  <si>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</si>
  <si>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</si>
  <si>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</si>
  <si>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</si>
  <si>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</si>
  <si>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</si>
  <si>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</si>
  <si>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</si>
  <si>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</si>
  <si>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</si>
  <si>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</si>
  <si>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</si>
  <si>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</si>
  <si>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</si>
  <si>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</si>
  <si>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</si>
  <si>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</si>
  <si>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</si>
  <si>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</si>
  <si>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</si>
  <si>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</si>
  <si>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</si>
  <si>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</si>
  <si>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</si>
  <si>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</si>
  <si>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</si>
  <si>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</si>
  <si>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</si>
  <si>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</si>
  <si>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</si>
  <si>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</si>
  <si>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</si>
  <si>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</si>
  <si>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</si>
  <si>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</si>
  <si>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</si>
  <si>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</si>
  <si>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</si>
  <si>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</si>
  <si>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</si>
  <si>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</si>
  <si>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</si>
  <si>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</si>
  <si>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</si>
  <si>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</si>
  <si>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</si>
  <si>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</si>
  <si>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</si>
  <si>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</si>
  <si>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</si>
  <si>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</si>
  <si>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</si>
  <si>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</si>
  <si>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</si>
  <si>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</si>
  <si>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</si>
  <si>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</si>
  <si>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</si>
  <si>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</si>
  <si>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</si>
  <si>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</si>
  <si>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</si>
  <si>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</si>
  <si>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</si>
  <si>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</si>
  <si>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</si>
  <si>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</si>
  <si>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</si>
  <si>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</si>
  <si>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</si>
  <si>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</si>
  <si>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</si>
  <si>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</si>
  <si>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</si>
  <si>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</si>
  <si>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</si>
  <si>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</si>
  <si>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</si>
  <si>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</si>
  <si>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</si>
  <si>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</si>
  <si>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</si>
  <si>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</si>
  <si>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</si>
  <si>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</si>
  <si>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</si>
  <si>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</si>
  <si>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</si>
  <si>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</si>
  <si>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</si>
  <si>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</si>
  <si>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</si>
  <si>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</si>
  <si>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</si>
  <si>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</si>
  <si>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</si>
  <si>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</si>
  <si>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</si>
  <si>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</si>
  <si>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</si>
  <si>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</si>
  <si>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</si>
  <si>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</si>
  <si>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</si>
  <si>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</si>
  <si>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</si>
  <si>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</si>
  <si>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</si>
  <si>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</si>
  <si>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</si>
  <si>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</si>
  <si>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</si>
  <si>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</si>
  <si>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</si>
  <si>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</si>
  <si>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</si>
  <si>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</si>
  <si>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</si>
  <si>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</si>
  <si>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</si>
  <si>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</si>
  <si>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</si>
  <si>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</si>
  <si>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</si>
  <si>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</si>
  <si>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</si>
  <si>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</si>
  <si>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</si>
  <si>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</si>
  <si>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</si>
  <si>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</si>
  <si>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</si>
  <si>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</si>
  <si>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</si>
  <si>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</si>
  <si>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</si>
  <si>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</si>
  <si>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</si>
  <si>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</si>
  <si>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</si>
  <si>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</si>
  <si>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</si>
  <si>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</si>
  <si>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</si>
  <si>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</si>
  <si>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</si>
  <si>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</si>
  <si>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</si>
  <si>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</si>
  <si>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</si>
  <si>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</si>
  <si>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</si>
  <si>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</si>
  <si>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</si>
  <si>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</si>
  <si>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</si>
  <si>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</si>
  <si>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</si>
  <si>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</si>
  <si>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</si>
  <si>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</si>
  <si>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</si>
  <si>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</si>
  <si>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</si>
  <si>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</si>
  <si>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</si>
  <si>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</si>
  <si>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</si>
  <si>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</si>
  <si>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</si>
  <si>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</si>
  <si>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</si>
  <si>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</si>
  <si>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</si>
  <si>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</si>
  <si>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</si>
  <si>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</si>
  <si>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</si>
  <si>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</si>
  <si>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</si>
  <si>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</si>
  <si>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</si>
  <si>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</si>
  <si>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</si>
  <si>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</si>
  <si>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</si>
  <si>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</si>
  <si>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</si>
  <si>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</si>
  <si>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</si>
  <si>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</si>
  <si>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</si>
  <si>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</si>
  <si>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</si>
  <si>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</si>
  <si>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</si>
  <si>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</si>
  <si>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</si>
  <si>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</si>
  <si>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</si>
  <si>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</si>
  <si>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</si>
  <si>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</si>
  <si>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</si>
  <si>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</si>
  <si>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</si>
  <si>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</si>
  <si>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</si>
  <si>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</si>
  <si>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</si>
  <si>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</si>
  <si>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</si>
  <si>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</si>
  <si>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</si>
  <si>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</si>
  <si>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</si>
  <si>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</si>
  <si>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</si>
  <si>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</si>
  <si>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</si>
  <si>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</si>
  <si>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</si>
  <si>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</si>
  <si>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</si>
  <si>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</si>
  <si>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</si>
  <si>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</si>
  <si>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</si>
  <si>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</si>
  <si>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</si>
  <si>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</si>
  <si>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</si>
  <si>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</si>
  <si>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</si>
  <si>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</si>
  <si>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</si>
  <si>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</si>
  <si>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</si>
  <si>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</si>
  <si>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</si>
  <si>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</si>
  <si>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</si>
  <si>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</si>
  <si>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</si>
  <si>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</si>
  <si>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</si>
  <si>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</si>
  <si>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</si>
  <si>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</si>
  <si>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</si>
  <si>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</si>
  <si>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</si>
  <si>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</si>
  <si>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</si>
  <si>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</si>
  <si>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</si>
  <si>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</si>
  <si>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</si>
  <si>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</si>
  <si>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</si>
  <si>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</si>
  <si>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</si>
  <si>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</si>
  <si>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</si>
  <si>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</si>
  <si>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</si>
  <si>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</si>
  <si>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</si>
  <si>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</si>
  <si>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</si>
  <si>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</si>
  <si>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</si>
  <si>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</si>
  <si>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</si>
  <si>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</si>
  <si>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</si>
  <si>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</si>
  <si>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</si>
  <si>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</si>
  <si>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</si>
  <si>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</si>
  <si>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</si>
  <si>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</si>
  <si>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</si>
  <si>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</si>
  <si>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</si>
  <si>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</si>
  <si>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</si>
  <si>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</si>
  <si>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</si>
  <si>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</si>
  <si>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</si>
  <si>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</si>
  <si>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</si>
  <si>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</si>
  <si>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</si>
  <si>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</si>
  <si>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</si>
  <si>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</si>
  <si>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</si>
  <si>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</si>
  <si>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</si>
  <si>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</si>
  <si>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</si>
  <si>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</si>
  <si>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</si>
  <si>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</si>
  <si>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</si>
  <si>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</si>
  <si>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</si>
  <si>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</si>
  <si>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</si>
  <si>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</si>
  <si>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</si>
  <si>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</si>
  <si>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</si>
  <si>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</si>
  <si>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</si>
  <si>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</si>
  <si>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</si>
  <si>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</si>
  <si>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</si>
  <si>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</si>
  <si>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</si>
  <si>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</si>
  <si>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</si>
  <si>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</si>
  <si>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</si>
  <si>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</si>
  <si>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</si>
  <si>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</si>
  <si>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</si>
  <si>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</si>
  <si>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</si>
  <si>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</si>
  <si>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</si>
  <si>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</si>
  <si>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</si>
  <si>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</si>
  <si>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</si>
  <si>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</si>
  <si>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</si>
  <si>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</si>
  <si>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</si>
  <si>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</si>
  <si>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</si>
  <si>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</si>
  <si>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</si>
  <si>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</si>
  <si>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</si>
  <si>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</si>
  <si>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</si>
  <si>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</si>
  <si>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</si>
  <si>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</si>
  <si>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</si>
  <si>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</si>
  <si>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</si>
  <si>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</si>
  <si>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</si>
  <si>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</si>
  <si>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</si>
  <si>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</si>
  <si>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</si>
  <si>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</si>
  <si>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</si>
  <si>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</si>
  <si>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</si>
  <si>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</si>
  <si>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</si>
  <si>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</si>
  <si>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</si>
  <si>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</si>
  <si>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</si>
  <si>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</si>
  <si>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</si>
  <si>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</si>
  <si>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</si>
  <si>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</si>
  <si>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</si>
  <si>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</si>
  <si>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</si>
  <si>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</si>
  <si>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</si>
  <si>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</si>
  <si>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</si>
  <si>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</si>
  <si>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</si>
  <si>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</si>
  <si>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</si>
  <si>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</si>
  <si>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</si>
  <si>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</si>
  <si>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</si>
  <si>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</si>
  <si>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</si>
  <si>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</si>
  <si>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</si>
  <si>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</si>
  <si>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</si>
  <si>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</si>
  <si>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</si>
  <si>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</si>
  <si>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</si>
  <si>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</si>
  <si>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</si>
  <si>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</si>
  <si>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</si>
  <si>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</si>
  <si>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</si>
  <si>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</si>
  <si>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</si>
  <si>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</si>
  <si>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</si>
  <si>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</si>
  <si>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</si>
  <si>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</si>
  <si>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</si>
  <si>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</si>
  <si>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</si>
  <si>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</si>
  <si>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</si>
  <si>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</si>
  <si>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</si>
  <si>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</si>
  <si>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</si>
  <si>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</si>
  <si>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</si>
  <si>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</si>
  <si>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</si>
  <si>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</si>
  <si>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</si>
  <si>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</si>
  <si>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</si>
  <si>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</si>
  <si>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</si>
  <si>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</si>
  <si>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</si>
  <si>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</si>
  <si>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</si>
  <si>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</si>
  <si>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</si>
  <si>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</si>
  <si>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</si>
  <si>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</si>
  <si>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</si>
  <si>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</si>
  <si>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</si>
  <si>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</si>
  <si>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</si>
  <si>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</si>
  <si>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</si>
  <si>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</si>
  <si>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</si>
  <si>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</si>
  <si>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</si>
  <si>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</si>
  <si>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</si>
  <si>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</si>
  <si>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</si>
  <si>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</si>
  <si>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</si>
  <si>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</si>
  <si>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</si>
  <si>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</si>
  <si>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</si>
  <si>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</si>
  <si>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</si>
  <si>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</si>
  <si>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</si>
  <si>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</si>
  <si>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</si>
  <si>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</si>
  <si>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</si>
  <si>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</si>
  <si>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</si>
  <si>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</si>
  <si>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</si>
  <si>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</si>
  <si>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</si>
  <si>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</si>
  <si>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</si>
  <si>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</si>
  <si>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</si>
  <si>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</si>
  <si>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</si>
  <si>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</si>
  <si>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</si>
  <si>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</si>
  <si>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</si>
  <si>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</si>
  <si>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</si>
  <si>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</si>
  <si>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</si>
  <si>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</si>
  <si>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</si>
  <si>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</si>
  <si>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</si>
  <si>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</si>
  <si>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</si>
  <si>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</si>
  <si>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</si>
  <si>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</si>
  <si>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</si>
  <si>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</si>
  <si>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</si>
  <si>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</si>
  <si>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</si>
  <si>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</si>
  <si>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</si>
  <si>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</si>
  <si>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</si>
  <si>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</si>
  <si>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</si>
  <si>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</si>
  <si>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</si>
  <si>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</si>
  <si>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</si>
  <si>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</si>
  <si>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</si>
  <si>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</si>
  <si>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</si>
  <si>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</si>
  <si>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</si>
  <si>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</si>
  <si>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</si>
  <si>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</si>
  <si>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</si>
  <si>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</si>
  <si>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</si>
  <si>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</si>
  <si>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</si>
  <si>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</si>
  <si>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</si>
  <si>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</si>
  <si>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</si>
  <si>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</si>
  <si>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</si>
  <si>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</si>
  <si>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</si>
  <si>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</si>
  <si>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</si>
  <si>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</si>
  <si>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</si>
  <si>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</si>
  <si>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</si>
  <si>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</si>
  <si>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</si>
  <si>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</si>
  <si>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</si>
  <si>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</si>
  <si>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</si>
  <si>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</si>
  <si>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</si>
  <si>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</si>
  <si>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</si>
  <si>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</si>
  <si>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</si>
  <si>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</si>
  <si>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GERARD CAROD</t>
  </si>
  <si>
    <t>RICARD MONGE</t>
  </si>
  <si>
    <t>ALBERTO MORALES</t>
  </si>
  <si>
    <t>MARIA JOSE SERRANO</t>
  </si>
  <si>
    <t>MARC BAYO</t>
  </si>
  <si>
    <t>JESUS LOPEZ</t>
  </si>
  <si>
    <t>ORIOL GARCIA</t>
  </si>
  <si>
    <t>07:45</t>
  </si>
  <si>
    <t>05:34</t>
  </si>
  <si>
    <t>04:12</t>
  </si>
  <si>
    <t>07:44</t>
  </si>
  <si>
    <t>04:31</t>
  </si>
  <si>
    <t>03:49</t>
  </si>
  <si>
    <t>00:53</t>
  </si>
  <si>
    <t>03:02</t>
  </si>
  <si>
    <t>Very good job during whole game, very good communications and excelent procedures, dealing perfectly the protest situation. It was a pitty the corrections on subs. Keep working like that.</t>
  </si>
  <si>
    <t>C:\Users\oriol.garcia\OneDrive - EUROLEAGUE\Documents\Season 25-26\Reports\Euroleague\FC Barcelona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</si>
</sst>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27" sqref="M2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26_255_BAR_ULK_E2025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255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46056.854166666664</v>
      </c>
      <c r="C3" s="157"/>
      <c r="D3" s="39">
        <v>594</v>
      </c>
      <c r="E3" s="29"/>
      <c r="F3" s="26">
        <f>SUBTOTAL(3,I17:I106)</f>
        <v>8</v>
      </c>
      <c r="G3" s="27">
        <f>IF(OR(D3="",D3=0),"",F3/D3)</f>
        <v>1.3468013468013467E-2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67" t="s">
        <v>765</v>
      </c>
      <c r="N4" s="168"/>
      <c r="O4" s="2"/>
      <c r="P4" s="2"/>
      <c r="Q4" s="84" t="s">
        <v>175</v>
      </c>
      <c r="R4" s="94">
        <f>(IF(G3="",0,G3))</f>
        <v>1.3468013468013467E-2</v>
      </c>
      <c r="S4" s="61">
        <f>SUM(I13:M13)</f>
        <v>0</v>
      </c>
      <c r="T4" s="78"/>
      <c r="U4" s="61">
        <f>AC18</f>
        <v>3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1.3468013468013467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14.346801346801346</v>
      </c>
      <c r="N7" s="58"/>
      <c r="O7" s="2"/>
      <c r="P7" s="2"/>
      <c r="Q7" s="86">
        <f>SUM(R5,S5,AC16)</f>
        <v>14.346801346801346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14.346801346801346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13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255</v>
      </c>
      <c r="D17" s="32" t="s">
        <v>757</v>
      </c>
      <c r="E17" s="33">
        <v>1</v>
      </c>
      <c r="F17" s="36">
        <v>2</v>
      </c>
      <c r="G17" s="36">
        <v>2</v>
      </c>
      <c r="H17" s="38" t="str">
        <f>IF(I17="","",$I$14)</f>
        <v>SCOUTING</v>
      </c>
      <c r="I17" s="34">
        <v>22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255</v>
      </c>
      <c r="D18" s="32" t="s">
        <v>758</v>
      </c>
      <c r="E18" s="33">
        <v>1</v>
      </c>
      <c r="F18" s="36">
        <v>4</v>
      </c>
      <c r="G18" s="36">
        <v>9</v>
      </c>
      <c r="H18" s="38" t="str">
        <f t="shared" ref="H18:H81" si="8">IF(I18="","",$I$14)</f>
        <v>SCOUTING</v>
      </c>
      <c r="I18" s="34">
        <v>47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255</v>
      </c>
      <c r="D19" s="32" t="s">
        <v>759</v>
      </c>
      <c r="E19" s="33">
        <v>2</v>
      </c>
      <c r="F19" s="36">
        <v>32</v>
      </c>
      <c r="G19" s="36">
        <v>45</v>
      </c>
      <c r="H19" s="38" t="str">
        <f t="shared" si="8"/>
        <v>SCOUTING</v>
      </c>
      <c r="I19" s="34">
        <v>219</v>
      </c>
      <c r="J19" s="13" t="s">
        <v>4</v>
      </c>
      <c r="K19" s="13" t="s">
        <v>62</v>
      </c>
      <c r="L19" s="13" t="s">
        <v>48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255</v>
      </c>
      <c r="D20" s="32" t="s">
        <v>760</v>
      </c>
      <c r="E20" s="33">
        <v>3</v>
      </c>
      <c r="F20" s="36">
        <v>44</v>
      </c>
      <c r="G20" s="36">
        <v>57</v>
      </c>
      <c r="H20" s="38" t="str">
        <f t="shared" si="8"/>
        <v>SCOUTING</v>
      </c>
      <c r="I20" s="34">
        <v>301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1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255</v>
      </c>
      <c r="D21" s="32" t="s">
        <v>761</v>
      </c>
      <c r="E21" s="33">
        <v>3</v>
      </c>
      <c r="F21" s="36">
        <v>48</v>
      </c>
      <c r="G21" s="36">
        <v>65</v>
      </c>
      <c r="H21" s="38" t="str">
        <f t="shared" si="8"/>
        <v>SCOUTING</v>
      </c>
      <c r="I21" s="34">
        <v>338</v>
      </c>
      <c r="J21" s="13" t="s">
        <v>4</v>
      </c>
      <c r="K21" s="13" t="s">
        <v>62</v>
      </c>
      <c r="L21" s="13" t="s">
        <v>7</v>
      </c>
      <c r="M21" s="13" t="s">
        <v>37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255</v>
      </c>
      <c r="D22" s="32" t="s">
        <v>762</v>
      </c>
      <c r="E22" s="33">
        <v>3</v>
      </c>
      <c r="F22" s="36">
        <v>49</v>
      </c>
      <c r="G22" s="36">
        <v>67</v>
      </c>
      <c r="H22" s="38" t="str">
        <f t="shared" si="8"/>
        <v>SCOUTING</v>
      </c>
      <c r="I22" s="34">
        <v>368</v>
      </c>
      <c r="J22" s="13" t="s">
        <v>4</v>
      </c>
      <c r="K22" s="13" t="s">
        <v>63</v>
      </c>
      <c r="L22" s="13" t="s">
        <v>6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255</v>
      </c>
      <c r="D23" s="32" t="s">
        <v>763</v>
      </c>
      <c r="E23" s="33">
        <v>4</v>
      </c>
      <c r="F23" s="36">
        <v>76</v>
      </c>
      <c r="G23" s="36">
        <v>80</v>
      </c>
      <c r="H23" s="38" t="str">
        <f t="shared" si="8"/>
        <v>SCOUTING</v>
      </c>
      <c r="I23" s="34">
        <v>560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255</v>
      </c>
      <c r="D24" s="32" t="s">
        <v>764</v>
      </c>
      <c r="E24" s="33">
        <v>3</v>
      </c>
      <c r="F24" s="36">
        <v>51</v>
      </c>
      <c r="G24" s="36">
        <v>69</v>
      </c>
      <c r="H24" s="38" t="str">
        <f t="shared" si="8"/>
        <v>SCOUTING</v>
      </c>
      <c r="I24" s="34">
        <v>379</v>
      </c>
      <c r="J24" s="13" t="s">
        <v>3</v>
      </c>
      <c r="K24" s="13" t="s">
        <v>61</v>
      </c>
      <c r="L24" s="13" t="s">
        <v>78</v>
      </c>
      <c r="M24" s="13" t="s">
        <v>78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1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REPORT_E2025255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"E2025255"</v>
      </c>
      <c r="F3" s="45" t="str">
        <f t="shared" ref="F3:F16" si="0">""""&amp;B3&amp;"""" &amp; " : " &amp;C3&amp;","</f>
        <v>"name" : "E2025255",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"E255"</v>
      </c>
      <c r="F4" s="45" t="str">
        <f t="shared" si="0"/>
        <v>"cod" : "E255",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255</v>
      </c>
      <c r="F6" s="45" t="str">
        <f t="shared" si="0"/>
        <v>"number" : 255,</v>
      </c>
    </row>
    <row r="7" spans="2:6" x14ac:dyDescent="0.25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"RICARD MONGE"</v>
      </c>
      <c r="F11" s="45" t="str">
        <f t="shared" si="0"/>
        <v>"Caller_1" : "RICARD MONGE",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"ALBERTO MORALES"</v>
      </c>
      <c r="F12" s="45" t="str">
        <f t="shared" si="0"/>
        <v>"Caller_2" : "ALBERTO MORALES",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JOSE SERRANO"</v>
      </c>
      <c r="F13" s="45" t="str">
        <f t="shared" si="0"/>
        <v>"Timerkeeper" : "MARIA JOSE SERRANO",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"MARC BAYO"</v>
      </c>
      <c r="F14" s="45" t="str">
        <f t="shared" si="0"/>
        <v>"Shotclock" : "MARC BAYO",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594</v>
      </c>
      <c r="F25" s="45" t="str">
        <f t="shared" ref="F25:F48" si="1">""""&amp;C25&amp;"""" &amp; " : " &amp;D25&amp;","</f>
        <v>"total_actions" : 594,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 during whole game, very good communications and excelent procedures, dealing perfectly the protest situation. It was a pitty the corrections on subs. Keep working like that."</v>
      </c>
      <c r="F51" s="45" t="str">
        <f>""""&amp;B51&amp;"""" &amp; " : " &amp;C51&amp;","</f>
        <v>"comments" : "Very good job during whole game, very good communications and excelent procedures, dealing perfectly the protest situation. It was a pitty the corrections on subs. Keep working like that.",</v>
      </c>
    </row>
    <row r="52" spans="2:6" x14ac:dyDescent="0.25">
      <c r="B52" s="43" t="s">
        <v>153</v>
      </c>
      <c r="C52" s="43" t="str">
        <f>TEXT('SCOUT &amp; LOGISTICS'!F1,"0,0")</f>
        <v>26_255_BAR_ULK_E2025</v>
      </c>
      <c r="F52" s="45" t="str">
        <f>""""&amp;B52&amp;"""" &amp; " : " &amp;C52</f>
        <v>"result" : 26_255_BAR_ULK_E2025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E255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RICARD MONGE</v>
      </c>
      <c r="H8" s="206"/>
      <c r="I8" s="206"/>
      <c r="J8" s="206"/>
      <c r="K8" s="206"/>
      <c r="L8" s="206" t="str">
        <f>IF('SCOUT &amp; LOGISTICS'!D8="","",'SCOUT &amp; LOGISTICS'!D8)</f>
        <v>ALBERTO MORALES</v>
      </c>
      <c r="M8" s="206"/>
      <c r="N8" s="206"/>
      <c r="O8" s="206"/>
      <c r="P8" s="206"/>
      <c r="Q8" s="206" t="str">
        <f>IF('SCOUT &amp; LOGISTICS'!D9="","",'SCOUT &amp; LOGISTICS'!D9)</f>
        <v>MARIA JOSE SERRANO</v>
      </c>
      <c r="R8" s="206"/>
      <c r="S8" s="206"/>
      <c r="T8" s="206"/>
      <c r="U8" s="206"/>
      <c r="V8" s="206" t="str">
        <f>IF('SCOUT &amp; LOGISTICS'!D10="","",'SCOUT &amp; LOGISTICS'!D10)</f>
        <v>MARC BAYO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8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1.3468013468013467E-2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 during whole game, very good communications and excelent procedures, dealing perfectly the protest situation. It was a pitty the corrections on subs. Keep working like that.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14.346801346801346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C53E53-A718-4F48-B547-C8608227D6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2026-02-04T16:48:40Z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