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61" documentId="8_{95DE7D9E-749F-40DF-A352-8AE1DA0CFF73}" xr6:coauthVersionLast="47" xr6:coauthVersionMax="47" xr10:uidLastSave="{D31AAFE4-5E03-4F49-A9C9-D01A8A0B28B5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<sst xmlns="http://schemas.openxmlformats.org/spreadsheetml/2006/main" count="3265" uniqueCount="763">
  <si>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</si>
  <si>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</si>
  <si>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</si>
  <si>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</si>
  <si>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</si>
  <si>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</si>
  <si>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</si>
  <si>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</si>
  <si>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</si>
  <si>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</si>
  <si>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</si>
  <si>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</si>
  <si>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</si>
  <si>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</si>
  <si>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</si>
  <si>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</si>
  <si>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</si>
  <si>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</si>
  <si>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</si>
  <si>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</si>
  <si>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</si>
  <si>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</si>
  <si>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</si>
  <si>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</si>
  <si>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</si>
  <si>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</si>
  <si>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</si>
  <si>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</si>
  <si>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</si>
  <si>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</si>
  <si>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</si>
  <si>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</si>
  <si>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</si>
  <si>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</si>
  <si>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</si>
  <si>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</si>
  <si>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</si>
  <si>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</si>
  <si>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</si>
  <si>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</si>
  <si>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</si>
  <si>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</si>
  <si>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</si>
  <si>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</si>
  <si>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</si>
  <si>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</si>
  <si>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</si>
  <si>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</si>
  <si>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</si>
  <si>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</si>
  <si>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</si>
  <si>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</si>
  <si>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</si>
  <si>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</si>
  <si>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</si>
  <si>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</si>
  <si>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</si>
  <si>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</si>
  <si>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</si>
  <si>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</si>
  <si>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</si>
  <si>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</si>
  <si>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</si>
  <si>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</si>
  <si>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</si>
  <si>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</si>
  <si>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</si>
  <si>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</si>
  <si>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</si>
  <si>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</si>
  <si>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</si>
  <si>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</si>
  <si>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</si>
  <si>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</si>
  <si>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</si>
  <si>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</si>
  <si>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</si>
  <si>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</si>
  <si>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</si>
  <si>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</si>
  <si>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</si>
  <si>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</si>
  <si>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</si>
  <si>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</si>
  <si>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</si>
  <si>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</si>
  <si>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</si>
  <si>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</si>
  <si>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</si>
  <si>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</si>
  <si>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</si>
  <si>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</si>
  <si>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</si>
  <si>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</si>
  <si>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</si>
  <si>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</si>
  <si>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</si>
  <si>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</si>
  <si>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</si>
  <si>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</si>
  <si>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</si>
  <si>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</si>
  <si>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</si>
  <si>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</si>
  <si>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</si>
  <si>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</si>
  <si>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</si>
  <si>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</si>
  <si>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</si>
  <si>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</si>
  <si>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</si>
  <si>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</si>
  <si>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</si>
  <si>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</si>
  <si>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</si>
  <si>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</si>
  <si>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</si>
  <si>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</si>
  <si>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</si>
  <si>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</si>
  <si>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</si>
  <si>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</si>
  <si>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</si>
  <si>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</si>
  <si>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</si>
  <si>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</si>
  <si>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</si>
  <si>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</si>
  <si>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</si>
  <si>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</si>
  <si>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</si>
  <si>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</si>
  <si>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</si>
  <si>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</si>
  <si>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</si>
  <si>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</si>
  <si>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</si>
  <si>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</si>
  <si>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</si>
  <si>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</si>
  <si>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</si>
  <si>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</si>
  <si>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</si>
  <si>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</si>
  <si>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</si>
  <si>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</si>
  <si>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</si>
  <si>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</si>
  <si>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</si>
  <si>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</si>
  <si>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</si>
  <si>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</si>
  <si>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</si>
  <si>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</si>
  <si>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</si>
  <si>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</si>
  <si>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</si>
  <si>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</si>
  <si>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</si>
  <si>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</si>
  <si>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</si>
  <si>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</si>
  <si>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</si>
  <si>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</si>
  <si>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</si>
  <si>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</si>
  <si>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</si>
  <si>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</si>
  <si>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</si>
  <si>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</si>
  <si>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</si>
  <si>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</si>
  <si>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</si>
  <si>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</si>
  <si>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</si>
  <si>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</si>
  <si>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</si>
  <si>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</si>
  <si>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</si>
  <si>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</si>
  <si>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</si>
  <si>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</si>
  <si>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</si>
  <si>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</si>
  <si>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</si>
  <si>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</si>
  <si>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</si>
  <si>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</si>
  <si>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</si>
  <si>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</si>
  <si>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</si>
  <si>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</si>
  <si>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</si>
  <si>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</si>
  <si>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</si>
  <si>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</si>
  <si>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</si>
  <si>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</si>
  <si>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</si>
  <si>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</si>
  <si>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</si>
  <si>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</si>
  <si>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</si>
  <si>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</si>
  <si>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</si>
  <si>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</si>
  <si>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</si>
  <si>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</si>
  <si>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</si>
  <si>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</si>
  <si>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</si>
  <si>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</si>
  <si>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</si>
  <si>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</si>
  <si>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</si>
  <si>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</si>
  <si>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</si>
  <si>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</si>
  <si>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</si>
  <si>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</si>
  <si>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</si>
  <si>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</si>
  <si>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</si>
  <si>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</si>
  <si>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</si>
  <si>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</si>
  <si>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</si>
  <si>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</si>
  <si>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</si>
  <si>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</si>
  <si>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</si>
  <si>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</si>
  <si>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</si>
  <si>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</si>
  <si>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</si>
  <si>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</si>
  <si>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</si>
  <si>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</si>
  <si>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</si>
  <si>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</si>
  <si>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</si>
  <si>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</si>
  <si>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</si>
  <si>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</si>
  <si>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</si>
  <si>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</si>
  <si>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</si>
  <si>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</si>
  <si>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</si>
  <si>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</si>
  <si>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</si>
  <si>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</si>
  <si>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</si>
  <si>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</si>
  <si>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</si>
  <si>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</si>
  <si>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</si>
  <si>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</si>
  <si>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</si>
  <si>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</si>
  <si>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</si>
  <si>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</si>
  <si>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</si>
  <si>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</si>
  <si>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</si>
  <si>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</si>
  <si>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</si>
  <si>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</si>
  <si>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</si>
  <si>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</si>
  <si>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</si>
  <si>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</si>
  <si>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</si>
  <si>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</si>
  <si>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</si>
  <si>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</si>
  <si>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</si>
  <si>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</si>
  <si>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</si>
  <si>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</si>
  <si>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</si>
  <si>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</si>
  <si>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</si>
  <si>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</si>
  <si>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</si>
  <si>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</si>
  <si>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</si>
  <si>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</si>
  <si>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</si>
  <si>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</si>
  <si>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</si>
  <si>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</si>
  <si>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</si>
  <si>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</si>
  <si>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</si>
  <si>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</si>
  <si>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</si>
  <si>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</si>
  <si>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</si>
  <si>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</si>
  <si>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</si>
  <si>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</si>
  <si>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</si>
  <si>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</si>
  <si>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</si>
  <si>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</si>
  <si>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</si>
  <si>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</si>
  <si>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</si>
  <si>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</si>
  <si>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</si>
  <si>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</si>
  <si>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</si>
  <si>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</si>
  <si>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</si>
  <si>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</si>
  <si>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</si>
  <si>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</si>
  <si>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</si>
  <si>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</si>
  <si>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</si>
  <si>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</si>
  <si>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</si>
  <si>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</si>
  <si>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</si>
  <si>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</si>
  <si>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</si>
  <si>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</si>
  <si>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</si>
  <si>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</si>
  <si>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</si>
  <si>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</si>
  <si>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</si>
  <si>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</si>
  <si>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</si>
  <si>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</si>
  <si>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</si>
  <si>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</si>
  <si>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</si>
  <si>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</si>
  <si>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</si>
  <si>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</si>
  <si>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</si>
  <si>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</si>
  <si>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</si>
  <si>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</si>
  <si>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</si>
  <si>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</si>
  <si>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</si>
  <si>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</si>
  <si>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</si>
  <si>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</si>
  <si>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</si>
  <si>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</si>
  <si>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</si>
  <si>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</si>
  <si>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</si>
  <si>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</si>
  <si>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</si>
  <si>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</si>
  <si>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</si>
  <si>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</si>
  <si>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</si>
  <si>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</si>
  <si>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</si>
  <si>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</si>
  <si>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</si>
  <si>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</si>
  <si>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</si>
  <si>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</si>
  <si>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</si>
  <si>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</si>
  <si>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</si>
  <si>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</si>
  <si>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</si>
  <si>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</si>
  <si>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</si>
  <si>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</si>
  <si>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</si>
  <si>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</si>
  <si>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</si>
  <si>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</si>
  <si>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</si>
  <si>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</si>
  <si>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</si>
  <si>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</si>
  <si>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</si>
  <si>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</si>
  <si>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</si>
  <si>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</si>
  <si>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</si>
  <si>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</si>
  <si>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</si>
  <si>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</si>
  <si>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</si>
  <si>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</si>
  <si>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</si>
  <si>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</si>
  <si>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</si>
  <si>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</si>
  <si>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</si>
  <si>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</si>
  <si>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</si>
  <si>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</si>
  <si>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</si>
  <si>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</si>
  <si>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</si>
  <si>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</si>
  <si>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</si>
  <si>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</si>
  <si>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</si>
  <si>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</si>
  <si>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</si>
  <si>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</si>
  <si>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</si>
  <si>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</si>
  <si>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</si>
  <si>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</si>
  <si>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</si>
  <si>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</si>
  <si>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</si>
  <si>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</si>
  <si>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</si>
  <si>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</si>
  <si>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</si>
  <si>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</si>
  <si>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</si>
  <si>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</si>
  <si>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</si>
  <si>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</si>
  <si>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</si>
  <si>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</si>
  <si>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</si>
  <si>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</si>
  <si>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</si>
  <si>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</si>
  <si>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</si>
  <si>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</si>
  <si>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</si>
  <si>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</si>
  <si>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</si>
  <si>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</si>
  <si>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</si>
  <si>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</si>
  <si>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</si>
  <si>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</si>
  <si>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</si>
  <si>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</si>
  <si>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</si>
  <si>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</si>
  <si>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</si>
  <si>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</si>
  <si>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</si>
  <si>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</si>
  <si>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</si>
  <si>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</si>
  <si>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</si>
  <si>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</si>
  <si>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</si>
  <si>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</si>
  <si>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</si>
  <si>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</si>
  <si>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</si>
  <si>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</si>
  <si>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</si>
  <si>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</si>
  <si>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</si>
  <si>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</si>
  <si>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</si>
  <si>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</si>
  <si>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</si>
  <si>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</si>
  <si>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</si>
  <si>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</si>
  <si>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</si>
  <si>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</si>
  <si>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</si>
  <si>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</si>
  <si>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</si>
  <si>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</si>
  <si>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</si>
  <si>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</si>
  <si>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</si>
  <si>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</si>
  <si>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</si>
  <si>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</si>
  <si>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</si>
  <si>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</si>
  <si>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</si>
  <si>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</si>
  <si>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</si>
  <si>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</si>
  <si>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</si>
  <si>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</si>
  <si>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</si>
  <si>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</si>
  <si>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</si>
  <si>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</si>
  <si>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</si>
  <si>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</si>
  <si>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</si>
  <si>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</si>
  <si>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</si>
  <si>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</si>
  <si>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</si>
  <si>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</si>
  <si>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</si>
  <si>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</si>
  <si>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</si>
  <si>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</si>
  <si>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</si>
  <si>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</si>
  <si>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</si>
  <si>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</si>
  <si>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</si>
  <si>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</si>
  <si>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</si>
  <si>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</si>
  <si>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</si>
  <si>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</si>
  <si>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</si>
  <si>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</si>
  <si>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</si>
  <si>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</si>
  <si>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</si>
  <si>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</si>
  <si>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</si>
  <si>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</si>
  <si>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</si>
  <si>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</si>
  <si>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</si>
  <si>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</si>
  <si>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</si>
  <si>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</si>
  <si>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</si>
  <si>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</si>
  <si>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</si>
  <si>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</si>
  <si>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</si>
  <si>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</si>
  <si>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</si>
  <si>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</si>
  <si>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</si>
  <si>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</si>
  <si>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</si>
  <si>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</si>
  <si>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</si>
  <si>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</si>
  <si>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</si>
  <si>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</si>
  <si>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</si>
  <si>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</si>
  <si>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</si>
  <si>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</si>
  <si>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</si>
  <si>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</si>
  <si>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</si>
  <si>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</si>
  <si>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</si>
  <si>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</si>
  <si>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</si>
  <si>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</si>
  <si>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</si>
  <si>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</si>
  <si>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</si>
  <si>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</si>
  <si>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</si>
  <si>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</si>
  <si>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</si>
  <si>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</si>
  <si>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</si>
  <si>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</si>
  <si>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</si>
  <si>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</si>
  <si>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</si>
  <si>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</si>
  <si>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</si>
  <si>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</si>
  <si>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</si>
  <si>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</si>
  <si>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</si>
  <si>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</si>
  <si>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</si>
  <si>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</si>
  <si>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</si>
  <si>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</si>
  <si>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</si>
  <si>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</si>
  <si>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</si>
  <si>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</si>
  <si>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</si>
  <si>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</si>
  <si>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</si>
  <si>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</si>
  <si>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</si>
  <si>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</si>
  <si>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</si>
  <si>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</si>
  <si>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</si>
  <si>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</si>
  <si>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</si>
  <si>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</si>
  <si>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</si>
  <si>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</si>
  <si>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</si>
  <si>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</si>
  <si>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</si>
  <si>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</si>
  <si>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</si>
  <si>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</si>
  <si>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</si>
  <si>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</si>
  <si>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</si>
  <si>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</si>
  <si>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</si>
  <si>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</si>
  <si>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</si>
  <si>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</si>
  <si>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</si>
  <si>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</si>
  <si>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</si>
  <si>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</si>
  <si>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</si>
  <si>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</si>
  <si>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</si>
  <si>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</si>
  <si>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</si>
  <si>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</si>
  <si>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</si>
  <si>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</si>
  <si>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</si>
  <si>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</si>
  <si>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</si>
  <si>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</si>
  <si>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</si>
  <si>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</si>
  <si>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</si>
  <si>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</si>
  <si>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</si>
  <si>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</si>
  <si>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</si>
  <si>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</si>
  <si>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</si>
  <si>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</si>
  <si>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</si>
  <si>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</si>
  <si>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</si>
  <si>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</si>
  <si>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</si>
  <si>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</si>
  <si>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</si>
  <si>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</si>
  <si>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</si>
  <si>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</si>
  <si>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</si>
  <si>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</si>
  <si>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</si>
  <si>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</si>
  <si>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</si>
  <si>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</si>
  <si>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</si>
  <si>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</si>
  <si>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</si>
  <si>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</si>
  <si>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</si>
  <si>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</si>
  <si>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</si>
  <si>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</si>
  <si>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</si>
  <si>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</si>
  <si>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</si>
  <si>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</si>
  <si>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</si>
  <si>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</si>
  <si>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</si>
  <si>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</si>
  <si>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</si>
  <si>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</si>
  <si>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</si>
  <si>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</si>
  <si>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</si>
  <si>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</si>
  <si>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</si>
  <si>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</si>
  <si>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</si>
  <si>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</si>
  <si>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</si>
  <si>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</si>
  <si>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</si>
  <si>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</si>
  <si>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</si>
  <si>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</si>
  <si>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</si>
  <si>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</si>
  <si>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</si>
  <si>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</si>
  <si>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</si>
  <si>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</si>
  <si>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</si>
  <si>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</si>
  <si>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</si>
  <si>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</si>
  <si>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</si>
  <si>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</si>
  <si>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</si>
  <si>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</si>
  <si>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</si>
  <si>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</si>
  <si>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</si>
  <si>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</si>
  <si>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</si>
  <si>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</si>
  <si>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</si>
  <si>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</si>
  <si>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</si>
  <si>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</si>
  <si>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</si>
  <si>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</si>
  <si>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</si>
  <si>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</si>
  <si>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</si>
  <si>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</si>
  <si>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</si>
  <si>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</si>
  <si>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</si>
  <si>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</si>
  <si>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</si>
  <si>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</si>
  <si>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</si>
  <si>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</si>
  <si>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</si>
  <si>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</si>
  <si>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</si>
  <si>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</si>
  <si>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</si>
  <si>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</si>
  <si>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</si>
  <si>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</si>
  <si>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</si>
  <si>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</si>
  <si>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</si>
  <si>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</si>
  <si>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</si>
  <si>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</si>
  <si>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</si>
  <si>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</si>
  <si>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</si>
  <si>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</si>
  <si>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</si>
  <si>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</si>
  <si>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</si>
  <si>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BAR GAL ON</t>
  </si>
  <si>
    <t>ELAD CIFLIK</t>
  </si>
  <si>
    <t>EILAM NUSBOUM</t>
  </si>
  <si>
    <t>INAMAR MOSHE ZEMACH</t>
  </si>
  <si>
    <t>HADAS MALKIN</t>
  </si>
  <si>
    <t>NETANEL BEN HAMU</t>
  </si>
  <si>
    <t>09:39</t>
  </si>
  <si>
    <t>07:46</t>
  </si>
  <si>
    <t>01:04</t>
  </si>
  <si>
    <t>06:43</t>
  </si>
  <si>
    <t>The scouting work is very good. Remember the issue with rebounds: in order to credit a player with a tip, it must be very clear that he is intentionally passing the ball to a teammate; a blind tip is usually not considered that player’s rebound. Regarding communication, tell us the resolution of every CC or IRS. In that play with the points, you deleted the 2-pointer twice: first for the referee’s initial decision, and then to add the points in the correct place. The procedure is correct, but please communicate it to us because we don’t re-check the lines we’ve already reviewed, and if we see points being deleted, we may ask you to stop the game.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</si>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</sst>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26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26_257_TEL_PAR_E2025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257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46056.885416666664</v>
      </c>
      <c r="C3" s="178"/>
      <c r="D3" s="39">
        <v>557</v>
      </c>
      <c r="E3" s="29"/>
      <c r="F3" s="26">
        <f>SUBTOTAL(3,I17:I106)</f>
        <v>4</v>
      </c>
      <c r="G3" s="27">
        <f>IF(OR(D3="",D3=0),"",F3/D3)</f>
        <v>7.1813285457809697E-3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Maccabi Rapyd Tel Aviv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TEL</v>
      </c>
      <c r="I4" s="5"/>
      <c r="J4" s="119" t="s">
        <v>714</v>
      </c>
      <c r="K4" s="54" t="s">
        <v>743</v>
      </c>
      <c r="L4" s="5"/>
      <c r="M4" s="185" t="s">
        <v>761</v>
      </c>
      <c r="N4" s="186"/>
      <c r="O4" s="2"/>
      <c r="P4" s="2"/>
      <c r="Q4" s="84" t="s">
        <v>175</v>
      </c>
      <c r="R4" s="94">
        <f>(IF(G3="",0,G3))</f>
        <v>7.1813285457809697E-3</v>
      </c>
      <c r="S4" s="61">
        <f>SUM(I13:M13)</f>
        <v>2</v>
      </c>
      <c r="T4" s="78"/>
      <c r="U4" s="61">
        <f>AC18</f>
        <v>3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Partizan Mozzart Bet Belgrade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PAR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0.71813285457809695</v>
      </c>
      <c r="S5" s="70">
        <f t="shared" ref="S5" si="0">S4*S3</f>
        <v>2</v>
      </c>
      <c r="T5" s="92"/>
      <c r="U5" s="70">
        <f t="shared" ref="U5:AG5" si="1">U4*U3</f>
        <v>1.5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5.2181328545780969</v>
      </c>
      <c r="N7" s="58"/>
      <c r="O7" s="2"/>
      <c r="P7" s="2"/>
      <c r="Q7" s="86">
        <f>SUM(R5,S5,AC16)</f>
        <v>5.2181328545780969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5.2181328545780969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755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257</v>
      </c>
      <c r="H12" s="40" t="str">
        <f>$I$10</f>
        <v>LOGISTICS</v>
      </c>
      <c r="I12" s="14" t="s">
        <v>17</v>
      </c>
      <c r="J12" s="15" t="s">
        <v>14</v>
      </c>
      <c r="K12" s="15" t="s">
        <v>71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2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2.5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257</v>
      </c>
      <c r="D17" s="32" t="s">
        <v>757</v>
      </c>
      <c r="E17" s="33">
        <v>1</v>
      </c>
      <c r="F17" s="36">
        <v>0</v>
      </c>
      <c r="G17" s="36">
        <v>2</v>
      </c>
      <c r="H17" s="38" t="str">
        <f>IF(I17="","",$I$14)</f>
        <v>SCOUTING</v>
      </c>
      <c r="I17" s="34">
        <v>4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257</v>
      </c>
      <c r="D18" s="32" t="s">
        <v>758</v>
      </c>
      <c r="E18" s="33">
        <v>2</v>
      </c>
      <c r="F18" s="36">
        <v>34</v>
      </c>
      <c r="G18" s="36">
        <v>26</v>
      </c>
      <c r="H18" s="38" t="str">
        <f t="shared" ref="H18:H81" si="8">IF(I18="","",$I$14)</f>
        <v>SCOUTING</v>
      </c>
      <c r="I18" s="34">
        <v>160</v>
      </c>
      <c r="J18" s="13" t="s">
        <v>4</v>
      </c>
      <c r="K18" s="13" t="s">
        <v>63</v>
      </c>
      <c r="L18" s="13" t="s">
        <v>5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257</v>
      </c>
      <c r="D19" s="32" t="s">
        <v>759</v>
      </c>
      <c r="E19" s="33">
        <v>2</v>
      </c>
      <c r="F19" s="36">
        <v>44</v>
      </c>
      <c r="G19" s="36">
        <v>47</v>
      </c>
      <c r="H19" s="38" t="str">
        <f t="shared" si="8"/>
        <v>SCOUTING</v>
      </c>
      <c r="I19" s="34">
        <v>247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257</v>
      </c>
      <c r="D20" s="32" t="s">
        <v>760</v>
      </c>
      <c r="E20" s="33">
        <v>3</v>
      </c>
      <c r="F20" s="36">
        <v>50</v>
      </c>
      <c r="G20" s="36">
        <v>58</v>
      </c>
      <c r="H20" s="38" t="str">
        <f t="shared" si="8"/>
        <v>SCOUTING</v>
      </c>
      <c r="I20" s="34">
        <v>318</v>
      </c>
      <c r="J20" s="13" t="s">
        <v>4</v>
      </c>
      <c r="K20" s="13" t="s">
        <v>62</v>
      </c>
      <c r="L20" s="13" t="s">
        <v>6</v>
      </c>
      <c r="M20" s="13" t="s">
        <v>22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REPORT_E2025257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"E2025257"</v>
      </c>
      <c r="F3" s="45" t="str">
        <f t="shared" ref="F3:F16" si="0">""""&amp;B3&amp;"""" &amp; " : " &amp;C3&amp;","</f>
        <v>"name" : "E2025257",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"E257"</v>
      </c>
      <c r="F4" s="45" t="str">
        <f t="shared" si="0"/>
        <v>"cod" : "E257",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257</v>
      </c>
      <c r="F6" s="45" t="str">
        <f t="shared" si="0"/>
        <v>"number" : 257,</v>
      </c>
    </row>
    <row r="7" spans="2:6" x14ac:dyDescent="0.25">
      <c r="B7" s="43" t="s">
        <v>116</v>
      </c>
      <c r="C7" s="43" t="str">
        <f ca="1">""""&amp;TEXT('SCOUT &amp; LOGISTICS'!B3,"dd/mm/aaaa")&amp;""""</f>
        <v>"03/02/Tuesday"</v>
      </c>
      <c r="F7" s="45" t="str">
        <f t="shared" ca="1" si="0"/>
        <v>"date" : "03/02/Tuesday",</v>
      </c>
    </row>
    <row r="8" spans="2:6" x14ac:dyDescent="0.25">
      <c r="B8" s="43" t="s">
        <v>125</v>
      </c>
      <c r="C8" s="43" t="str">
        <f>""""&amp;'SCOUT &amp; LOGISTICS'!D4 &amp;""""</f>
        <v>"Maccabi Rapyd Tel Aviv"</v>
      </c>
      <c r="F8" s="45" t="str">
        <f t="shared" si="0"/>
        <v>"home_team" : "Maccabi Rapyd Tel Aviv",</v>
      </c>
    </row>
    <row r="9" spans="2:6" x14ac:dyDescent="0.25">
      <c r="B9" s="43" t="s">
        <v>126</v>
      </c>
      <c r="C9" s="43" t="str">
        <f>""""&amp;'SCOUT &amp; LOGISTICS'!D5&amp;""""</f>
        <v>"Partizan Mozzart Bet Belgrade"</v>
      </c>
      <c r="F9" s="45" t="str">
        <f t="shared" si="0"/>
        <v>"away_team" : "Partizan Mozzart Bet Belgrade",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"BAR GAL ON"</v>
      </c>
      <c r="F10" s="45" t="str">
        <f t="shared" si="0"/>
        <v>"Data_entry" : "BAR GAL ON",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"ELAD CIFLIK"</v>
      </c>
      <c r="F11" s="45" t="str">
        <f t="shared" si="0"/>
        <v>"Caller_1" : "ELAD CIFLIK",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"EILAM NUSBOUM"</v>
      </c>
      <c r="F12" s="45" t="str">
        <f t="shared" si="0"/>
        <v>"Caller_2" : "EILAM NUSBOUM",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"INAMAR MOSHE ZEMACH"</v>
      </c>
      <c r="F13" s="45" t="str">
        <f t="shared" si="0"/>
        <v>"Timerkeeper" : "INAMAR MOSHE ZEMACH",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"NETANEL BEN HAMU"</v>
      </c>
      <c r="F14" s="45" t="str">
        <f t="shared" si="0"/>
        <v>"Shotclock" : "NETANEL BEN HAMU",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"HADAS MALKIN"</v>
      </c>
      <c r="F15" s="45" t="str">
        <f t="shared" si="0"/>
        <v>"IRS" : "HADAS MALKIN",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"NOT FLUID"</v>
      </c>
      <c r="F20" s="45" t="str">
        <f>""""&amp;C20&amp;"""" &amp; " : " &amp;D20&amp;","</f>
        <v>"communication" : "NOT FLUID",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557</v>
      </c>
      <c r="F25" s="45" t="str">
        <f t="shared" ref="F25:F48" si="1">""""&amp;C25&amp;"""" &amp; " : " &amp;D25&amp;","</f>
        <v>"total_actions" : 557,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scouting work is very good. Remember the issue with rebounds: in order to credit a player with a tip, it must be very clear that he is intentionally passing the ball to a teammate; a blind tip is usually not considered that player’s rebound. Regarding communication, tell us the resolution of every CC or IRS. In that play with the points, you deleted the 2-pointer twice: first for the referee’s initial decision, and then to add the points in the correct place. The procedure is correct, but please communicate it to us because we don’t re-check the lines we’ve already reviewed, and if we see points being deleted, we may ask you to stop the game."</v>
      </c>
      <c r="F51" s="45" t="str">
        <f>""""&amp;B51&amp;"""" &amp; " : " &amp;C51&amp;","</f>
        <v>"comments" : "The scouting work is very good. Remember the issue with rebounds: in order to credit a player with a tip, it must be very clear that he is intentionally passing the ball to a teammate; a blind tip is usually not considered that player’s rebound. Regarding communication, tell us the resolution of every CC or IRS. In that play with the points, you deleted the 2-pointer twice: first for the referee’s initial decision, and then to add the points in the correct place. The procedure is correct, but please communicate it to us because we don’t re-check the lines we’ve already reviewed, and if we see points being deleted, we may ask you to stop the game.",</v>
      </c>
    </row>
    <row r="52" spans="2:6" x14ac:dyDescent="0.25">
      <c r="B52" s="43" t="s">
        <v>153</v>
      </c>
      <c r="C52" s="43" t="str">
        <f>TEXT('SCOUT &amp; LOGISTICS'!F1,"0,0")</f>
        <v>26_257_TEL_PAR_E2025</v>
      </c>
      <c r="F52" s="45" t="str">
        <f>""""&amp;B52&amp;"""" &amp; " : " &amp;C52</f>
        <v>"result" : 26_257_TEL_PAR_E2025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E257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03/02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Maccabi Rapyd Tel Aviv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Partizan Mozzart Bet Belgrade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BAR GAL ON</v>
      </c>
      <c r="C8" s="201"/>
      <c r="D8" s="201"/>
      <c r="E8" s="201"/>
      <c r="F8" s="201"/>
      <c r="G8" s="201" t="str">
        <f>IF('SCOUT &amp; LOGISTICS'!D7="","",'SCOUT &amp; LOGISTICS'!D7)</f>
        <v>ELAD CIFLIK</v>
      </c>
      <c r="H8" s="201"/>
      <c r="I8" s="201"/>
      <c r="J8" s="201"/>
      <c r="K8" s="201"/>
      <c r="L8" s="201" t="str">
        <f>IF('SCOUT &amp; LOGISTICS'!D8="","",'SCOUT &amp; LOGISTICS'!D8)</f>
        <v>EILAM NUSBOUM</v>
      </c>
      <c r="M8" s="201"/>
      <c r="N8" s="201"/>
      <c r="O8" s="201"/>
      <c r="P8" s="201"/>
      <c r="Q8" s="201" t="str">
        <f>IF('SCOUT &amp; LOGISTICS'!D9="","",'SCOUT &amp; LOGISTICS'!D9)</f>
        <v>INAMAR MOSHE ZEMACH</v>
      </c>
      <c r="R8" s="201"/>
      <c r="S8" s="201"/>
      <c r="T8" s="201"/>
      <c r="U8" s="201"/>
      <c r="V8" s="201" t="str">
        <f>IF('SCOUT &amp; LOGISTICS'!D10="","",'SCOUT &amp; LOGISTICS'!D10)</f>
        <v>NETANEL BEN HAMU</v>
      </c>
      <c r="W8" s="201"/>
      <c r="X8" s="201"/>
      <c r="Y8" s="201"/>
      <c r="Z8" s="201"/>
      <c r="AA8" s="201" t="str">
        <f>IF('SCOUT &amp; LOGISTICS'!D11="","",'SCOUT &amp; LOGISTICS'!D11)</f>
        <v>HADAS MALKIN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NOT FLUID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557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4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7.1813285457809697E-3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3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2</v>
      </c>
      <c r="I22" s="199"/>
      <c r="J22" s="199"/>
      <c r="K22" s="199"/>
      <c r="L22" s="199"/>
      <c r="M22" s="199"/>
      <c r="N22" s="199">
        <f>'SCOUT &amp; LOGISTICS'!AG19</f>
        <v>1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4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3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The scouting work is very good. Remember the issue with rebounds: in order to credit a player with a tip, it must be very clear that he is intentionally passing the ball to a teammate; a blind tip is usually not considered that player’s rebound. Regarding communication, tell us the resolution of every CC or IRS. In that play with the points, you deleted the 2-pointer twice: first for the referee’s initial decision, and then to add the points in the correct place. The procedure is correct, but please communicate it to us because we don’t re-check the lines we’ve already reviewed, and if we see points being deleted, we may ask you to stop the game.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5.2181328545780969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8D71DD4-05E7-4F11-A585-6B7974B6FA2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2026-02-04T16:00:59Z</cp:lastPrinted>
  <dcterms:created xsi:type="dcterms:W3CDTF">2023-09-19T19:50:35Z</dcterms:created>
  <dcterms:modified xsi:type="dcterms:W3CDTF">2026-02-04T16:01:03Z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