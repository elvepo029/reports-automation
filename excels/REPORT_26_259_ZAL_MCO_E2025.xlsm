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33B4E6E-042F-4B9A-B5C3-AA70E1AFFE76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<sst xmlns="http://schemas.openxmlformats.org/spreadsheetml/2006/main" count="3251" uniqueCount="760">
  <si>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</si>
  <si>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</si>
  <si>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</si>
  <si>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</si>
  <si>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</si>
  <si>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</si>
  <si>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</si>
  <si>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</si>
  <si>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</si>
  <si>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</si>
  <si>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</si>
  <si>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</si>
  <si>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</si>
  <si>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</si>
  <si>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</si>
  <si>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</si>
  <si>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</si>
  <si>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</si>
  <si>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</si>
  <si>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</si>
  <si>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</si>
  <si>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</si>
  <si>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</si>
  <si>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</si>
  <si>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</si>
  <si>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</si>
  <si>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</si>
  <si>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</si>
  <si>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</si>
  <si>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</si>
  <si>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</si>
  <si>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</si>
  <si>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</si>
  <si>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</si>
  <si>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</si>
  <si>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</si>
  <si>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</si>
  <si>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</si>
  <si>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</si>
  <si>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</si>
  <si>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</si>
  <si>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</si>
  <si>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</si>
  <si>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</si>
  <si>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</si>
  <si>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</si>
  <si>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</si>
  <si>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</si>
  <si>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</si>
  <si>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</si>
  <si>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</si>
  <si>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</si>
  <si>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</si>
  <si>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</si>
  <si>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</si>
  <si>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</si>
  <si>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</si>
  <si>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</si>
  <si>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</si>
  <si>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</si>
  <si>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</si>
  <si>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</si>
  <si>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</si>
  <si>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</si>
  <si>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</si>
  <si>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</si>
  <si>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</si>
  <si>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</si>
  <si>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</si>
  <si>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</si>
  <si>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</si>
  <si>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</si>
  <si>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</si>
  <si>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</si>
  <si>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</si>
  <si>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</si>
  <si>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</si>
  <si>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</si>
  <si>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</si>
  <si>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</si>
  <si>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</si>
  <si>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</si>
  <si>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</si>
  <si>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</si>
  <si>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</si>
  <si>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</si>
  <si>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</si>
  <si>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</si>
  <si>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</si>
  <si>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</si>
  <si>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</si>
  <si>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</si>
  <si>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</si>
  <si>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</si>
  <si>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</si>
  <si>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</si>
  <si>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</si>
  <si>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</si>
  <si>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</si>
  <si>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</si>
  <si>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</si>
  <si>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</si>
  <si>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</si>
  <si>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</si>
  <si>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</si>
  <si>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</si>
  <si>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</si>
  <si>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</si>
  <si>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</si>
  <si>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</si>
  <si>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</si>
  <si>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</si>
  <si>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</si>
  <si>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</si>
  <si>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</si>
  <si>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</si>
  <si>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</si>
  <si>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</si>
  <si>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</si>
  <si>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</si>
  <si>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</si>
  <si>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</si>
  <si>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</si>
  <si>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</si>
  <si>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</si>
  <si>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</si>
  <si>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</si>
  <si>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</si>
  <si>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</si>
  <si>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</si>
  <si>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</si>
  <si>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</si>
  <si>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</si>
  <si>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</si>
  <si>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</si>
  <si>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</si>
  <si>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</si>
  <si>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</si>
  <si>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</si>
  <si>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</si>
  <si>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</si>
  <si>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</si>
  <si>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</si>
  <si>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</si>
  <si>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</si>
  <si>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</si>
  <si>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</si>
  <si>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</si>
  <si>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</si>
  <si>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</si>
  <si>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</si>
  <si>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</si>
  <si>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</si>
  <si>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</si>
  <si>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</si>
  <si>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</si>
  <si>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</si>
  <si>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</si>
  <si>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</si>
  <si>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</si>
  <si>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</si>
  <si>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</si>
  <si>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</si>
  <si>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</si>
  <si>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</si>
  <si>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</si>
  <si>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</si>
  <si>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</si>
  <si>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</si>
  <si>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</si>
  <si>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</si>
  <si>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</si>
  <si>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</si>
  <si>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</si>
  <si>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</si>
  <si>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</si>
  <si>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</si>
  <si>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</si>
  <si>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</si>
  <si>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</si>
  <si>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</si>
  <si>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</si>
  <si>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</si>
  <si>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</si>
  <si>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</si>
  <si>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</si>
  <si>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</si>
  <si>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</si>
  <si>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</si>
  <si>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</si>
  <si>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</si>
  <si>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</si>
  <si>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</si>
  <si>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</si>
  <si>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</si>
  <si>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</si>
  <si>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</si>
  <si>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</si>
  <si>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</si>
  <si>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</si>
  <si>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</si>
  <si>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</si>
  <si>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</si>
  <si>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</si>
  <si>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</si>
  <si>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</si>
  <si>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</si>
  <si>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</si>
  <si>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</si>
  <si>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</si>
  <si>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</si>
  <si>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</si>
  <si>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</si>
  <si>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</si>
  <si>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</si>
  <si>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</si>
  <si>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</si>
  <si>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</si>
  <si>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</si>
  <si>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</si>
  <si>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</si>
  <si>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</si>
  <si>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</si>
  <si>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</si>
  <si>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</si>
  <si>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</si>
  <si>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</si>
  <si>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</si>
  <si>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</si>
  <si>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</si>
  <si>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</si>
  <si>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</si>
  <si>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</si>
  <si>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</si>
  <si>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</si>
  <si>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</si>
  <si>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</si>
  <si>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</si>
  <si>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</si>
  <si>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</si>
  <si>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</si>
  <si>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</si>
  <si>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</si>
  <si>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</si>
  <si>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</si>
  <si>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</si>
  <si>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</si>
  <si>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</si>
  <si>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</si>
  <si>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</si>
  <si>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</si>
  <si>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</si>
  <si>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</si>
  <si>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</si>
  <si>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</si>
  <si>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</si>
  <si>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</si>
  <si>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</si>
  <si>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</si>
  <si>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</si>
  <si>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</si>
  <si>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</si>
  <si>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</si>
  <si>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</si>
  <si>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</si>
  <si>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</si>
  <si>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</si>
  <si>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</si>
  <si>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</si>
  <si>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</si>
  <si>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</si>
  <si>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</si>
  <si>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</si>
  <si>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</si>
  <si>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</si>
  <si>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</si>
  <si>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</si>
  <si>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</si>
  <si>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</si>
  <si>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</si>
  <si>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</si>
  <si>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</si>
  <si>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</si>
  <si>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</si>
  <si>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</si>
  <si>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</si>
  <si>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</si>
  <si>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</si>
  <si>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</si>
  <si>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</si>
  <si>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</si>
  <si>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</si>
  <si>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</si>
  <si>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</si>
  <si>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</si>
  <si>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</si>
  <si>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</si>
  <si>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</si>
  <si>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</si>
  <si>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</si>
  <si>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</si>
  <si>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</si>
  <si>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</si>
  <si>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</si>
  <si>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</si>
  <si>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</si>
  <si>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</si>
  <si>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</si>
  <si>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</si>
  <si>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</si>
  <si>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</si>
  <si>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</si>
  <si>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</si>
  <si>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</si>
  <si>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</si>
  <si>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</si>
  <si>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</si>
  <si>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</si>
  <si>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</si>
  <si>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</si>
  <si>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</si>
  <si>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</si>
  <si>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</si>
  <si>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</si>
  <si>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</si>
  <si>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</si>
  <si>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</si>
  <si>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</si>
  <si>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</si>
  <si>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</si>
  <si>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</si>
  <si>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</si>
  <si>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</si>
  <si>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</si>
  <si>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</si>
  <si>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</si>
  <si>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</si>
  <si>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</si>
  <si>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</si>
  <si>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</si>
  <si>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</si>
  <si>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</si>
  <si>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</si>
  <si>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</si>
  <si>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</si>
  <si>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</si>
  <si>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</si>
  <si>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</si>
  <si>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</si>
  <si>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</si>
  <si>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</si>
  <si>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</si>
  <si>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</si>
  <si>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</si>
  <si>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</si>
  <si>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</si>
  <si>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</si>
  <si>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</si>
  <si>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</si>
  <si>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</si>
  <si>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</si>
  <si>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</si>
  <si>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</si>
  <si>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</si>
  <si>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</si>
  <si>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</si>
  <si>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</si>
  <si>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</si>
  <si>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</si>
  <si>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</si>
  <si>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</si>
  <si>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</si>
  <si>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</si>
  <si>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</si>
  <si>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</si>
  <si>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</si>
  <si>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</si>
  <si>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</si>
  <si>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</si>
  <si>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</si>
  <si>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</si>
  <si>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</si>
  <si>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</si>
  <si>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</si>
  <si>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</si>
  <si>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</si>
  <si>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</si>
  <si>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</si>
  <si>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</si>
  <si>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</si>
  <si>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</si>
  <si>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</si>
  <si>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</si>
  <si>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</si>
  <si>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</si>
  <si>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</si>
  <si>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</si>
  <si>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</si>
  <si>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</si>
  <si>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</si>
  <si>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</si>
  <si>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</si>
  <si>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</si>
  <si>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</si>
  <si>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</si>
  <si>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</si>
  <si>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</si>
  <si>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</si>
  <si>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</si>
  <si>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</si>
  <si>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</si>
  <si>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</si>
  <si>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</si>
  <si>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</si>
  <si>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</si>
  <si>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</si>
  <si>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</si>
  <si>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</si>
  <si>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</si>
  <si>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</si>
  <si>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</si>
  <si>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</si>
  <si>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</si>
  <si>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</si>
  <si>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</si>
  <si>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</si>
  <si>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</si>
  <si>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</si>
  <si>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</si>
  <si>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</si>
  <si>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</si>
  <si>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</si>
  <si>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</si>
  <si>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</si>
  <si>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</si>
  <si>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</si>
  <si>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</si>
  <si>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</si>
  <si>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</si>
  <si>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</si>
  <si>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</si>
  <si>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</si>
  <si>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</si>
  <si>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</si>
  <si>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</si>
  <si>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</si>
  <si>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</si>
  <si>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</si>
  <si>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</si>
  <si>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</si>
  <si>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</si>
  <si>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</si>
  <si>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</si>
  <si>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</si>
  <si>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</si>
  <si>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</si>
  <si>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</si>
  <si>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</si>
  <si>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</si>
  <si>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</si>
  <si>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</si>
  <si>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</si>
  <si>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</si>
  <si>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</si>
  <si>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</si>
  <si>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</si>
  <si>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</si>
  <si>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</si>
  <si>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</si>
  <si>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</si>
  <si>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</si>
  <si>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</si>
  <si>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</si>
  <si>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</si>
  <si>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</si>
  <si>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</si>
  <si>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</si>
  <si>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</si>
  <si>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</si>
  <si>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</si>
  <si>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</si>
  <si>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</si>
  <si>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</si>
  <si>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</si>
  <si>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</si>
  <si>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</si>
  <si>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</si>
  <si>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</si>
  <si>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</si>
  <si>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</si>
  <si>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</si>
  <si>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</si>
  <si>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</si>
  <si>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</si>
  <si>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</si>
  <si>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</si>
  <si>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</si>
  <si>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</si>
  <si>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</si>
  <si>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</si>
  <si>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</si>
  <si>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</si>
  <si>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</si>
  <si>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</si>
  <si>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</si>
  <si>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</si>
  <si>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</si>
  <si>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</si>
  <si>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</si>
  <si>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</si>
  <si>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</si>
  <si>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</si>
  <si>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</si>
  <si>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</si>
  <si>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</si>
  <si>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</si>
  <si>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</si>
  <si>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</si>
  <si>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</si>
  <si>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</si>
  <si>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</si>
  <si>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</si>
  <si>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</si>
  <si>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</si>
  <si>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</si>
  <si>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</si>
  <si>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</si>
  <si>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</si>
  <si>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</si>
  <si>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</si>
  <si>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</si>
  <si>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</si>
  <si>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</si>
  <si>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</si>
  <si>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</si>
  <si>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</si>
  <si>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</si>
  <si>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</si>
  <si>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</si>
  <si>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</si>
  <si>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</si>
  <si>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</si>
  <si>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</si>
  <si>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</si>
  <si>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</si>
  <si>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</si>
  <si>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</si>
  <si>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</si>
  <si>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</si>
  <si>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</si>
  <si>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</si>
  <si>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</si>
  <si>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</si>
  <si>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</si>
  <si>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</si>
  <si>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</si>
  <si>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</si>
  <si>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</si>
  <si>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</si>
  <si>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</si>
  <si>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</si>
  <si>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</si>
  <si>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</si>
  <si>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</si>
  <si>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</si>
  <si>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</si>
  <si>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</si>
  <si>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</si>
  <si>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</si>
  <si>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</si>
  <si>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</si>
  <si>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</si>
  <si>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</si>
  <si>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</si>
  <si>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</si>
  <si>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</si>
  <si>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</si>
  <si>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</si>
  <si>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</si>
  <si>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</si>
  <si>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</si>
  <si>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</si>
  <si>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</si>
  <si>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</si>
  <si>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</si>
  <si>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</si>
  <si>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</si>
  <si>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</si>
  <si>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</si>
  <si>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</si>
  <si>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</si>
  <si>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</si>
  <si>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</si>
  <si>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</si>
  <si>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</si>
  <si>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</si>
  <si>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</si>
  <si>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</si>
  <si>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</si>
  <si>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</si>
  <si>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</si>
  <si>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</si>
  <si>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</si>
  <si>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</si>
  <si>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</si>
  <si>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</si>
  <si>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</si>
  <si>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</si>
  <si>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</si>
  <si>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</si>
  <si>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</si>
  <si>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</si>
  <si>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</si>
  <si>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</si>
  <si>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</si>
  <si>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</si>
  <si>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</si>
  <si>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</si>
  <si>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</si>
  <si>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</si>
  <si>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</si>
  <si>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</si>
  <si>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</si>
  <si>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</si>
  <si>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</si>
  <si>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</si>
  <si>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</si>
  <si>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</si>
  <si>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</si>
  <si>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</si>
  <si>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</si>
  <si>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</si>
  <si>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</si>
  <si>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</si>
  <si>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</si>
  <si>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</si>
  <si>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</si>
  <si>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</si>
  <si>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</si>
  <si>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</si>
  <si>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</si>
  <si>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</si>
  <si>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</si>
  <si>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</si>
  <si>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</si>
  <si>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</si>
  <si>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</si>
  <si>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</si>
  <si>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</si>
  <si>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</si>
  <si>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</si>
  <si>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</si>
  <si>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</si>
  <si>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</si>
  <si>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</si>
  <si>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</si>
  <si>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</si>
  <si>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</si>
  <si>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</si>
  <si>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</si>
  <si>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</si>
  <si>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</si>
  <si>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</si>
  <si>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</si>
  <si>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</si>
  <si>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</si>
  <si>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</si>
  <si>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</si>
  <si>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</si>
  <si>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</si>
  <si>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</si>
  <si>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</si>
  <si>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</si>
  <si>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</si>
  <si>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</si>
  <si>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</si>
  <si>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</si>
  <si>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</si>
  <si>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</si>
  <si>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</si>
  <si>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</si>
  <si>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</si>
  <si>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</si>
  <si>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</si>
  <si>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</si>
  <si>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</si>
  <si>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</si>
  <si>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</si>
  <si>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</si>
  <si>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</si>
  <si>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</si>
  <si>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</si>
  <si>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</si>
  <si>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</si>
  <si>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</si>
  <si>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</si>
  <si>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</si>
  <si>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</si>
  <si>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</si>
  <si>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</si>
  <si>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</si>
  <si>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</si>
  <si>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</si>
  <si>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</si>
  <si>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</si>
  <si>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</si>
  <si>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</si>
  <si>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</si>
  <si>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</si>
  <si>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</si>
  <si>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</si>
  <si>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</si>
  <si>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</si>
  <si>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</si>
  <si>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</si>
  <si>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</si>
  <si>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</si>
  <si>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</si>
  <si>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</si>
  <si>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</si>
  <si>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</si>
  <si>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</si>
  <si>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</si>
  <si>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</si>
  <si>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</si>
  <si>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</si>
  <si>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</si>
  <si>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</si>
  <si>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</si>
  <si>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</si>
  <si>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</si>
  <si>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</si>
  <si>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</si>
  <si>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</si>
  <si>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</si>
  <si>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</si>
  <si>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</si>
  <si>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</si>
  <si>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</si>
  <si>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</si>
  <si>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</si>
  <si>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</si>
  <si>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</si>
  <si>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</si>
  <si>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</si>
  <si>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</si>
  <si>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</si>
  <si>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</si>
  <si>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</si>
  <si>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</si>
  <si>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</si>
  <si>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EXCELLENT PRE-GAMME, EXCELLENT COMMUNICATION</t>
  </si>
  <si>
    <t>VERY GOOD JOB! FEW CORRECTIONS, VERY FAST AND ANTICIPATING MY "CORRECTIONS". PRO-ACTIVE! VERY COMMUNICATIVE, INFORMING ABOUT AVERY EDIT OR CHANGE! CONGRATS!!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</si>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</sst>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26_259_ZAL_MCO_E2025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46056.833333333336</v>
      </c>
      <c r="C3" s="157"/>
      <c r="D3" s="39">
        <v>653</v>
      </c>
      <c r="E3" s="29"/>
      <c r="F3" s="26">
        <f>SUBTOTAL(3,I17:I106)</f>
        <v>1</v>
      </c>
      <c r="G3" s="27">
        <f>IF(OR(D3="",D3=0),"",F3/D3)</f>
        <v>1.5313935681470138E-3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1.5313935681470138E-3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0.15313935681470139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0.65313935681470137</v>
      </c>
      <c r="N7" s="58"/>
      <c r="O7" s="2"/>
      <c r="P7" s="2"/>
      <c r="Q7" s="86">
        <f>SUM(R5,S5,AC16)</f>
        <v>0.65313935681470137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0.65313935681470137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259</v>
      </c>
      <c r="D17" s="32" t="s">
        <v>759</v>
      </c>
      <c r="E17" s="33">
        <v>2</v>
      </c>
      <c r="F17" s="36">
        <v>45</v>
      </c>
      <c r="G17" s="36">
        <v>25</v>
      </c>
      <c r="H17" s="38" t="str">
        <f>IF(I17="","",$I$14)</f>
        <v>SCOUTING</v>
      </c>
      <c r="I17" s="34">
        <v>238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"E2025259"</v>
      </c>
      <c r="F3" s="45" t="str">
        <f t="shared" ref="F3:F16" si="0">""""&amp;B3&amp;"""" &amp; " : " &amp;C3&amp;","</f>
        <v>"name" : "E2025259",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"E259"</v>
      </c>
      <c r="F4" s="45" t="str">
        <f t="shared" si="0"/>
        <v>"cod" : "E259",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259</v>
      </c>
      <c r="F6" s="45" t="str">
        <f t="shared" si="0"/>
        <v>"number" : 259,</v>
      </c>
    </row>
    <row r="7" spans="2:6" x14ac:dyDescent="0.2">
      <c r="B7" s="43" t="s">
        <v>116</v>
      </c>
      <c r="C7" s="43" t="str">
        <f ca="1">""""&amp;TEXT('SCOUT &amp; LOGISTICS'!B3,"dd/mm/aaaa")&amp;""""</f>
        <v>"03/02/2026"</v>
      </c>
      <c r="F7" s="45" t="str">
        <f t="shared" ca="1" si="0"/>
        <v>"date" : "03/02/2026",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"GINTARE BUKARTAITE"</v>
      </c>
      <c r="F13" s="45" t="str">
        <f t="shared" si="0"/>
        <v>"Timerkeeper" : "GINTARE BUKARTAITE",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653</v>
      </c>
      <c r="F25" s="45" t="str">
        <f t="shared" ref="F25:F48" si="1">""""&amp;C25&amp;"""" &amp; " : " &amp;D25&amp;","</f>
        <v>"total_actions" : 653,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FEW CORRECTIONS, VERY FAST AND ANTICIPATING MY "CORRECTIONS". PRO-ACTIVE! VERY COMMUNICATIVE, INFORMING ABOUT AVERY EDIT OR CHANGE! CONGRATS!!"</v>
      </c>
      <c r="F51" s="45" t="str">
        <f>""""&amp;B51&amp;"""" &amp; " : " &amp;C51&amp;","</f>
        <v>"comments" : "VERY GOOD JOB! FEW CORRECTIONS, VERY FAST AND ANTICIPATING MY "CORRECTIONS". PRO-ACTIVE! VERY COMMUNICATIVE, INFORMING ABOUT AVERY EDIT OR CHANGE! CONGRATS!!",</v>
      </c>
    </row>
    <row r="52" spans="2:6" x14ac:dyDescent="0.2">
      <c r="B52" s="43" t="s">
        <v>153</v>
      </c>
      <c r="C52" s="43" t="str">
        <f>TEXT('SCOUT &amp; LOGISTICS'!F1,"0,0")</f>
        <v>26_259_ZAL_MCO_E2025</v>
      </c>
      <c r="F52" s="45" t="str">
        <f>""""&amp;B52&amp;"""" &amp; " : " &amp;C52</f>
        <v>"result" : 26_259_ZAL_MCO_E2025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E259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GINTARE BUKARTAITE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653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1.5313935681470138E-3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FEW CORRECTIONS, VERY FAST AND ANTICIPATING MY "CORRECTIONS". PRO-ACTIVE! VERY COMMUNICATIVE, INFORMING ABOUT AVERY EDIT OR CHANGE! CONGRATS!!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0.65313935681470137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96C6F4-BFE1-49ED-B64A-05DD48A7DA0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2026-02-03T22:08:51Z</cp:lastPrinted>
  <dcterms:created xsi:type="dcterms:W3CDTF">2023-09-19T19:50:35Z</dcterms:created>
  <dcterms:modified xsi:type="dcterms:W3CDTF">2026-02-03T22:08:56Z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