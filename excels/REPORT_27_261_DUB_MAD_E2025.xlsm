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1" documentId="8_{58A5AF26-794A-454E-94E4-71D415C0BFF4}" xr6:coauthVersionLast="47" xr6:coauthVersionMax="47" xr10:uidLastSave="{9224CDCA-9C52-475F-A752-3CF52A9D5B28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<sst xmlns="http://schemas.openxmlformats.org/spreadsheetml/2006/main" count="3265" uniqueCount="763">
  <si>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</si>
  <si>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</si>
  <si>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</si>
  <si>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</si>
  <si>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</si>
  <si>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</si>
  <si>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</si>
  <si>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</si>
  <si>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</si>
  <si>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</si>
  <si>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</si>
  <si>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</si>
  <si>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</si>
  <si>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</si>
  <si>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</si>
  <si>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</si>
  <si>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</si>
  <si>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</si>
  <si>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</si>
  <si>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</si>
  <si>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</si>
  <si>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</si>
  <si>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</si>
  <si>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</si>
  <si>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</si>
  <si>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</si>
  <si>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</si>
  <si>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</si>
  <si>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</si>
  <si>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</si>
  <si>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</si>
  <si>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</si>
  <si>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</si>
  <si>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</si>
  <si>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</si>
  <si>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</si>
  <si>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</si>
  <si>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</si>
  <si>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</si>
  <si>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</si>
  <si>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</si>
  <si>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</si>
  <si>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</si>
  <si>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</si>
  <si>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</si>
  <si>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</si>
  <si>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</si>
  <si>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</si>
  <si>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</si>
  <si>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</si>
  <si>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</si>
  <si>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</si>
  <si>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</si>
  <si>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</si>
  <si>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</si>
  <si>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</si>
  <si>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</si>
  <si>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</si>
  <si>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</si>
  <si>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</si>
  <si>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</si>
  <si>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</si>
  <si>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</si>
  <si>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</si>
  <si>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</si>
  <si>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</si>
  <si>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</si>
  <si>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</si>
  <si>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</si>
  <si>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</si>
  <si>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</si>
  <si>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</si>
  <si>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</si>
  <si>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</si>
  <si>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</si>
  <si>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</si>
  <si>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</si>
  <si>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</si>
  <si>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</si>
  <si>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</si>
  <si>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</si>
  <si>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</si>
  <si>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</si>
  <si>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</si>
  <si>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</si>
  <si>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</si>
  <si>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</si>
  <si>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</si>
  <si>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</si>
  <si>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</si>
  <si>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</si>
  <si>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</si>
  <si>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</si>
  <si>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</si>
  <si>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</si>
  <si>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</si>
  <si>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</si>
  <si>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</si>
  <si>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</si>
  <si>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</si>
  <si>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</si>
  <si>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</si>
  <si>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</si>
  <si>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</si>
  <si>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</si>
  <si>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</si>
  <si>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</si>
  <si>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</si>
  <si>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</si>
  <si>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</si>
  <si>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</si>
  <si>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</si>
  <si>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</si>
  <si>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</si>
  <si>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</si>
  <si>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</si>
  <si>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</si>
  <si>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</si>
  <si>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</si>
  <si>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</si>
  <si>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</si>
  <si>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</si>
  <si>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</si>
  <si>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</si>
  <si>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</si>
  <si>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</si>
  <si>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</si>
  <si>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</si>
  <si>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</si>
  <si>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</si>
  <si>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</si>
  <si>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</si>
  <si>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</si>
  <si>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</si>
  <si>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</si>
  <si>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</si>
  <si>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</si>
  <si>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</si>
  <si>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</si>
  <si>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</si>
  <si>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</si>
  <si>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</si>
  <si>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</si>
  <si>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</si>
  <si>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</si>
  <si>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</si>
  <si>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</si>
  <si>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</si>
  <si>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</si>
  <si>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</si>
  <si>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</si>
  <si>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</si>
  <si>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</si>
  <si>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</si>
  <si>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</si>
  <si>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</si>
  <si>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</si>
  <si>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</si>
  <si>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</si>
  <si>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</si>
  <si>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</si>
  <si>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</si>
  <si>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</si>
  <si>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</si>
  <si>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</si>
  <si>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</si>
  <si>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</si>
  <si>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</si>
  <si>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</si>
  <si>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</si>
  <si>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</si>
  <si>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</si>
  <si>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</si>
  <si>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</si>
  <si>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</si>
  <si>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</si>
  <si>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</si>
  <si>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</si>
  <si>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</si>
  <si>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</si>
  <si>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</si>
  <si>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</si>
  <si>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</si>
  <si>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</si>
  <si>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</si>
  <si>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</si>
  <si>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</si>
  <si>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</si>
  <si>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</si>
  <si>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</si>
  <si>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</si>
  <si>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</si>
  <si>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</si>
  <si>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</si>
  <si>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</si>
  <si>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</si>
  <si>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</si>
  <si>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</si>
  <si>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</si>
  <si>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</si>
  <si>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</si>
  <si>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</si>
  <si>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</si>
  <si>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</si>
  <si>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</si>
  <si>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</si>
  <si>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</si>
  <si>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</si>
  <si>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</si>
  <si>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</si>
  <si>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</si>
  <si>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</si>
  <si>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</si>
  <si>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</si>
  <si>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</si>
  <si>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</si>
  <si>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</si>
  <si>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</si>
  <si>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</si>
  <si>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</si>
  <si>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</si>
  <si>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</si>
  <si>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</si>
  <si>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</si>
  <si>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</si>
  <si>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</si>
  <si>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</si>
  <si>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</si>
  <si>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</si>
  <si>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</si>
  <si>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</si>
  <si>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</si>
  <si>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</si>
  <si>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</si>
  <si>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</si>
  <si>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</si>
  <si>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</si>
  <si>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</si>
  <si>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</si>
  <si>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</si>
  <si>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</si>
  <si>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</si>
  <si>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</si>
  <si>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</si>
  <si>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</si>
  <si>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</si>
  <si>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</si>
  <si>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</si>
  <si>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</si>
  <si>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</si>
  <si>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</si>
  <si>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</si>
  <si>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</si>
  <si>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</si>
  <si>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</si>
  <si>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</si>
  <si>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</si>
  <si>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</si>
  <si>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</si>
  <si>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</si>
  <si>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</si>
  <si>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</si>
  <si>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</si>
  <si>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</si>
  <si>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</si>
  <si>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</si>
  <si>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</si>
  <si>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</si>
  <si>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</si>
  <si>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</si>
  <si>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</si>
  <si>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</si>
  <si>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</si>
  <si>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</si>
  <si>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</si>
  <si>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</si>
  <si>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</si>
  <si>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</si>
  <si>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</si>
  <si>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</si>
  <si>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</si>
  <si>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</si>
  <si>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</si>
  <si>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</si>
  <si>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</si>
  <si>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</si>
  <si>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</si>
  <si>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</si>
  <si>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</si>
  <si>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</si>
  <si>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</si>
  <si>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</si>
  <si>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</si>
  <si>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</si>
  <si>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</si>
  <si>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</si>
  <si>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</si>
  <si>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</si>
  <si>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</si>
  <si>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</si>
  <si>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</si>
  <si>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</si>
  <si>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</si>
  <si>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</si>
  <si>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</si>
  <si>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</si>
  <si>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</si>
  <si>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</si>
  <si>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</si>
  <si>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</si>
  <si>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</si>
  <si>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</si>
  <si>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</si>
  <si>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</si>
  <si>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</si>
  <si>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</si>
  <si>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</si>
  <si>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</si>
  <si>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</si>
  <si>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</si>
  <si>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</si>
  <si>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</si>
  <si>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</si>
  <si>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</si>
  <si>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</si>
  <si>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</si>
  <si>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</si>
  <si>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</si>
  <si>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</si>
  <si>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</si>
  <si>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</si>
  <si>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</si>
  <si>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</si>
  <si>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</si>
  <si>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</si>
  <si>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</si>
  <si>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</si>
  <si>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</si>
  <si>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</si>
  <si>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</si>
  <si>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</si>
  <si>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</si>
  <si>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</si>
  <si>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</si>
  <si>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</si>
  <si>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</si>
  <si>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</si>
  <si>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</si>
  <si>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</si>
  <si>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</si>
  <si>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</si>
  <si>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</si>
  <si>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</si>
  <si>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</si>
  <si>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</si>
  <si>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</si>
  <si>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</si>
  <si>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</si>
  <si>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</si>
  <si>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</si>
  <si>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</si>
  <si>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</si>
  <si>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</si>
  <si>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</si>
  <si>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</si>
  <si>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</si>
  <si>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</si>
  <si>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</si>
  <si>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</si>
  <si>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</si>
  <si>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</si>
  <si>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</si>
  <si>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</si>
  <si>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</si>
  <si>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</si>
  <si>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</si>
  <si>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</si>
  <si>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</si>
  <si>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</si>
  <si>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</si>
  <si>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</si>
  <si>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</si>
  <si>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</si>
  <si>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</si>
  <si>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</si>
  <si>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</si>
  <si>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</si>
  <si>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</si>
  <si>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</si>
  <si>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</si>
  <si>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</si>
  <si>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</si>
  <si>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</si>
  <si>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</si>
  <si>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</si>
  <si>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</si>
  <si>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</si>
  <si>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</si>
  <si>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</si>
  <si>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</si>
  <si>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</si>
  <si>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</si>
  <si>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</si>
  <si>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</si>
  <si>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</si>
  <si>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</si>
  <si>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</si>
  <si>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</si>
  <si>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</si>
  <si>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</si>
  <si>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</si>
  <si>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</si>
  <si>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</si>
  <si>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</si>
  <si>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</si>
  <si>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</si>
  <si>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</si>
  <si>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</si>
  <si>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</si>
  <si>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</si>
  <si>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</si>
  <si>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</si>
  <si>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</si>
  <si>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</si>
  <si>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</si>
  <si>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</si>
  <si>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</si>
  <si>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</si>
  <si>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</si>
  <si>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</si>
  <si>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</si>
  <si>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</si>
  <si>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</si>
  <si>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</si>
  <si>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</si>
  <si>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</si>
  <si>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</si>
  <si>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</si>
  <si>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</si>
  <si>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</si>
  <si>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</si>
  <si>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</si>
  <si>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</si>
  <si>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</si>
  <si>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</si>
  <si>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</si>
  <si>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</si>
  <si>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</si>
  <si>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</si>
  <si>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</si>
  <si>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</si>
  <si>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</si>
  <si>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</si>
  <si>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</si>
  <si>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</si>
  <si>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</si>
  <si>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</si>
  <si>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</si>
  <si>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</si>
  <si>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</si>
  <si>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</si>
  <si>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</si>
  <si>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</si>
  <si>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</si>
  <si>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</si>
  <si>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</si>
  <si>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</si>
  <si>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</si>
  <si>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</si>
  <si>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</si>
  <si>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</si>
  <si>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</si>
  <si>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</si>
  <si>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</si>
  <si>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</si>
  <si>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</si>
  <si>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</si>
  <si>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</si>
  <si>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</si>
  <si>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</si>
  <si>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</si>
  <si>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</si>
  <si>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</si>
  <si>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</si>
  <si>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</si>
  <si>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</si>
  <si>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</si>
  <si>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</si>
  <si>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</si>
  <si>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</si>
  <si>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</si>
  <si>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</si>
  <si>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</si>
  <si>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</si>
  <si>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</si>
  <si>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</si>
  <si>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</si>
  <si>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</si>
  <si>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</si>
  <si>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</si>
  <si>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</si>
  <si>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</si>
  <si>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</si>
  <si>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</si>
  <si>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</si>
  <si>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</si>
  <si>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</si>
  <si>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</si>
  <si>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</si>
  <si>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</si>
  <si>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</si>
  <si>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</si>
  <si>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</si>
  <si>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</si>
  <si>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</si>
  <si>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</si>
  <si>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</si>
  <si>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</si>
  <si>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</si>
  <si>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</si>
  <si>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</si>
  <si>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</si>
  <si>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</si>
  <si>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</si>
  <si>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</si>
  <si>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</si>
  <si>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</si>
  <si>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</si>
  <si>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</si>
  <si>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</si>
  <si>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</si>
  <si>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</si>
  <si>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</si>
  <si>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</si>
  <si>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</si>
  <si>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</si>
  <si>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</si>
  <si>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</si>
  <si>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</si>
  <si>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</si>
  <si>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</si>
  <si>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</si>
  <si>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</si>
  <si>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</si>
  <si>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</si>
  <si>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</si>
  <si>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</si>
  <si>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</si>
  <si>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</si>
  <si>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</si>
  <si>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</si>
  <si>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</si>
  <si>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</si>
  <si>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</si>
  <si>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</si>
  <si>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</si>
  <si>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</si>
  <si>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</si>
  <si>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</si>
  <si>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</si>
  <si>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</si>
  <si>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</si>
  <si>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</si>
  <si>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</si>
  <si>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</si>
  <si>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</si>
  <si>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</si>
  <si>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</si>
  <si>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</si>
  <si>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</si>
  <si>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</si>
  <si>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</si>
  <si>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</si>
  <si>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</si>
  <si>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</si>
  <si>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</si>
  <si>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</si>
  <si>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</si>
  <si>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</si>
  <si>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</si>
  <si>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</si>
  <si>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</si>
  <si>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</si>
  <si>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</si>
  <si>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</si>
  <si>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</si>
  <si>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</si>
  <si>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</si>
  <si>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</si>
  <si>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</si>
  <si>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</si>
  <si>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</si>
  <si>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</si>
  <si>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</si>
  <si>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</si>
  <si>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</si>
  <si>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</si>
  <si>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</si>
  <si>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</si>
  <si>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</si>
  <si>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</si>
  <si>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</si>
  <si>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</si>
  <si>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</si>
  <si>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</si>
  <si>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</si>
  <si>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</si>
  <si>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</si>
  <si>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</si>
  <si>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</si>
  <si>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</si>
  <si>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</si>
  <si>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</si>
  <si>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</si>
  <si>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</si>
  <si>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</si>
  <si>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</si>
  <si>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</si>
  <si>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</si>
  <si>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</si>
  <si>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</si>
  <si>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</si>
  <si>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</si>
  <si>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</si>
  <si>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</si>
  <si>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</si>
  <si>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</si>
  <si>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</si>
  <si>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</si>
  <si>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</si>
  <si>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</si>
  <si>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</si>
  <si>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</si>
  <si>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</si>
  <si>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</si>
  <si>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</si>
  <si>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</si>
  <si>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</si>
  <si>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</si>
  <si>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</si>
  <si>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</si>
  <si>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</si>
  <si>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</si>
  <si>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</si>
  <si>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</si>
  <si>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</si>
  <si>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</si>
  <si>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</si>
  <si>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</si>
  <si>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</si>
  <si>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</si>
  <si>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</si>
  <si>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</si>
  <si>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</si>
  <si>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</si>
  <si>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</si>
  <si>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</si>
  <si>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</si>
  <si>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</si>
  <si>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</si>
  <si>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</si>
  <si>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</si>
  <si>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</si>
  <si>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</si>
  <si>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</si>
  <si>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</si>
  <si>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</si>
  <si>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</si>
  <si>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</si>
  <si>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</si>
  <si>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</si>
  <si>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</si>
  <si>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</si>
  <si>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</si>
  <si>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</si>
  <si>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</si>
  <si>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</si>
  <si>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</si>
  <si>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</si>
  <si>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</si>
  <si>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</si>
  <si>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</si>
  <si>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</si>
  <si>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</si>
  <si>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</si>
  <si>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</si>
  <si>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</si>
  <si>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</si>
  <si>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</si>
  <si>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</si>
  <si>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</si>
  <si>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</si>
  <si>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</si>
  <si>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</si>
  <si>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</si>
  <si>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</si>
  <si>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</si>
  <si>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</si>
  <si>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</si>
  <si>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</si>
  <si>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</si>
  <si>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</si>
  <si>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</si>
  <si>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</si>
  <si>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</si>
  <si>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</si>
  <si>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</si>
  <si>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</si>
  <si>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</si>
  <si>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</si>
  <si>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</si>
  <si>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</si>
  <si>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</si>
  <si>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</si>
  <si>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</si>
  <si>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</si>
  <si>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</si>
  <si>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</si>
  <si>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</si>
  <si>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</si>
  <si>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</si>
  <si>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</si>
  <si>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</si>
  <si>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</si>
  <si>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</si>
  <si>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</si>
  <si>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</si>
  <si>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</si>
  <si>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</si>
  <si>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</si>
  <si>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</si>
  <si>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</si>
  <si>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</si>
  <si>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</si>
  <si>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</si>
  <si>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</si>
  <si>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</si>
  <si>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</si>
  <si>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</si>
  <si>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</si>
  <si>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</si>
  <si>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</si>
  <si>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</si>
  <si>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</si>
  <si>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</si>
  <si>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</si>
  <si>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</si>
  <si>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</si>
  <si>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</si>
  <si>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</si>
  <si>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</si>
  <si>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DANILO VESOVIC</t>
  </si>
  <si>
    <t>MARKO LEPOVIC</t>
  </si>
  <si>
    <t>FRANCESC SENPAU VILLANUEVA</t>
  </si>
  <si>
    <t>SONJA STANKOVIC</t>
  </si>
  <si>
    <t>TEODORA DIMIC</t>
  </si>
  <si>
    <t xml:space="preserve">JOVANA KRIVOKUCA-MILOVANOVIC </t>
  </si>
  <si>
    <t>07:45</t>
  </si>
  <si>
    <t>04:53</t>
  </si>
  <si>
    <t>07:34</t>
  </si>
  <si>
    <t>05:28</t>
  </si>
  <si>
    <t>At this point in the season, it’s already clear that the work you’re doing is very good and, therefore, I have few things to comment on. I asked you to change a couple of rebounds that were clearly intentional tips. And then there was a 24-second violation after a shot that didn’t hit the rim: remember that this should be recorded as a turnover, not as a defensive rebound. I really appreciate that a play where it wasn’t clear whether it was within or out of time was checked by yourselves on the IRS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</si>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</sst>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27_261_DUB_MAD_E2025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46058.833333333336</v>
      </c>
      <c r="C3" s="157"/>
      <c r="D3" s="39">
        <v>604</v>
      </c>
      <c r="E3" s="29"/>
      <c r="F3" s="26">
        <f>SUBTOTAL(3,I17:I106)</f>
        <v>4</v>
      </c>
      <c r="G3" s="27">
        <f>IF(OR(D3="",D3=0),"",F3/D3)</f>
        <v>6.6225165562913907E-3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Dubai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6.6225165562913907E-3</v>
      </c>
      <c r="S4" s="61">
        <f>SUM(I13:M13)</f>
        <v>0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Real Madrid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0.66225165562913912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3.1622516556291389</v>
      </c>
      <c r="N7" s="58"/>
      <c r="O7" s="2"/>
      <c r="P7" s="2"/>
      <c r="Q7" s="86">
        <f>SUM(R5,S5,AC16)</f>
        <v>3.1622516556291389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3.1622516556291389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261</v>
      </c>
      <c r="D17" s="32" t="s">
        <v>757</v>
      </c>
      <c r="E17" s="33">
        <v>1</v>
      </c>
      <c r="F17" s="36">
        <v>2</v>
      </c>
      <c r="G17" s="36">
        <v>2</v>
      </c>
      <c r="H17" s="38" t="str">
        <f>IF(I17="","",$I$14)</f>
        <v>SCOUTING</v>
      </c>
      <c r="I17" s="34">
        <v>21</v>
      </c>
      <c r="J17" s="13" t="s">
        <v>4</v>
      </c>
      <c r="K17" s="13" t="s">
        <v>63</v>
      </c>
      <c r="L17" s="13" t="s">
        <v>6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261</v>
      </c>
      <c r="D18" s="32" t="s">
        <v>758</v>
      </c>
      <c r="E18" s="33">
        <v>1</v>
      </c>
      <c r="F18" s="36">
        <v>29</v>
      </c>
      <c r="G18" s="36">
        <v>27</v>
      </c>
      <c r="H18" s="38" t="str">
        <f t="shared" ref="H18:H81" si="8">IF(I18="","",$I$14)</f>
        <v>SCOUTING</v>
      </c>
      <c r="I18" s="34">
        <v>181</v>
      </c>
      <c r="J18" s="13" t="s">
        <v>4</v>
      </c>
      <c r="K18" s="13" t="s">
        <v>63</v>
      </c>
      <c r="L18" s="13" t="s">
        <v>5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261</v>
      </c>
      <c r="D19" s="32" t="s">
        <v>759</v>
      </c>
      <c r="E19" s="33">
        <v>2</v>
      </c>
      <c r="F19" s="36">
        <v>39</v>
      </c>
      <c r="G19" s="36">
        <v>49</v>
      </c>
      <c r="H19" s="38" t="str">
        <f t="shared" si="8"/>
        <v>SCOUTING</v>
      </c>
      <c r="I19" s="34">
        <v>298</v>
      </c>
      <c r="J19" s="13" t="s">
        <v>4</v>
      </c>
      <c r="K19" s="13" t="s">
        <v>62</v>
      </c>
      <c r="L19" s="13" t="s">
        <v>5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261</v>
      </c>
      <c r="D20" s="32" t="s">
        <v>760</v>
      </c>
      <c r="E20" s="33">
        <v>2</v>
      </c>
      <c r="F20" s="36">
        <v>41</v>
      </c>
      <c r="G20" s="36">
        <v>54</v>
      </c>
      <c r="H20" s="38" t="str">
        <f t="shared" si="8"/>
        <v>SCOUTING</v>
      </c>
      <c r="I20" s="34">
        <v>322</v>
      </c>
      <c r="J20" s="13" t="s">
        <v>4</v>
      </c>
      <c r="K20" s="13" t="s">
        <v>63</v>
      </c>
      <c r="L20" s="13" t="s">
        <v>5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"E2025261"</v>
      </c>
      <c r="F3" s="45" t="str">
        <f t="shared" ref="F3:F16" si="0">""""&amp;B3&amp;"""" &amp; " : " &amp;C3&amp;","</f>
        <v>"name" : "E2025261",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"E261"</v>
      </c>
      <c r="F4" s="45" t="str">
        <f t="shared" si="0"/>
        <v>"cod" : "E261",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261</v>
      </c>
      <c r="F6" s="45" t="str">
        <f t="shared" si="0"/>
        <v>"number" : 261,</v>
      </c>
    </row>
    <row r="7" spans="2:6" x14ac:dyDescent="0.25">
      <c r="B7" s="43" t="s">
        <v>116</v>
      </c>
      <c r="C7" s="43" t="str">
        <f ca="1">""""&amp;TEXT('SCOUT &amp; LOGISTICS'!B3,"dd/mm/aaaa")&amp;""""</f>
        <v>"05/02/Thursday"</v>
      </c>
      <c r="F7" s="45" t="str">
        <f t="shared" ca="1" si="0"/>
        <v>"date" : "05/02/Thursday",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"DANILO VESOVIC"</v>
      </c>
      <c r="F10" s="45" t="str">
        <f t="shared" si="0"/>
        <v>"Data_entry" : "DANILO VESOVIC",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"MARKO LEPOVIC"</v>
      </c>
      <c r="F11" s="45" t="str">
        <f t="shared" si="0"/>
        <v>"Caller_1" : "MARKO LEPOVIC",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"FRANCESC SENPAU VILLANUEVA"</v>
      </c>
      <c r="F12" s="45" t="str">
        <f t="shared" si="0"/>
        <v>"Caller_2" : "FRANCESC SENPAU VILLANUEVA",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"SONJA STANKOVIC"</v>
      </c>
      <c r="F13" s="45" t="str">
        <f t="shared" si="0"/>
        <v>"Timerkeeper" : "SONJA STANKOVIC",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"TEODORA DIMIC"</v>
      </c>
      <c r="F14" s="45" t="str">
        <f t="shared" si="0"/>
        <v>"Shotclock" : "TEODORA DIMIC",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KRIVOKUCA-MILOVANOVIC "</v>
      </c>
      <c r="F15" s="45" t="str">
        <f t="shared" si="0"/>
        <v>"IRS" : "JOVANA KRIVOKUCA-MILOVANOVIC 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604</v>
      </c>
      <c r="F25" s="45" t="str">
        <f t="shared" ref="F25:F48" si="1">""""&amp;C25&amp;"""" &amp; " : " &amp;D25&amp;","</f>
        <v>"total_actions" : 604,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"At this point in the season, it’s already clear that the work you’re doing is very good and, therefore, I have few things to comment on. I asked you to change a couple of rebounds that were clearly intentional tips. And then there was a 24-second violation after a shot that didn’t hit the rim: remember that this should be recorded as a turnover, not as a defensive rebound. I really appreciate that a play where it wasn’t clear whether it was within or out of time was checked by yourselves on the IRS"</v>
      </c>
      <c r="F51" s="45" t="str">
        <f>""""&amp;B51&amp;"""" &amp; " : " &amp;C51&amp;","</f>
        <v>"comments" : "At this point in the season, it’s already clear that the work you’re doing is very good and, therefore, I have few things to comment on. I asked you to change a couple of rebounds that were clearly intentional tips. And then there was a 24-second violation after a shot that didn’t hit the rim: remember that this should be recorded as a turnover, not as a defensive rebound. I really appreciate that a play where it wasn’t clear whether it was within or out of time was checked by yourselves on the IRS",</v>
      </c>
    </row>
    <row r="52" spans="2:6" x14ac:dyDescent="0.25">
      <c r="B52" s="43" t="s">
        <v>153</v>
      </c>
      <c r="C52" s="43" t="str">
        <f>TEXT('SCOUT &amp; LOGISTICS'!F1,"0,0")</f>
        <v>27_261_DUB_MAD_E2025</v>
      </c>
      <c r="F52" s="45" t="str">
        <f>""""&amp;B52&amp;"""" &amp; " : " &amp;C52</f>
        <v>"result" : 27_261_DUB_MAD_E2025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E261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05/02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Dubai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Real Madrid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DANILO VESOVIC</v>
      </c>
      <c r="C8" s="206"/>
      <c r="D8" s="206"/>
      <c r="E8" s="206"/>
      <c r="F8" s="206"/>
      <c r="G8" s="206" t="str">
        <f>IF('SCOUT &amp; LOGISTICS'!D7="","",'SCOUT &amp; LOGISTICS'!D7)</f>
        <v>MARKO LEPOVIC</v>
      </c>
      <c r="H8" s="206"/>
      <c r="I8" s="206"/>
      <c r="J8" s="206"/>
      <c r="K8" s="206"/>
      <c r="L8" s="206" t="str">
        <f>IF('SCOUT &amp; LOGISTICS'!D8="","",'SCOUT &amp; LOGISTICS'!D8)</f>
        <v>FRANCESC SENPAU VILLANUEVA</v>
      </c>
      <c r="M8" s="206"/>
      <c r="N8" s="206"/>
      <c r="O8" s="206"/>
      <c r="P8" s="206"/>
      <c r="Q8" s="206" t="str">
        <f>IF('SCOUT &amp; LOGISTICS'!D9="","",'SCOUT &amp; LOGISTICS'!D9)</f>
        <v>SONJA STANKOVIC</v>
      </c>
      <c r="R8" s="206"/>
      <c r="S8" s="206"/>
      <c r="T8" s="206"/>
      <c r="U8" s="206"/>
      <c r="V8" s="206" t="str">
        <f>IF('SCOUT &amp; LOGISTICS'!D10="","",'SCOUT &amp; LOGISTICS'!D10)</f>
        <v>TEODORA DIMIC</v>
      </c>
      <c r="W8" s="206"/>
      <c r="X8" s="206"/>
      <c r="Y8" s="206"/>
      <c r="Z8" s="206"/>
      <c r="AA8" s="206" t="str">
        <f>IF('SCOUT &amp; LOGISTICS'!D11="","",'SCOUT &amp; LOGISTICS'!D11)</f>
        <v xml:space="preserve">JOVANA KRIVOKUCA-MILOVANOVIC 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604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6.6225165562913907E-3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At this point in the season, it’s already clear that the work you’re doing is very good and, therefore, I have few things to comment on. I asked you to change a couple of rebounds that were clearly intentional tips. And then there was a 24-second violation after a shot that didn’t hit the rim: remember that this should be recorded as a turnover, not as a defensive rebound. I really appreciate that a play where it wasn’t clear whether it was within or out of time was checked by yourselves on the IRS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3.1622516556291389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E19DE3-D8E8-455D-A2DF-864858D6AB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2026-02-06T15:35:29Z</cp:lastPrinted>
  <dcterms:created xsi:type="dcterms:W3CDTF">2023-09-19T19:50:35Z</dcterms:created>
  <dcterms:modified xsi:type="dcterms:W3CDTF">2026-02-06T15:35:34Z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