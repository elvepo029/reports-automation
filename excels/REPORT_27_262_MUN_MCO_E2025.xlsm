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30" documentId="8_{B8ABA59E-0606-4505-B114-D726FA38265B}" xr6:coauthVersionLast="47" xr6:coauthVersionMax="47" xr10:uidLastSave="{F5C7E22E-3C12-4889-AF32-41F27314F44A}"/>
  <bookViews>
    <workbookView xWindow="28680" yWindow="-1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<sst xmlns="http://schemas.openxmlformats.org/spreadsheetml/2006/main" count="3250" uniqueCount="758">
  <si>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</si>
  <si>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</si>
  <si>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</si>
  <si>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</si>
  <si>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</si>
  <si>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</si>
  <si>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</si>
  <si>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</si>
  <si>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</si>
  <si>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</si>
  <si>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</si>
  <si>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</si>
  <si>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</si>
  <si>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</si>
  <si>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</si>
  <si>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</si>
  <si>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</si>
  <si>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</si>
  <si>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</si>
  <si>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</si>
  <si>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</si>
  <si>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</si>
  <si>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</si>
  <si>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</si>
  <si>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</si>
  <si>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</si>
  <si>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</si>
  <si>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</si>
  <si>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</si>
  <si>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</si>
  <si>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</si>
  <si>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</si>
  <si>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</si>
  <si>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</si>
  <si>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</si>
  <si>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</si>
  <si>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</si>
  <si>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</si>
  <si>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</si>
  <si>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</si>
  <si>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</si>
  <si>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</si>
  <si>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</si>
  <si>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</si>
  <si>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</si>
  <si>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</si>
  <si>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</si>
  <si>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</si>
  <si>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</si>
  <si>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</si>
  <si>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</si>
  <si>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</si>
  <si>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</si>
  <si>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</si>
  <si>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</si>
  <si>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</si>
  <si>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</si>
  <si>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</si>
  <si>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</si>
  <si>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</si>
  <si>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</si>
  <si>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</si>
  <si>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</si>
  <si>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</si>
  <si>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</si>
  <si>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</si>
  <si>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</si>
  <si>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</si>
  <si>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</si>
  <si>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</si>
  <si>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</si>
  <si>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</si>
  <si>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</si>
  <si>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</si>
  <si>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</si>
  <si>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</si>
  <si>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</si>
  <si>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</si>
  <si>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</si>
  <si>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</si>
  <si>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</si>
  <si>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</si>
  <si>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</si>
  <si>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</si>
  <si>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</si>
  <si>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</si>
  <si>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</si>
  <si>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</si>
  <si>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</si>
  <si>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</si>
  <si>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</si>
  <si>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</si>
  <si>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</si>
  <si>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</si>
  <si>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</si>
  <si>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</si>
  <si>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</si>
  <si>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</si>
  <si>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</si>
  <si>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</si>
  <si>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</si>
  <si>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</si>
  <si>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</si>
  <si>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</si>
  <si>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</si>
  <si>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</si>
  <si>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</si>
  <si>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</si>
  <si>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</si>
  <si>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</si>
  <si>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</si>
  <si>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</si>
  <si>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</si>
  <si>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</si>
  <si>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</si>
  <si>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</si>
  <si>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</si>
  <si>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</si>
  <si>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</si>
  <si>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</si>
  <si>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</si>
  <si>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</si>
  <si>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</si>
  <si>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</si>
  <si>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</si>
  <si>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</si>
  <si>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</si>
  <si>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</si>
  <si>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</si>
  <si>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</si>
  <si>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</si>
  <si>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</si>
  <si>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</si>
  <si>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</si>
  <si>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</si>
  <si>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</si>
  <si>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</si>
  <si>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</si>
  <si>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</si>
  <si>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</si>
  <si>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</si>
  <si>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</si>
  <si>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</si>
  <si>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</si>
  <si>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</si>
  <si>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</si>
  <si>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</si>
  <si>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</si>
  <si>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</si>
  <si>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</si>
  <si>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</si>
  <si>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</si>
  <si>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</si>
  <si>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</si>
  <si>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</si>
  <si>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</si>
  <si>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</si>
  <si>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</si>
  <si>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</si>
  <si>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</si>
  <si>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</si>
  <si>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</si>
  <si>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</si>
  <si>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</si>
  <si>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</si>
  <si>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</si>
  <si>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</si>
  <si>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</si>
  <si>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</si>
  <si>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</si>
  <si>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</si>
  <si>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</si>
  <si>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</si>
  <si>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</si>
  <si>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</si>
  <si>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</si>
  <si>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</si>
  <si>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</si>
  <si>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</si>
  <si>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</si>
  <si>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</si>
  <si>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</si>
  <si>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</si>
  <si>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</si>
  <si>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</si>
  <si>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</si>
  <si>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</si>
  <si>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</si>
  <si>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</si>
  <si>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</si>
  <si>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</si>
  <si>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</si>
  <si>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</si>
  <si>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</si>
  <si>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</si>
  <si>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</si>
  <si>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</si>
  <si>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</si>
  <si>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</si>
  <si>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</si>
  <si>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</si>
  <si>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</si>
  <si>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</si>
  <si>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</si>
  <si>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</si>
  <si>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</si>
  <si>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</si>
  <si>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</si>
  <si>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</si>
  <si>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</si>
  <si>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</si>
  <si>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</si>
  <si>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</si>
  <si>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</si>
  <si>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</si>
  <si>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</si>
  <si>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</si>
  <si>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</si>
  <si>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</si>
  <si>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</si>
  <si>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</si>
  <si>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</si>
  <si>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</si>
  <si>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</si>
  <si>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</si>
  <si>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</si>
  <si>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</si>
  <si>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</si>
  <si>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</si>
  <si>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</si>
  <si>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</si>
  <si>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</si>
  <si>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</si>
  <si>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</si>
  <si>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</si>
  <si>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</si>
  <si>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</si>
  <si>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</si>
  <si>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</si>
  <si>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</si>
  <si>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</si>
  <si>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</si>
  <si>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</si>
  <si>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</si>
  <si>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</si>
  <si>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</si>
  <si>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</si>
  <si>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</si>
  <si>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</si>
  <si>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</si>
  <si>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</si>
  <si>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</si>
  <si>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</si>
  <si>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</si>
  <si>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</si>
  <si>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</si>
  <si>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</si>
  <si>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</si>
  <si>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</si>
  <si>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</si>
  <si>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</si>
  <si>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</si>
  <si>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</si>
  <si>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</si>
  <si>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</si>
  <si>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</si>
  <si>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</si>
  <si>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</si>
  <si>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</si>
  <si>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</si>
  <si>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</si>
  <si>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</si>
  <si>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</si>
  <si>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</si>
  <si>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</si>
  <si>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</si>
  <si>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</si>
  <si>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</si>
  <si>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</si>
  <si>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</si>
  <si>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</si>
  <si>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</si>
  <si>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</si>
  <si>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</si>
  <si>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</si>
  <si>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</si>
  <si>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</si>
  <si>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</si>
  <si>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</si>
  <si>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</si>
  <si>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</si>
  <si>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</si>
  <si>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</si>
  <si>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</si>
  <si>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</si>
  <si>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</si>
  <si>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</si>
  <si>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</si>
  <si>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</si>
  <si>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</si>
  <si>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</si>
  <si>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</si>
  <si>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</si>
  <si>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</si>
  <si>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</si>
  <si>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</si>
  <si>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</si>
  <si>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</si>
  <si>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</si>
  <si>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</si>
  <si>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</si>
  <si>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</si>
  <si>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</si>
  <si>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</si>
  <si>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</si>
  <si>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</si>
  <si>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</si>
  <si>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</si>
  <si>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</si>
  <si>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</si>
  <si>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</si>
  <si>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</si>
  <si>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</si>
  <si>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</si>
  <si>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</si>
  <si>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</si>
  <si>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</si>
  <si>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</si>
  <si>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</si>
  <si>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</si>
  <si>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</si>
  <si>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</si>
  <si>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</si>
  <si>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</si>
  <si>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</si>
  <si>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</si>
  <si>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</si>
  <si>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</si>
  <si>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</si>
  <si>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</si>
  <si>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</si>
  <si>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</si>
  <si>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</si>
  <si>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</si>
  <si>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</si>
  <si>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</si>
  <si>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</si>
  <si>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</si>
  <si>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</si>
  <si>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</si>
  <si>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</si>
  <si>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</si>
  <si>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</si>
  <si>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</si>
  <si>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</si>
  <si>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</si>
  <si>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</si>
  <si>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</si>
  <si>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</si>
  <si>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</si>
  <si>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</si>
  <si>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</si>
  <si>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</si>
  <si>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</si>
  <si>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</si>
  <si>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</si>
  <si>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</si>
  <si>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</si>
  <si>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</si>
  <si>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</si>
  <si>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</si>
  <si>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</si>
  <si>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</si>
  <si>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</si>
  <si>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</si>
  <si>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</si>
  <si>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</si>
  <si>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</si>
  <si>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</si>
  <si>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</si>
  <si>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</si>
  <si>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</si>
  <si>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</si>
  <si>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</si>
  <si>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</si>
  <si>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</si>
  <si>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</si>
  <si>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</si>
  <si>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</si>
  <si>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</si>
  <si>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</si>
  <si>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</si>
  <si>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</si>
  <si>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</si>
  <si>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</si>
  <si>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</si>
  <si>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</si>
  <si>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</si>
  <si>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</si>
  <si>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</si>
  <si>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</si>
  <si>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</si>
  <si>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</si>
  <si>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</si>
  <si>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</si>
  <si>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</si>
  <si>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</si>
  <si>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</si>
  <si>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</si>
  <si>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</si>
  <si>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</si>
  <si>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</si>
  <si>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</si>
  <si>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</si>
  <si>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</si>
  <si>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</si>
  <si>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</si>
  <si>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</si>
  <si>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</si>
  <si>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</si>
  <si>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</si>
  <si>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</si>
  <si>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</si>
  <si>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</si>
  <si>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</si>
  <si>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</si>
  <si>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</si>
  <si>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</si>
  <si>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</si>
  <si>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</si>
  <si>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</si>
  <si>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</si>
  <si>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</si>
  <si>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</si>
  <si>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</si>
  <si>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</si>
  <si>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</si>
  <si>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</si>
  <si>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</si>
  <si>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</si>
  <si>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</si>
  <si>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</si>
  <si>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</si>
  <si>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</si>
  <si>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</si>
  <si>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</si>
  <si>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</si>
  <si>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</si>
  <si>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</si>
  <si>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</si>
  <si>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</si>
  <si>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</si>
  <si>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</si>
  <si>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</si>
  <si>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</si>
  <si>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</si>
  <si>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</si>
  <si>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</si>
  <si>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</si>
  <si>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</si>
  <si>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</si>
  <si>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</si>
  <si>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</si>
  <si>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</si>
  <si>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</si>
  <si>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</si>
  <si>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</si>
  <si>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</si>
  <si>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</si>
  <si>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</si>
  <si>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</si>
  <si>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</si>
  <si>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</si>
  <si>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</si>
  <si>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</si>
  <si>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</si>
  <si>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</si>
  <si>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</si>
  <si>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</si>
  <si>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</si>
  <si>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</si>
  <si>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</si>
  <si>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</si>
  <si>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</si>
  <si>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</si>
  <si>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</si>
  <si>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</si>
  <si>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</si>
  <si>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</si>
  <si>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</si>
  <si>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</si>
  <si>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</si>
  <si>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</si>
  <si>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</si>
  <si>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</si>
  <si>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</si>
  <si>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</si>
  <si>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</si>
  <si>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</si>
  <si>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</si>
  <si>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</si>
  <si>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</si>
  <si>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</si>
  <si>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</si>
  <si>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</si>
  <si>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</si>
  <si>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</si>
  <si>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</si>
  <si>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</si>
  <si>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</si>
  <si>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</si>
  <si>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</si>
  <si>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</si>
  <si>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</si>
  <si>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</si>
  <si>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</si>
  <si>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</si>
  <si>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</si>
  <si>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</si>
  <si>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</si>
  <si>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</si>
  <si>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</si>
  <si>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</si>
  <si>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</si>
  <si>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</si>
  <si>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</si>
  <si>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</si>
  <si>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</si>
  <si>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</si>
  <si>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</si>
  <si>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</si>
  <si>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</si>
  <si>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</si>
  <si>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</si>
  <si>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</si>
  <si>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</si>
  <si>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</si>
  <si>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</si>
  <si>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</si>
  <si>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</si>
  <si>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</si>
  <si>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</si>
  <si>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</si>
  <si>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</si>
  <si>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</si>
  <si>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</si>
  <si>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</si>
  <si>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</si>
  <si>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</si>
  <si>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</si>
  <si>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</si>
  <si>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</si>
  <si>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</si>
  <si>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</si>
  <si>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</si>
  <si>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</si>
  <si>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</si>
  <si>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</si>
  <si>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</si>
  <si>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</si>
  <si>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</si>
  <si>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</si>
  <si>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</si>
  <si>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</si>
  <si>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</si>
  <si>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</si>
  <si>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</si>
  <si>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</si>
  <si>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</si>
  <si>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</si>
  <si>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</si>
  <si>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</si>
  <si>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</si>
  <si>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</si>
  <si>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</si>
  <si>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</si>
  <si>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</si>
  <si>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</si>
  <si>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</si>
  <si>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</si>
  <si>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</si>
  <si>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</si>
  <si>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</si>
  <si>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</si>
  <si>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</si>
  <si>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</si>
  <si>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</si>
  <si>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</si>
  <si>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</si>
  <si>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</si>
  <si>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</si>
  <si>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</si>
  <si>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</si>
  <si>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</si>
  <si>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</si>
  <si>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</si>
  <si>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</si>
  <si>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</si>
  <si>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</si>
  <si>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</si>
  <si>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</si>
  <si>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</si>
  <si>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</si>
  <si>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</si>
  <si>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</si>
  <si>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</si>
  <si>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</si>
  <si>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</si>
  <si>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</si>
  <si>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</si>
  <si>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</si>
  <si>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</si>
  <si>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</si>
  <si>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</si>
  <si>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</si>
  <si>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</si>
  <si>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</si>
  <si>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</si>
  <si>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</si>
  <si>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</si>
  <si>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</si>
  <si>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</si>
  <si>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</si>
  <si>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</si>
  <si>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</si>
  <si>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</si>
  <si>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</si>
  <si>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</si>
  <si>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</si>
  <si>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</si>
  <si>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</si>
  <si>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</si>
  <si>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</si>
  <si>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</si>
  <si>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</si>
  <si>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</si>
  <si>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</si>
  <si>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</si>
  <si>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</si>
  <si>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</si>
  <si>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</si>
  <si>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</si>
  <si>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</si>
  <si>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</si>
  <si>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</si>
  <si>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</si>
  <si>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</si>
  <si>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</si>
  <si>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</si>
  <si>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</si>
  <si>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</si>
  <si>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</si>
  <si>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</si>
  <si>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</si>
  <si>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</si>
  <si>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</si>
  <si>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</si>
  <si>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</si>
  <si>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</si>
  <si>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</si>
  <si>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</si>
  <si>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</si>
  <si>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</si>
  <si>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</si>
  <si>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</si>
  <si>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</si>
  <si>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</si>
  <si>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</si>
  <si>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</si>
  <si>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</si>
  <si>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</si>
  <si>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</si>
  <si>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</si>
  <si>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</si>
  <si>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</si>
  <si>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</si>
  <si>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</si>
  <si>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</si>
  <si>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</si>
  <si>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</si>
  <si>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</si>
  <si>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</si>
  <si>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</si>
  <si>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</si>
  <si>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</si>
  <si>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</si>
  <si>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</si>
  <si>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</si>
  <si>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</si>
  <si>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</si>
  <si>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</si>
  <si>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</si>
  <si>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</si>
  <si>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</si>
  <si>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</si>
  <si>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</si>
  <si>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</si>
  <si>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</si>
  <si>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</si>
  <si>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</si>
  <si>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</si>
  <si>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</si>
  <si>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</si>
  <si>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</si>
  <si>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</si>
  <si>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</si>
  <si>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</si>
  <si>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</si>
  <si>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</si>
  <si>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</si>
  <si>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</si>
  <si>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</si>
  <si>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</si>
  <si>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</si>
  <si>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</si>
  <si>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</si>
  <si>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</si>
  <si>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</si>
  <si>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</si>
  <si>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</si>
  <si>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</si>
  <si>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</si>
  <si>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</si>
  <si>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</si>
  <si>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</si>
  <si>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</si>
  <si>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</si>
  <si>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</si>
  <si>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</si>
  <si>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</si>
  <si>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</si>
  <si>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</si>
  <si>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</si>
  <si>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</si>
  <si>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</si>
  <si>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</si>
  <si>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</si>
  <si>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</si>
  <si>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</si>
  <si>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</si>
  <si>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</si>
  <si>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</si>
  <si>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</si>
  <si>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</si>
  <si>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</si>
  <si>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</si>
  <si>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</si>
  <si>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</si>
  <si>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</si>
  <si>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C:\Users\hector.guillen\EUROLEAGUE\EB STATS - Documents\General\SEASON 2025-26\Reports\Euroleague</t>
  </si>
  <si>
    <t>C:\Users\hector.guillen\EUROLEAGUE\EB STATS - Documents\General\SEASON 2025-26\Reports\Euroleague\PDF</t>
  </si>
  <si>
    <t>MIKA KINDELMANN</t>
  </si>
  <si>
    <t>HUBERT KRAGLER</t>
  </si>
  <si>
    <t>MARKUS IDSTEIN</t>
  </si>
  <si>
    <t>CHRISTIAN HOENLE</t>
  </si>
  <si>
    <t>HECTOR GUILLEN</t>
  </si>
  <si>
    <t>5:08</t>
  </si>
  <si>
    <t>Very good job! Keep it up!!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</si>
</sst>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baseColWidth="10"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27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27_262_MUN_MCO_E2025</v>
      </c>
      <c r="G1" s="5"/>
      <c r="H1" s="5"/>
      <c r="I1" s="5"/>
      <c r="J1" s="8" t="s">
        <v>707</v>
      </c>
      <c r="K1" s="121" t="s">
        <v>749</v>
      </c>
      <c r="L1" s="121"/>
      <c r="M1" s="122" t="s">
        <v>239</v>
      </c>
      <c r="N1" s="121" t="s">
        <v>750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262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46058.854166666664</v>
      </c>
      <c r="C3" s="157"/>
      <c r="D3" s="39">
        <v>528</v>
      </c>
      <c r="E3" s="29"/>
      <c r="F3" s="26">
        <f>SUBTOTAL(3,I17:I106)</f>
        <v>1</v>
      </c>
      <c r="G3" s="27">
        <f>IF(OR(D3="",D3=0),"",F3/D3)</f>
        <v>1.893939393939394E-3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FC Bayern Munich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MUN</v>
      </c>
      <c r="I4" s="5"/>
      <c r="J4" s="119" t="s">
        <v>714</v>
      </c>
      <c r="K4" s="54" t="s">
        <v>742</v>
      </c>
      <c r="L4" s="5"/>
      <c r="M4" s="167" t="s">
        <v>757</v>
      </c>
      <c r="N4" s="168"/>
      <c r="O4" s="2"/>
      <c r="P4" s="2"/>
      <c r="Q4" s="84" t="s">
        <v>175</v>
      </c>
      <c r="R4" s="94">
        <f>(IF(G3="",0,G3))</f>
        <v>1.893939393939394E-3</v>
      </c>
      <c r="S4" s="61">
        <f>SUM(I13:M13)</f>
        <v>0</v>
      </c>
      <c r="T4" s="78"/>
      <c r="U4" s="61">
        <f>AC18</f>
        <v>1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AS Monaco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MCO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0.18939393939393939</v>
      </c>
      <c r="S5" s="70">
        <f t="shared" ref="S5" si="0">S4*S3</f>
        <v>0</v>
      </c>
      <c r="T5" s="92"/>
      <c r="U5" s="70">
        <f t="shared" ref="U5:AG5" si="1">U4*U3</f>
        <v>0.5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723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751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0.68939393939393945</v>
      </c>
      <c r="N7" s="58"/>
      <c r="O7" s="2"/>
      <c r="P7" s="2"/>
      <c r="Q7" s="86">
        <f>SUM(R5,S5,AC16)</f>
        <v>0.68939393939393945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752</v>
      </c>
      <c r="E8" s="182"/>
      <c r="F8" s="182"/>
      <c r="G8" s="18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0.68939393939393945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753</v>
      </c>
      <c r="E9" s="179"/>
      <c r="F9" s="179"/>
      <c r="G9" s="180"/>
      <c r="H9" s="130" t="str">
        <f>VLOOKUP($H$4,Teams!$B$3:$O$44,3,FALSE)</f>
        <v>SEBASTIAN BLANZ</v>
      </c>
      <c r="I9" s="130" t="str">
        <f>VLOOKUP($H$4,Teams!$B$3:$O$44,3,FALSE)</f>
        <v>SEBASTIAN BLANZ</v>
      </c>
      <c r="J9" s="130" t="str">
        <f>VLOOKUP($H$4,Teams!$B$3:$O$44,5,FALSE)</f>
        <v>THOMAS ROEHLICH</v>
      </c>
      <c r="K9" s="130" t="str">
        <f>VLOOKUP($H$4,Teams!$B$3:$O$44,6,FALSE)</f>
        <v>JURGEN JOST</v>
      </c>
      <c r="L9" s="130" t="str">
        <f>VLOOKUP($H$4,Teams!$B$3:$O$44,7,FALSE)</f>
        <v>ANDREAS GREPPMAYR</v>
      </c>
      <c r="M9" s="131" t="str">
        <f>VLOOKUP($H$4,Teams!$B$3:$O$44,8,FALSE)</f>
        <v>ROBERT TAVASZI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727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 t="s">
        <v>754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262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755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1</v>
      </c>
      <c r="J15" s="24">
        <f>SUBTOTAL(3,J17:J106)</f>
        <v>1</v>
      </c>
      <c r="K15" s="24">
        <f>SUBTOTAL(3,K17:K106)</f>
        <v>1</v>
      </c>
      <c r="L15" s="24">
        <f>SUBTOTAL(3,L17:L106)</f>
        <v>1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1</v>
      </c>
      <c r="Z16" s="90" t="s">
        <v>110</v>
      </c>
      <c r="AA16" s="75">
        <f>SUM(AA17:AA24)</f>
        <v>1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0.5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1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262</v>
      </c>
      <c r="D17" s="32" t="s">
        <v>756</v>
      </c>
      <c r="E17" s="33">
        <v>1</v>
      </c>
      <c r="F17" s="36">
        <v>10</v>
      </c>
      <c r="G17" s="36">
        <v>7</v>
      </c>
      <c r="H17" s="38" t="str">
        <f>IF(I17="","",$I$14)</f>
        <v>SCOUTING</v>
      </c>
      <c r="I17" s="34">
        <v>51</v>
      </c>
      <c r="J17" s="13" t="s">
        <v>4</v>
      </c>
      <c r="K17" s="13" t="s">
        <v>62</v>
      </c>
      <c r="L17" s="13" t="s">
        <v>5</v>
      </c>
      <c r="M17" s="13" t="s">
        <v>10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1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1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1</v>
      </c>
      <c r="AB18" s="66" t="s">
        <v>5</v>
      </c>
      <c r="AC18" s="61">
        <f t="shared" si="5"/>
        <v>1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1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baseColWidth="10" defaultColWidth="8.7265625"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baseColWidth="10" defaultColWidth="8.7265625"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baseColWidth="10"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REPORT_E2025262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"E2025262"</v>
      </c>
      <c r="F3" s="45" t="str">
        <f t="shared" ref="F3:F16" si="0">""""&amp;B3&amp;"""" &amp; " : " &amp;C3&amp;","</f>
        <v>"name" : "E2025262",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"E262"</v>
      </c>
      <c r="F4" s="45" t="str">
        <f t="shared" si="0"/>
        <v>"cod" : "E262",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262</v>
      </c>
      <c r="F6" s="45" t="str">
        <f t="shared" si="0"/>
        <v>"number" : 262,</v>
      </c>
    </row>
    <row r="7" spans="2:6" x14ac:dyDescent="0.25">
      <c r="B7" s="43" t="s">
        <v>116</v>
      </c>
      <c r="C7" s="43" t="str">
        <f ca="1">""""&amp;TEXT('SCOUT &amp; LOGISTICS'!B3,"dd/mm/aaaa")&amp;""""</f>
        <v>"05/02/Thursday"</v>
      </c>
      <c r="F7" s="45" t="str">
        <f t="shared" ca="1" si="0"/>
        <v>"date" : "05/02/Thursday",</v>
      </c>
    </row>
    <row r="8" spans="2:6" x14ac:dyDescent="0.25">
      <c r="B8" s="43" t="s">
        <v>125</v>
      </c>
      <c r="C8" s="43" t="str">
        <f>""""&amp;'SCOUT &amp; LOGISTICS'!D4 &amp;""""</f>
        <v>"FC Bayern Munich"</v>
      </c>
      <c r="F8" s="45" t="str">
        <f t="shared" si="0"/>
        <v>"home_team" : "FC Bayern Munich",</v>
      </c>
    </row>
    <row r="9" spans="2:6" x14ac:dyDescent="0.25">
      <c r="B9" s="43" t="s">
        <v>126</v>
      </c>
      <c r="C9" s="43" t="str">
        <f>""""&amp;'SCOUT &amp; LOGISTICS'!D5&amp;""""</f>
        <v>"AS Monaco"</v>
      </c>
      <c r="F9" s="45" t="str">
        <f t="shared" si="0"/>
        <v>"away_team" : "AS Monaco",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"SEBASTIAN BLANZ"</v>
      </c>
      <c r="F10" s="45" t="str">
        <f t="shared" si="0"/>
        <v>"Data_entry" : "SEBASTIAN BLANZ",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"MIKA KINDELMANN"</v>
      </c>
      <c r="F11" s="45" t="str">
        <f t="shared" si="0"/>
        <v>"Caller_1" : "MIKA KINDELMANN",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"HUBERT KRAGLER"</v>
      </c>
      <c r="F12" s="45" t="str">
        <f t="shared" si="0"/>
        <v>"Caller_2" : "HUBERT KRAGLER",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"MARKUS IDSTEIN"</v>
      </c>
      <c r="F13" s="45" t="str">
        <f t="shared" si="0"/>
        <v>"Timerkeeper" : "MARKUS IDSTEIN",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"ANDREAS GREPPMAYR"</v>
      </c>
      <c r="F14" s="45" t="str">
        <f t="shared" si="0"/>
        <v>"Shotclock" : "ANDREAS GREPPMAYR",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"CHRISTIAN HOENLE"</v>
      </c>
      <c r="F15" s="45" t="str">
        <f t="shared" si="0"/>
        <v>"IRS" : "CHRISTIAN HOENLE",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"HECTOR GUILLEN"</v>
      </c>
      <c r="F16" s="45" t="str">
        <f t="shared" si="0"/>
        <v>"Live_Game_Manager" : "HECTOR GUILLEN",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528</v>
      </c>
      <c r="F25" s="45" t="str">
        <f t="shared" ref="F25:F48" si="1">""""&amp;C25&amp;"""" &amp; " : " &amp;D25&amp;","</f>
        <v>"total_actions" : 528,</v>
      </c>
    </row>
    <row r="26" spans="2:6" x14ac:dyDescent="0.25">
      <c r="C26" s="43" t="s">
        <v>132</v>
      </c>
      <c r="D26" s="43">
        <f>'SCOUT &amp; LOGISTICS'!F3</f>
        <v>1</v>
      </c>
      <c r="F26" s="45" t="str">
        <f t="shared" si="1"/>
        <v>"total_correcions" : 1,</v>
      </c>
    </row>
    <row r="27" spans="2:6" x14ac:dyDescent="0.25">
      <c r="C27" s="43" t="s">
        <v>133</v>
      </c>
      <c r="D27" s="43" t="str">
        <f>""""&amp;IF(OR(D25="",D25=0),"",TEXT(D26/D25,"0,0%"))&amp;""""</f>
        <v>"00%"</v>
      </c>
      <c r="F27" s="45" t="str">
        <f t="shared" si="1"/>
        <v>"%_corrections" : "00%",</v>
      </c>
    </row>
    <row r="28" spans="2:6" x14ac:dyDescent="0.25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5">
      <c r="C29" s="43" t="s">
        <v>134</v>
      </c>
      <c r="D29" s="43">
        <f>IF('SCOUT &amp; LOGISTICS'!AA18="","",'SCOUT &amp; LOGISTICS'!AA18)</f>
        <v>1</v>
      </c>
      <c r="F29" s="45" t="str">
        <f t="shared" si="1"/>
        <v>"no_team" : 1,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1</v>
      </c>
      <c r="F31" s="45" t="str">
        <f t="shared" si="1"/>
        <v>"q1" : 1,</v>
      </c>
    </row>
    <row r="32" spans="2:6" x14ac:dyDescent="0.25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5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5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1</v>
      </c>
      <c r="F37" s="45" t="str">
        <f t="shared" si="1"/>
        <v>"scoresheet_corrections" : 1,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1</v>
      </c>
      <c r="F39" s="45" t="str">
        <f t="shared" si="1"/>
        <v>"missidentity" : 1,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"Very good job! Keep it up!!"</v>
      </c>
      <c r="F51" s="45" t="str">
        <f>""""&amp;B51&amp;"""" &amp; " : " &amp;C51&amp;","</f>
        <v>"comments" : "Very good job! Keep it up!!",</v>
      </c>
    </row>
    <row r="52" spans="2:6" x14ac:dyDescent="0.25">
      <c r="B52" s="43" t="s">
        <v>153</v>
      </c>
      <c r="C52" s="43" t="str">
        <f>TEXT('SCOUT &amp; LOGISTICS'!F1,"0,0")</f>
        <v>27_262_MUN_MCO_E2025</v>
      </c>
      <c r="F52" s="45" t="str">
        <f>""""&amp;B52&amp;"""" &amp; " : " &amp;C52</f>
        <v>"result" : 27_262_MUN_MCO_E2025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baseColWidth="10"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3">
      <c r="A3" s="48"/>
      <c r="B3" s="208" t="str">
        <f>"GAME: "&amp; LEFT('SCOUT &amp; LOGISTICS'!B2,1) &amp; TEXT('SCOUT &amp; LOGISTICS'!C2,"000") &amp; " " &amp; IF(LEFT('SCOUT &amp; LOGISTICS'!B2,1)="U","(EUROCUP)","(EUROLEAGUE)")</f>
        <v>GAME: E262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3">
      <c r="A4" s="48"/>
      <c r="B4" s="194" t="str">
        <f ca="1">"DATE: " &amp; TEXT('SCOUT &amp; LOGISTICS'!B3,"dd/mm")</f>
        <v>DATE: 05/02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3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3">
      <c r="A6" s="48"/>
      <c r="B6" s="212" t="str">
        <f>PROPER('SCOUT &amp; LOGISTICS'!D4)</f>
        <v>Fc Bayern Munich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As Monaco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3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3">
      <c r="A8" s="48"/>
      <c r="B8" s="206" t="str">
        <f>IF('SCOUT &amp; LOGISTICS'!D6="","",'SCOUT &amp; LOGISTICS'!D6)</f>
        <v>SEBASTIAN BLANZ</v>
      </c>
      <c r="C8" s="206"/>
      <c r="D8" s="206"/>
      <c r="E8" s="206"/>
      <c r="F8" s="206"/>
      <c r="G8" s="206" t="str">
        <f>IF('SCOUT &amp; LOGISTICS'!D7="","",'SCOUT &amp; LOGISTICS'!D7)</f>
        <v>MIKA KINDELMANN</v>
      </c>
      <c r="H8" s="206"/>
      <c r="I8" s="206"/>
      <c r="J8" s="206"/>
      <c r="K8" s="206"/>
      <c r="L8" s="206" t="str">
        <f>IF('SCOUT &amp; LOGISTICS'!D8="","",'SCOUT &amp; LOGISTICS'!D8)</f>
        <v>HUBERT KRAGLER</v>
      </c>
      <c r="M8" s="206"/>
      <c r="N8" s="206"/>
      <c r="O8" s="206"/>
      <c r="P8" s="206"/>
      <c r="Q8" s="206" t="str">
        <f>IF('SCOUT &amp; LOGISTICS'!D9="","",'SCOUT &amp; LOGISTICS'!D9)</f>
        <v>MARKUS IDSTEIN</v>
      </c>
      <c r="R8" s="206"/>
      <c r="S8" s="206"/>
      <c r="T8" s="206"/>
      <c r="U8" s="206"/>
      <c r="V8" s="206" t="str">
        <f>IF('SCOUT &amp; LOGISTICS'!D10="","",'SCOUT &amp; LOGISTICS'!D10)</f>
        <v>ANDREAS GREPPMAYR</v>
      </c>
      <c r="W8" s="206"/>
      <c r="X8" s="206"/>
      <c r="Y8" s="206"/>
      <c r="Z8" s="206"/>
      <c r="AA8" s="206" t="str">
        <f>IF('SCOUT &amp; LOGISTICS'!D11="","",'SCOUT &amp; LOGISTICS'!D11)</f>
        <v>CHRISTIAN HOENLE</v>
      </c>
      <c r="AB8" s="206"/>
      <c r="AC8" s="206"/>
      <c r="AD8" s="206"/>
      <c r="AE8" s="206"/>
      <c r="AF8" s="48"/>
    </row>
    <row r="9" spans="1:33" ht="13" thickBot="1" x14ac:dyDescent="0.3">
      <c r="A9" s="48"/>
      <c r="B9" s="200" t="str">
        <f>IF(OR('SCOUT &amp; LOGISTICS'!D14="",'SCOUT &amp; LOGISTICS'!D14=0),"",'SCOUT &amp; LOGISTICS'!B14 &amp; ": " &amp; 'SCOUT &amp; LOGISTICS'!D14) &amp; "     "</f>
        <v xml:space="preserve">L G M: : HECTOR GUILLEN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" thickBot="1" x14ac:dyDescent="0.3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3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" thickBot="1" x14ac:dyDescent="0.3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3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4">
        <f>'SCOUT &amp; LOGISTICS'!D3</f>
        <v>528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1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1.893939393939394E-3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" thickBot="1" x14ac:dyDescent="0.3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7">
        <f>IF('SCOUT &amp; LOGISTICS'!AA17="","",'SCOUT &amp; LOGISTICS'!AA17)</f>
        <v>0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1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7">
        <f>'SCOUT &amp; LOGISTICS'!AG17</f>
        <v>1</v>
      </c>
      <c r="C22" s="197"/>
      <c r="D22" s="197"/>
      <c r="E22" s="197"/>
      <c r="F22" s="197"/>
      <c r="G22" s="197"/>
      <c r="H22" s="197">
        <f>'SCOUT &amp; LOGISTICS'!AG18</f>
        <v>0</v>
      </c>
      <c r="I22" s="197"/>
      <c r="J22" s="197"/>
      <c r="K22" s="197"/>
      <c r="L22" s="197"/>
      <c r="M22" s="197"/>
      <c r="N22" s="197">
        <f>'SCOUT &amp; LOGISTICS'!AG19</f>
        <v>0</v>
      </c>
      <c r="O22" s="197"/>
      <c r="P22" s="197"/>
      <c r="Q22" s="197"/>
      <c r="R22" s="197"/>
      <c r="S22" s="197"/>
      <c r="T22" s="197">
        <f>'SCOUT &amp; LOGISTICS'!AG20</f>
        <v>0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" thickBot="1" x14ac:dyDescent="0.3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7">
        <f>'SCOUT &amp; LOGISTICS'!Y17</f>
        <v>1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7">
        <f>'SCOUT &amp; LOGISTICS'!AC18</f>
        <v>1</v>
      </c>
      <c r="C27" s="197"/>
      <c r="D27" s="197"/>
      <c r="E27" s="197"/>
      <c r="F27" s="197"/>
      <c r="G27" s="197">
        <f>'SCOUT &amp; LOGISTICS'!AC22</f>
        <v>0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" thickBot="1" x14ac:dyDescent="0.3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3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3">
      <c r="A32" s="48"/>
      <c r="B32" s="195" t="str">
        <f>IF('SCOUT &amp; LOGISTICS'!M4="","",'SCOUT &amp; LOGISTICS'!M4)</f>
        <v>Very good job! Keep it up!!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3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3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196">
        <f>'SCOUT &amp; LOGISTICS'!M7</f>
        <v>0.68939393939393945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te a new document." ma:contentTypeScope="" ma:versionID="de36969f4ed48e290014b5fd8755fec7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499fb8b56df7ec750a6b01bb270a1e23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93F50F0-E8EE-4A88-92B4-149A3FBE059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694b618-8e81-416b-aa01-0d9b54a17456"/>
    <ds:schemaRef ds:uri="54eaeb27-407e-4594-8513-05236ac1c66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Hector Guillen</cp:lastModifiedBy>
  <cp:lastPrinted>2026-02-06T21:32:49Z</cp:lastPrinted>
  <dcterms:created xsi:type="dcterms:W3CDTF">2023-09-19T19:50:35Z</dcterms:created>
  <dcterms:modified xsi:type="dcterms:W3CDTF">2026-02-06T21:32:52Z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