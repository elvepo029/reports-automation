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6A2F2DF7-9C83-48E5-A155-D9EE4517DF83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<sst xmlns="http://schemas.openxmlformats.org/spreadsheetml/2006/main" count="3291" uniqueCount="768">
  <si>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</si>
  <si>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</si>
  <si>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</si>
  <si>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</si>
  <si>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</si>
  <si>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</si>
  <si>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</si>
  <si>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</si>
  <si>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</si>
  <si>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</si>
  <si>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</si>
  <si>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</si>
  <si>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</si>
  <si>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</si>
  <si>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</si>
  <si>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</si>
  <si>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</si>
  <si>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</si>
  <si>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</si>
  <si>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</si>
  <si>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</si>
  <si>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</si>
  <si>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</si>
  <si>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</si>
  <si>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</si>
  <si>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</si>
  <si>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</si>
  <si>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</si>
  <si>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</si>
  <si>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</si>
  <si>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</si>
  <si>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</si>
  <si>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</si>
  <si>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</si>
  <si>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</si>
  <si>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</si>
  <si>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</si>
  <si>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</si>
  <si>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</si>
  <si>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</si>
  <si>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</si>
  <si>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</si>
  <si>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</si>
  <si>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</si>
  <si>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</si>
  <si>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</si>
  <si>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</si>
  <si>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</si>
  <si>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</si>
  <si>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</si>
  <si>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</si>
  <si>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</si>
  <si>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</si>
  <si>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</si>
  <si>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</si>
  <si>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</si>
  <si>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</si>
  <si>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</si>
  <si>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</si>
  <si>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</si>
  <si>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</si>
  <si>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</si>
  <si>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</si>
  <si>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</si>
  <si>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</si>
  <si>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</si>
  <si>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</si>
  <si>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</si>
  <si>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</si>
  <si>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</si>
  <si>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</si>
  <si>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</si>
  <si>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</si>
  <si>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</si>
  <si>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</si>
  <si>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</si>
  <si>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</si>
  <si>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</si>
  <si>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</si>
  <si>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</si>
  <si>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</si>
  <si>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</si>
  <si>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</si>
  <si>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</si>
  <si>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</si>
  <si>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</si>
  <si>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</si>
  <si>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</si>
  <si>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</si>
  <si>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</si>
  <si>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</si>
  <si>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</si>
  <si>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</si>
  <si>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</si>
  <si>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</si>
  <si>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</si>
  <si>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</si>
  <si>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</si>
  <si>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</si>
  <si>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</si>
  <si>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</si>
  <si>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</si>
  <si>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</si>
  <si>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</si>
  <si>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</si>
  <si>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</si>
  <si>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</si>
  <si>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</si>
  <si>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</si>
  <si>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</si>
  <si>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</si>
  <si>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</si>
  <si>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</si>
  <si>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</si>
  <si>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</si>
  <si>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</si>
  <si>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</si>
  <si>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</si>
  <si>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</si>
  <si>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</si>
  <si>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</si>
  <si>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</si>
  <si>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</si>
  <si>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</si>
  <si>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</si>
  <si>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</si>
  <si>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</si>
  <si>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</si>
  <si>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</si>
  <si>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</si>
  <si>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</si>
  <si>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</si>
  <si>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</si>
  <si>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</si>
  <si>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</si>
  <si>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</si>
  <si>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</si>
  <si>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</si>
  <si>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</si>
  <si>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</si>
  <si>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</si>
  <si>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</si>
  <si>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</si>
  <si>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</si>
  <si>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</si>
  <si>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</si>
  <si>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</si>
  <si>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</si>
  <si>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</si>
  <si>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</si>
  <si>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</si>
  <si>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</si>
  <si>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</si>
  <si>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</si>
  <si>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</si>
  <si>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</si>
  <si>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</si>
  <si>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</si>
  <si>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</si>
  <si>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</si>
  <si>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</si>
  <si>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</si>
  <si>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</si>
  <si>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</si>
  <si>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</si>
  <si>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</si>
  <si>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</si>
  <si>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</si>
  <si>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</si>
  <si>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</si>
  <si>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</si>
  <si>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</si>
  <si>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</si>
  <si>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</si>
  <si>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</si>
  <si>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</si>
  <si>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</si>
  <si>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</si>
  <si>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</si>
  <si>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</si>
  <si>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</si>
  <si>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</si>
  <si>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</si>
  <si>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</si>
  <si>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</si>
  <si>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</si>
  <si>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</si>
  <si>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</si>
  <si>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</si>
  <si>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</si>
  <si>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</si>
  <si>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</si>
  <si>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</si>
  <si>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</si>
  <si>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</si>
  <si>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</si>
  <si>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</si>
  <si>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</si>
  <si>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</si>
  <si>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</si>
  <si>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</si>
  <si>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</si>
  <si>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</si>
  <si>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</si>
  <si>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</si>
  <si>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</si>
  <si>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</si>
  <si>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</si>
  <si>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</si>
  <si>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</si>
  <si>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</si>
  <si>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</si>
  <si>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</si>
  <si>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</si>
  <si>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</si>
  <si>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</si>
  <si>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</si>
  <si>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</si>
  <si>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</si>
  <si>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</si>
  <si>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</si>
  <si>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</si>
  <si>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</si>
  <si>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</si>
  <si>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</si>
  <si>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</si>
  <si>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</si>
  <si>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</si>
  <si>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</si>
  <si>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</si>
  <si>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</si>
  <si>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</si>
  <si>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</si>
  <si>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</si>
  <si>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</si>
  <si>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</si>
  <si>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</si>
  <si>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</si>
  <si>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</si>
  <si>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</si>
  <si>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</si>
  <si>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</si>
  <si>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</si>
  <si>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</si>
  <si>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</si>
  <si>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</si>
  <si>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</si>
  <si>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</si>
  <si>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</si>
  <si>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</si>
  <si>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</si>
  <si>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</si>
  <si>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</si>
  <si>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</si>
  <si>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</si>
  <si>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</si>
  <si>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</si>
  <si>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</si>
  <si>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</si>
  <si>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</si>
  <si>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</si>
  <si>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</si>
  <si>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</si>
  <si>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</si>
  <si>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</si>
  <si>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</si>
  <si>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</si>
  <si>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</si>
  <si>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</si>
  <si>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</si>
  <si>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</si>
  <si>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</si>
  <si>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</si>
  <si>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</si>
  <si>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</si>
  <si>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</si>
  <si>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</si>
  <si>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</si>
  <si>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</si>
  <si>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</si>
  <si>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</si>
  <si>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</si>
  <si>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</si>
  <si>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</si>
  <si>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</si>
  <si>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</si>
  <si>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</si>
  <si>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</si>
  <si>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</si>
  <si>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</si>
  <si>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</si>
  <si>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</si>
  <si>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</si>
  <si>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</si>
  <si>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</si>
  <si>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</si>
  <si>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</si>
  <si>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</si>
  <si>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</si>
  <si>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</si>
  <si>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</si>
  <si>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</si>
  <si>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</si>
  <si>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</si>
  <si>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</si>
  <si>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</si>
  <si>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</si>
  <si>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</si>
  <si>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</si>
  <si>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</si>
  <si>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</si>
  <si>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</si>
  <si>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</si>
  <si>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</si>
  <si>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</si>
  <si>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</si>
  <si>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</si>
  <si>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</si>
  <si>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</si>
  <si>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</si>
  <si>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</si>
  <si>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</si>
  <si>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</si>
  <si>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</si>
  <si>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</si>
  <si>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</si>
  <si>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</si>
  <si>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</si>
  <si>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</si>
  <si>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</si>
  <si>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</si>
  <si>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</si>
  <si>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</si>
  <si>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</si>
  <si>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</si>
  <si>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</si>
  <si>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</si>
  <si>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</si>
  <si>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</si>
  <si>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</si>
  <si>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</si>
  <si>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</si>
  <si>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</si>
  <si>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</si>
  <si>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</si>
  <si>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</si>
  <si>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</si>
  <si>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</si>
  <si>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</si>
  <si>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</si>
  <si>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</si>
  <si>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</si>
  <si>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</si>
  <si>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</si>
  <si>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</si>
  <si>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</si>
  <si>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</si>
  <si>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</si>
  <si>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</si>
  <si>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</si>
  <si>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</si>
  <si>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</si>
  <si>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</si>
  <si>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</si>
  <si>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</si>
  <si>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</si>
  <si>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</si>
  <si>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</si>
  <si>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</si>
  <si>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</si>
  <si>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</si>
  <si>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</si>
  <si>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</si>
  <si>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</si>
  <si>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</si>
  <si>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</si>
  <si>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</si>
  <si>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</si>
  <si>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</si>
  <si>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</si>
  <si>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</si>
  <si>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</si>
  <si>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</si>
  <si>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</si>
  <si>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</si>
  <si>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</si>
  <si>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</si>
  <si>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</si>
  <si>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</si>
  <si>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</si>
  <si>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</si>
  <si>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</si>
  <si>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</si>
  <si>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</si>
  <si>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</si>
  <si>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</si>
  <si>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</si>
  <si>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</si>
  <si>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</si>
  <si>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</si>
  <si>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</si>
  <si>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</si>
  <si>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</si>
  <si>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</si>
  <si>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</si>
  <si>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</si>
  <si>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</si>
  <si>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</si>
  <si>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</si>
  <si>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</si>
  <si>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</si>
  <si>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</si>
  <si>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</si>
  <si>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</si>
  <si>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</si>
  <si>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</si>
  <si>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</si>
  <si>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</si>
  <si>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</si>
  <si>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</si>
  <si>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</si>
  <si>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</si>
  <si>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</si>
  <si>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</si>
  <si>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</si>
  <si>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</si>
  <si>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</si>
  <si>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</si>
  <si>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</si>
  <si>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</si>
  <si>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</si>
  <si>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</si>
  <si>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</si>
  <si>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</si>
  <si>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</si>
  <si>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</si>
  <si>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</si>
  <si>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</si>
  <si>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</si>
  <si>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</si>
  <si>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</si>
  <si>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</si>
  <si>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</si>
  <si>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</si>
  <si>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</si>
  <si>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</si>
  <si>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</si>
  <si>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</si>
  <si>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</si>
  <si>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</si>
  <si>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</si>
  <si>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</si>
  <si>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</si>
  <si>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</si>
  <si>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</si>
  <si>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</si>
  <si>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</si>
  <si>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</si>
  <si>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</si>
  <si>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</si>
  <si>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</si>
  <si>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</si>
  <si>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</si>
  <si>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</si>
  <si>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</si>
  <si>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</si>
  <si>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</si>
  <si>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</si>
  <si>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</si>
  <si>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</si>
  <si>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</si>
  <si>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</si>
  <si>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</si>
  <si>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</si>
  <si>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</si>
  <si>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</si>
  <si>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</si>
  <si>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</si>
  <si>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</si>
  <si>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</si>
  <si>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</si>
  <si>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</si>
  <si>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</si>
  <si>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</si>
  <si>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</si>
  <si>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</si>
  <si>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</si>
  <si>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</si>
  <si>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</si>
  <si>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</si>
  <si>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</si>
  <si>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</si>
  <si>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</si>
  <si>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</si>
  <si>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</si>
  <si>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</si>
  <si>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</si>
  <si>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</si>
  <si>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</si>
  <si>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</si>
  <si>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</si>
  <si>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</si>
  <si>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</si>
  <si>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</si>
  <si>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</si>
  <si>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</si>
  <si>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</si>
  <si>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</si>
  <si>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</si>
  <si>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</si>
  <si>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</si>
  <si>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</si>
  <si>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</si>
  <si>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</si>
  <si>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</si>
  <si>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</si>
  <si>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</si>
  <si>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</si>
  <si>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</si>
  <si>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</si>
  <si>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</si>
  <si>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</si>
  <si>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</si>
  <si>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</si>
  <si>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</si>
  <si>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</si>
  <si>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</si>
  <si>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</si>
  <si>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</si>
  <si>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</si>
  <si>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</si>
  <si>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</si>
  <si>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</si>
  <si>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</si>
  <si>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</si>
  <si>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</si>
  <si>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</si>
  <si>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</si>
  <si>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</si>
  <si>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</si>
  <si>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</si>
  <si>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</si>
  <si>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</si>
  <si>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</si>
  <si>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</si>
  <si>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</si>
  <si>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</si>
  <si>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</si>
  <si>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</si>
  <si>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</si>
  <si>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</si>
  <si>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</si>
  <si>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</si>
  <si>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</si>
  <si>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</si>
  <si>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</si>
  <si>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</si>
  <si>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</si>
  <si>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</si>
  <si>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</si>
  <si>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</si>
  <si>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</si>
  <si>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</si>
  <si>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</si>
  <si>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</si>
  <si>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</si>
  <si>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</si>
  <si>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</si>
  <si>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</si>
  <si>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</si>
  <si>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</si>
  <si>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</si>
  <si>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</si>
  <si>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</si>
  <si>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</si>
  <si>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</si>
  <si>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</si>
  <si>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</si>
  <si>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</si>
  <si>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</si>
  <si>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</si>
  <si>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</si>
  <si>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</si>
  <si>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</si>
  <si>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</si>
  <si>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</si>
  <si>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</si>
  <si>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</si>
  <si>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</si>
  <si>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</si>
  <si>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</si>
  <si>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</si>
  <si>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</si>
  <si>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</si>
  <si>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</si>
  <si>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</si>
  <si>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</si>
  <si>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</si>
  <si>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</si>
  <si>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</si>
  <si>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</si>
  <si>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</si>
  <si>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</si>
  <si>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</si>
  <si>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</si>
  <si>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</si>
  <si>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</si>
  <si>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</si>
  <si>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</si>
  <si>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</si>
  <si>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</si>
  <si>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</si>
  <si>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</si>
  <si>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</si>
  <si>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</si>
  <si>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</si>
  <si>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</si>
  <si>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</si>
  <si>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</si>
  <si>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</si>
  <si>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</si>
  <si>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</si>
  <si>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</si>
  <si>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</si>
  <si>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</si>
  <si>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</si>
  <si>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</si>
  <si>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</si>
  <si>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</si>
  <si>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</si>
  <si>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</si>
  <si>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</si>
  <si>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</si>
  <si>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</si>
  <si>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</si>
  <si>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</si>
  <si>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</si>
  <si>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</si>
  <si>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</si>
  <si>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</si>
  <si>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</si>
  <si>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</si>
  <si>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</si>
  <si>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</si>
  <si>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</si>
  <si>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</si>
  <si>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</si>
  <si>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</si>
  <si>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</si>
  <si>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</si>
  <si>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</si>
  <si>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</si>
  <si>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</si>
  <si>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</si>
  <si>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</si>
  <si>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</si>
  <si>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</si>
  <si>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</si>
  <si>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</si>
  <si>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</si>
  <si>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</si>
  <si>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</si>
  <si>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</si>
  <si>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</si>
  <si>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</si>
  <si>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</si>
  <si>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</si>
  <si>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</si>
  <si>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</si>
  <si>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</si>
  <si>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</si>
  <si>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</si>
  <si>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</si>
  <si>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</si>
  <si>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</si>
  <si>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</si>
  <si>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</si>
  <si>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</si>
  <si>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</si>
  <si>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</si>
  <si>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</si>
  <si>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</si>
  <si>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</si>
  <si>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</si>
  <si>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</si>
  <si>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</si>
  <si>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</si>
  <si>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</si>
  <si>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</si>
  <si>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</si>
  <si>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</si>
  <si>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</si>
  <si>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</si>
  <si>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</si>
  <si>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</si>
  <si>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</si>
  <si>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</si>
  <si>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</si>
  <si>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</si>
  <si>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</si>
  <si>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</si>
  <si>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</si>
  <si>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</si>
  <si>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</si>
  <si>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</si>
  <si>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</si>
  <si>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</si>
  <si>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</si>
  <si>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</si>
  <si>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</si>
  <si>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</si>
  <si>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</si>
  <si>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</si>
  <si>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</si>
  <si>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</si>
  <si>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</si>
  <si>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</si>
  <si>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</si>
  <si>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</si>
  <si>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</si>
  <si>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</si>
  <si>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</si>
  <si>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</si>
  <si>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</si>
  <si>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</si>
  <si>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</si>
  <si>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</si>
  <si>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</si>
  <si>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</si>
  <si>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</si>
  <si>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</si>
  <si>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</si>
  <si>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</si>
  <si>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</si>
  <si>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</si>
  <si>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</si>
  <si>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</si>
  <si>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</si>
  <si>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</si>
  <si>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</si>
  <si>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</si>
  <si>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</si>
  <si>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</si>
  <si>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</si>
  <si>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</si>
  <si>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</si>
  <si>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</si>
  <si>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</si>
  <si>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</si>
  <si>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</si>
  <si>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</si>
  <si>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ALMOG BAND</t>
  </si>
  <si>
    <t>TAL GRAFF</t>
  </si>
  <si>
    <t>NOA KONFINO</t>
  </si>
  <si>
    <t>IDO SEGAL</t>
  </si>
  <si>
    <t>SAGY BARKAY</t>
  </si>
  <si>
    <t>NIR DOBY WAIDMAN</t>
  </si>
  <si>
    <t>3:00</t>
  </si>
  <si>
    <t>2:07</t>
  </si>
  <si>
    <t>4:03</t>
  </si>
  <si>
    <t>3:41</t>
  </si>
  <si>
    <t>0:21</t>
  </si>
  <si>
    <t>0:01</t>
  </si>
  <si>
    <t>Arbitres canvien OFF Foul per Foul (tir abans de contacte)</t>
  </si>
  <si>
    <t>4:51</t>
  </si>
  <si>
    <t>4:20</t>
  </si>
  <si>
    <t>0:22</t>
  </si>
  <si>
    <t>Fixing plays is a very accurate task. It saves a lot of time if done at first. Thanks for your work!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</si>
</sst>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27_263_HTA_PAM_E2025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263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46058.875</v>
      </c>
      <c r="C3" s="157"/>
      <c r="D3" s="39">
        <v>690</v>
      </c>
      <c r="E3" s="29"/>
      <c r="F3" s="26">
        <f>SUBTOTAL(3,I17:I106)</f>
        <v>9</v>
      </c>
      <c r="G3" s="27">
        <f>IF(OR(D3="",D3=0),"",F3/D3)</f>
        <v>1.3043478260869565E-2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Hapoel IBI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67" t="s">
        <v>767</v>
      </c>
      <c r="N4" s="168"/>
      <c r="O4" s="2"/>
      <c r="P4" s="2"/>
      <c r="Q4" s="84" t="s">
        <v>175</v>
      </c>
      <c r="R4" s="94">
        <f>(IF(G3="",0,G3))</f>
        <v>1.3043478260869565E-2</v>
      </c>
      <c r="S4" s="61">
        <f>SUM(I13:M13)</f>
        <v>1</v>
      </c>
      <c r="T4" s="78"/>
      <c r="U4" s="61">
        <f>AC18</f>
        <v>7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Valencia Basket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1.3043478260869565</v>
      </c>
      <c r="S5" s="70">
        <f t="shared" ref="S5" si="0">S4*S3</f>
        <v>1</v>
      </c>
      <c r="T5" s="92"/>
      <c r="U5" s="70">
        <f t="shared" ref="U5:AG5" si="1">U4*U3</f>
        <v>3.5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9.304347826086957</v>
      </c>
      <c r="N7" s="58"/>
      <c r="O7" s="2"/>
      <c r="P7" s="2"/>
      <c r="Q7" s="86">
        <f>SUM(R5,S5,AC16)</f>
        <v>9.304347826086957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9.304347826086957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263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7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263</v>
      </c>
      <c r="D17" s="32" t="s">
        <v>757</v>
      </c>
      <c r="E17" s="33">
        <v>1</v>
      </c>
      <c r="F17" s="36">
        <v>13</v>
      </c>
      <c r="G17" s="36">
        <v>19</v>
      </c>
      <c r="H17" s="38" t="str">
        <f>IF(I17="","",$I$14)</f>
        <v>SCOUTING</v>
      </c>
      <c r="I17" s="34">
        <v>98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5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263</v>
      </c>
      <c r="D18" s="32" t="s">
        <v>758</v>
      </c>
      <c r="E18" s="33">
        <v>1</v>
      </c>
      <c r="F18" s="36">
        <v>15</v>
      </c>
      <c r="G18" s="36">
        <v>19</v>
      </c>
      <c r="H18" s="38" t="str">
        <f t="shared" ref="H18:H81" si="8">IF(I18="","",$I$14)</f>
        <v>SCOUTING</v>
      </c>
      <c r="I18" s="34">
        <v>105</v>
      </c>
      <c r="J18" s="13" t="s">
        <v>4</v>
      </c>
      <c r="K18" s="13" t="s">
        <v>62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7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263</v>
      </c>
      <c r="D19" s="32" t="s">
        <v>759</v>
      </c>
      <c r="E19" s="33">
        <v>3</v>
      </c>
      <c r="F19" s="36">
        <v>66</v>
      </c>
      <c r="G19" s="36">
        <v>52</v>
      </c>
      <c r="H19" s="38" t="str">
        <f t="shared" si="8"/>
        <v>SCOUTING</v>
      </c>
      <c r="I19" s="34">
        <v>387</v>
      </c>
      <c r="J19" s="13" t="s">
        <v>4</v>
      </c>
      <c r="K19" s="13" t="s">
        <v>63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263</v>
      </c>
      <c r="D20" s="32" t="s">
        <v>760</v>
      </c>
      <c r="E20" s="33">
        <v>3</v>
      </c>
      <c r="F20" s="36">
        <v>66</v>
      </c>
      <c r="G20" s="36">
        <v>54</v>
      </c>
      <c r="H20" s="38" t="str">
        <f t="shared" si="8"/>
        <v>SCOUTING</v>
      </c>
      <c r="I20" s="34">
        <v>399</v>
      </c>
      <c r="J20" s="13" t="s">
        <v>4</v>
      </c>
      <c r="K20" s="13" t="s">
        <v>63</v>
      </c>
      <c r="L20" s="13" t="s">
        <v>7</v>
      </c>
      <c r="M20" s="13" t="s">
        <v>9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E2025</v>
      </c>
      <c r="C21" s="31">
        <f t="shared" si="3"/>
        <v>263</v>
      </c>
      <c r="D21" s="32" t="s">
        <v>761</v>
      </c>
      <c r="E21" s="33">
        <v>3</v>
      </c>
      <c r="F21" s="36">
        <v>71</v>
      </c>
      <c r="G21" s="36">
        <v>61</v>
      </c>
      <c r="H21" s="38" t="str">
        <f t="shared" si="8"/>
        <v>SCOUTING</v>
      </c>
      <c r="I21" s="34">
        <v>443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E2025</v>
      </c>
      <c r="C22" s="31">
        <f t="shared" si="3"/>
        <v>263</v>
      </c>
      <c r="D22" s="32" t="s">
        <v>762</v>
      </c>
      <c r="E22" s="33">
        <v>3</v>
      </c>
      <c r="F22" s="36">
        <v>71</v>
      </c>
      <c r="G22" s="36">
        <v>61</v>
      </c>
      <c r="H22" s="38" t="str">
        <f t="shared" si="8"/>
        <v>SCOUTING</v>
      </c>
      <c r="I22" s="34">
        <v>445</v>
      </c>
      <c r="J22" s="13" t="s">
        <v>4</v>
      </c>
      <c r="K22" s="13" t="s">
        <v>63</v>
      </c>
      <c r="L22" s="13" t="s">
        <v>5</v>
      </c>
      <c r="M22" s="13" t="s">
        <v>8</v>
      </c>
      <c r="N22" s="35" t="s">
        <v>763</v>
      </c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>E2025</v>
      </c>
      <c r="C23" s="31">
        <f t="shared" si="3"/>
        <v>263</v>
      </c>
      <c r="D23" s="32" t="s">
        <v>764</v>
      </c>
      <c r="E23" s="33">
        <v>4</v>
      </c>
      <c r="F23" s="36">
        <v>80</v>
      </c>
      <c r="G23" s="36">
        <v>76</v>
      </c>
      <c r="H23" s="38" t="str">
        <f t="shared" si="8"/>
        <v>SCOUTING</v>
      </c>
      <c r="I23" s="34">
        <v>542</v>
      </c>
      <c r="J23" s="13" t="s">
        <v>4</v>
      </c>
      <c r="K23" s="13" t="s">
        <v>62</v>
      </c>
      <c r="L23" s="13" t="s">
        <v>5</v>
      </c>
      <c r="M23" s="13" t="s">
        <v>28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>E2025</v>
      </c>
      <c r="C24" s="31">
        <f t="shared" si="3"/>
        <v>263</v>
      </c>
      <c r="D24" s="32" t="s">
        <v>765</v>
      </c>
      <c r="E24" s="33">
        <v>4</v>
      </c>
      <c r="F24" s="36">
        <v>83</v>
      </c>
      <c r="G24" s="36">
        <v>76</v>
      </c>
      <c r="H24" s="38" t="str">
        <f t="shared" si="8"/>
        <v>SCOUTING</v>
      </c>
      <c r="I24" s="34">
        <v>554</v>
      </c>
      <c r="J24" s="13" t="s">
        <v>4</v>
      </c>
      <c r="K24" s="13" t="s">
        <v>62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>E2025</v>
      </c>
      <c r="C25" s="31">
        <f t="shared" si="3"/>
        <v>263</v>
      </c>
      <c r="D25" s="32" t="s">
        <v>766</v>
      </c>
      <c r="E25" s="33">
        <v>4</v>
      </c>
      <c r="F25" s="36">
        <v>88</v>
      </c>
      <c r="G25" s="36">
        <v>88</v>
      </c>
      <c r="H25" s="38" t="str">
        <f t="shared" si="8"/>
        <v>SCOUTING</v>
      </c>
      <c r="I25" s="34">
        <v>602</v>
      </c>
      <c r="J25" s="13" t="s">
        <v>4</v>
      </c>
      <c r="K25" s="13" t="s">
        <v>63</v>
      </c>
      <c r="L25" s="13" t="s">
        <v>6</v>
      </c>
      <c r="M25" s="13" t="s">
        <v>22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REPORT_E2025263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"E2025263"</v>
      </c>
      <c r="F3" s="45" t="str">
        <f t="shared" ref="F3:F16" si="0">""""&amp;B3&amp;"""" &amp; " : " &amp;C3&amp;","</f>
        <v>"name" : "E2025263",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"E263"</v>
      </c>
      <c r="F4" s="45" t="str">
        <f t="shared" si="0"/>
        <v>"cod" : "E263",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263</v>
      </c>
      <c r="F6" s="45" t="str">
        <f t="shared" si="0"/>
        <v>"number" : 263,</v>
      </c>
    </row>
    <row r="7" spans="2:6" x14ac:dyDescent="0.25">
      <c r="B7" s="43" t="s">
        <v>116</v>
      </c>
      <c r="C7" s="43" t="str">
        <f ca="1">""""&amp;TEXT('SCOUT &amp; LOGISTICS'!B3,"dd/mm/aaaa")&amp;""""</f>
        <v>"05/02/2026"</v>
      </c>
      <c r="F7" s="45" t="str">
        <f t="shared" ca="1" si="0"/>
        <v>"date" : "05/02/2026",</v>
      </c>
    </row>
    <row r="8" spans="2:6" x14ac:dyDescent="0.25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5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"ALMOG BAND"</v>
      </c>
      <c r="F10" s="45" t="str">
        <f t="shared" si="0"/>
        <v>"Data_entry" : "ALMOG BAND",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"TAL GRAFF"</v>
      </c>
      <c r="F11" s="45" t="str">
        <f t="shared" si="0"/>
        <v>"Caller_1" : "TAL GRAFF",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"NOA KONFINO"</v>
      </c>
      <c r="F12" s="45" t="str">
        <f t="shared" si="0"/>
        <v>"Caller_2" : "NOA KONFINO",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"IDO SEGAL"</v>
      </c>
      <c r="F13" s="45" t="str">
        <f t="shared" si="0"/>
        <v>"Timerkeeper" : "IDO SEGAL",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"SAGY BARKAY"</v>
      </c>
      <c r="F14" s="45" t="str">
        <f t="shared" si="0"/>
        <v>"Shotclock" : "SAGY BARKAY",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"NIR DOBY WAIDMAN"</v>
      </c>
      <c r="F15" s="45" t="str">
        <f t="shared" si="0"/>
        <v>"IRS" : "NIR DOBY WAIDMAN",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690</v>
      </c>
      <c r="F25" s="45" t="str">
        <f t="shared" ref="F25:F48" si="1">""""&amp;C25&amp;"""" &amp; " : " &amp;D25&amp;","</f>
        <v>"total_actions" : 690,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"1,3%"</v>
      </c>
      <c r="F27" s="45" t="str">
        <f t="shared" si="1"/>
        <v>"%_corrections" : "1,3%",</v>
      </c>
    </row>
    <row r="28" spans="2:6" x14ac:dyDescent="0.25">
      <c r="C28" s="43" t="s">
        <v>125</v>
      </c>
      <c r="D28" s="43">
        <f>IF('SCOUT &amp; LOGISTICS'!AA17="","",'SCOUT &amp; LOGISTICS'!AA17)</f>
        <v>5</v>
      </c>
      <c r="F28" s="45" t="str">
        <f t="shared" si="1"/>
        <v>"home_team" : 5,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7</v>
      </c>
      <c r="F39" s="45" t="str">
        <f t="shared" si="1"/>
        <v>"missidentity" : 7,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"Fixing plays is a very accurate task. It saves a lot of time if done at first. Thanks for your work!"</v>
      </c>
      <c r="F51" s="45" t="str">
        <f>""""&amp;B51&amp;"""" &amp; " : " &amp;C51&amp;","</f>
        <v>"comments" : "Fixing plays is a very accurate task. It saves a lot of time if done at first. Thanks for your work!",</v>
      </c>
    </row>
    <row r="52" spans="2:6" x14ac:dyDescent="0.25">
      <c r="B52" s="43" t="s">
        <v>153</v>
      </c>
      <c r="C52" s="43" t="str">
        <f>TEXT('SCOUT &amp; LOGISTICS'!F1,"0,0")</f>
        <v>27_263_HTA_PAM_E2025</v>
      </c>
      <c r="F52" s="45" t="str">
        <f>""""&amp;B52&amp;"""" &amp; " : " &amp;C52</f>
        <v>"result" : 27_263_HTA_PAM_E2025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E263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05/02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Hapoel Ibi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Valencia Basket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ALMOG BAND</v>
      </c>
      <c r="C8" s="206"/>
      <c r="D8" s="206"/>
      <c r="E8" s="206"/>
      <c r="F8" s="206"/>
      <c r="G8" s="206" t="str">
        <f>IF('SCOUT &amp; LOGISTICS'!D7="","",'SCOUT &amp; LOGISTICS'!D7)</f>
        <v>TAL GRAFF</v>
      </c>
      <c r="H8" s="206"/>
      <c r="I8" s="206"/>
      <c r="J8" s="206"/>
      <c r="K8" s="206"/>
      <c r="L8" s="206" t="str">
        <f>IF('SCOUT &amp; LOGISTICS'!D8="","",'SCOUT &amp; LOGISTICS'!D8)</f>
        <v>NOA KONFINO</v>
      </c>
      <c r="M8" s="206"/>
      <c r="N8" s="206"/>
      <c r="O8" s="206"/>
      <c r="P8" s="206"/>
      <c r="Q8" s="206" t="str">
        <f>IF('SCOUT &amp; LOGISTICS'!D9="","",'SCOUT &amp; LOGISTICS'!D9)</f>
        <v>IDO SEGAL</v>
      </c>
      <c r="R8" s="206"/>
      <c r="S8" s="206"/>
      <c r="T8" s="206"/>
      <c r="U8" s="206"/>
      <c r="V8" s="206" t="str">
        <f>IF('SCOUT &amp; LOGISTICS'!D10="","",'SCOUT &amp; LOGISTICS'!D10)</f>
        <v>SAGY BARKAY</v>
      </c>
      <c r="W8" s="206"/>
      <c r="X8" s="206"/>
      <c r="Y8" s="206"/>
      <c r="Z8" s="206"/>
      <c r="AA8" s="206" t="str">
        <f>IF('SCOUT &amp; LOGISTICS'!D11="","",'SCOUT &amp; LOGISTICS'!D11)</f>
        <v>NIR DOBY WAIDMAN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OK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690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9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1.3043478260869565E-2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5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4</v>
      </c>
      <c r="O22" s="197"/>
      <c r="P22" s="197"/>
      <c r="Q22" s="197"/>
      <c r="R22" s="197"/>
      <c r="S22" s="197"/>
      <c r="T22" s="197">
        <f>'SCOUT &amp; LOGISTICS'!AG20</f>
        <v>3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9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7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Fixing plays is a very accurate task. It saves a lot of time if done at first. Thanks for your work!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9.304347826086957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59CE1C5-0D91-445C-A294-06150B434B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2026-02-05T22:09:43Z</cp:lastPrinted>
  <dcterms:created xsi:type="dcterms:W3CDTF">2023-09-19T19:50:35Z</dcterms:created>
  <dcterms:modified xsi:type="dcterms:W3CDTF">2026-02-05T22:09:50Z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