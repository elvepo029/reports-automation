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24" documentId="8_{4E168F78-2BA7-4F38-BA75-84E905B473B4}" xr6:coauthVersionLast="47" xr6:coauthVersionMax="47" xr10:uidLastSave="{AE6486B2-E70C-4907-8386-437E38E0E63A}"/>
  <bookViews>
    <workbookView xWindow="-28920" yWindow="-207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<sst xmlns="http://schemas.openxmlformats.org/spreadsheetml/2006/main" count="3250" uniqueCount="760">
  <si>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</si>
  <si>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</si>
  <si>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</si>
  <si>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</si>
  <si>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</si>
  <si>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</si>
  <si>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</si>
  <si>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</si>
  <si>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</si>
  <si>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</si>
  <si>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</si>
  <si>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</si>
  <si>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</si>
  <si>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</si>
  <si>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</si>
  <si>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</si>
  <si>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</si>
  <si>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</si>
  <si>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</si>
  <si>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</si>
  <si>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</si>
  <si>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</si>
  <si>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</si>
  <si>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</si>
  <si>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</si>
  <si>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</si>
  <si>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</si>
  <si>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</si>
  <si>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</si>
  <si>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</si>
  <si>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</si>
  <si>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</si>
  <si>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</si>
  <si>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</si>
  <si>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</si>
  <si>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</si>
  <si>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</si>
  <si>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</si>
  <si>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</si>
  <si>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</si>
  <si>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</si>
  <si>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</si>
  <si>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</si>
  <si>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</si>
  <si>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</si>
  <si>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</si>
  <si>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</si>
  <si>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</si>
  <si>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</si>
  <si>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</si>
  <si>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</si>
  <si>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</si>
  <si>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</si>
  <si>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</si>
  <si>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</si>
  <si>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</si>
  <si>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</si>
  <si>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</si>
  <si>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</si>
  <si>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</si>
  <si>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</si>
  <si>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</si>
  <si>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</si>
  <si>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</si>
  <si>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</si>
  <si>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</si>
  <si>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</si>
  <si>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</si>
  <si>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</si>
  <si>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</si>
  <si>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</si>
  <si>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</si>
  <si>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</si>
  <si>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</si>
  <si>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</si>
  <si>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</si>
  <si>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</si>
  <si>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</si>
  <si>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</si>
  <si>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</si>
  <si>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</si>
  <si>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</si>
  <si>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</si>
  <si>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</si>
  <si>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</si>
  <si>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</si>
  <si>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</si>
  <si>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</si>
  <si>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</si>
  <si>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</si>
  <si>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</si>
  <si>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</si>
  <si>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</si>
  <si>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</si>
  <si>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</si>
  <si>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</si>
  <si>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</si>
  <si>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</si>
  <si>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</si>
  <si>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</si>
  <si>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</si>
  <si>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</si>
  <si>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</si>
  <si>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</si>
  <si>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</si>
  <si>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</si>
  <si>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</si>
  <si>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</si>
  <si>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</si>
  <si>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</si>
  <si>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</si>
  <si>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</si>
  <si>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</si>
  <si>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</si>
  <si>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</si>
  <si>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</si>
  <si>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</si>
  <si>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</si>
  <si>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</si>
  <si>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</si>
  <si>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</si>
  <si>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</si>
  <si>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</si>
  <si>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</si>
  <si>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</si>
  <si>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</si>
  <si>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</si>
  <si>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</si>
  <si>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</si>
  <si>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</si>
  <si>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</si>
  <si>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</si>
  <si>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</si>
  <si>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</si>
  <si>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</si>
  <si>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</si>
  <si>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</si>
  <si>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</si>
  <si>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</si>
  <si>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</si>
  <si>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</si>
  <si>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</si>
  <si>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</si>
  <si>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</si>
  <si>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</si>
  <si>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</si>
  <si>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</si>
  <si>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</si>
  <si>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</si>
  <si>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</si>
  <si>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</si>
  <si>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</si>
  <si>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</si>
  <si>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</si>
  <si>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</si>
  <si>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</si>
  <si>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</si>
  <si>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</si>
  <si>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</si>
  <si>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</si>
  <si>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</si>
  <si>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</si>
  <si>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</si>
  <si>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</si>
  <si>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</si>
  <si>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</si>
  <si>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</si>
  <si>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</si>
  <si>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</si>
  <si>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</si>
  <si>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</si>
  <si>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</si>
  <si>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</si>
  <si>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</si>
  <si>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</si>
  <si>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</si>
  <si>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</si>
  <si>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</si>
  <si>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</si>
  <si>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</si>
  <si>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</si>
  <si>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</si>
  <si>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</si>
  <si>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</si>
  <si>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</si>
  <si>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</si>
  <si>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</si>
  <si>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</si>
  <si>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</si>
  <si>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</si>
  <si>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</si>
  <si>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</si>
  <si>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</si>
  <si>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</si>
  <si>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</si>
  <si>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</si>
  <si>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</si>
  <si>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</si>
  <si>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</si>
  <si>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</si>
  <si>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</si>
  <si>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</si>
  <si>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</si>
  <si>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</si>
  <si>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</si>
  <si>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</si>
  <si>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</si>
  <si>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</si>
  <si>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</si>
  <si>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</si>
  <si>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</si>
  <si>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</si>
  <si>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</si>
  <si>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</si>
  <si>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</si>
  <si>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</si>
  <si>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</si>
  <si>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</si>
  <si>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</si>
  <si>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</si>
  <si>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</si>
  <si>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</si>
  <si>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</si>
  <si>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</si>
  <si>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</si>
  <si>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</si>
  <si>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</si>
  <si>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</si>
  <si>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</si>
  <si>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</si>
  <si>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</si>
  <si>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</si>
  <si>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</si>
  <si>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</si>
  <si>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</si>
  <si>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</si>
  <si>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</si>
  <si>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</si>
  <si>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</si>
  <si>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</si>
  <si>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</si>
  <si>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</si>
  <si>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</si>
  <si>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</si>
  <si>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</si>
  <si>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</si>
  <si>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</si>
  <si>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</si>
  <si>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</si>
  <si>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</si>
  <si>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</si>
  <si>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</si>
  <si>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</si>
  <si>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</si>
  <si>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</si>
  <si>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</si>
  <si>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</si>
  <si>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</si>
  <si>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</si>
  <si>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</si>
  <si>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</si>
  <si>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</si>
  <si>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</si>
  <si>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</si>
  <si>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</si>
  <si>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</si>
  <si>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</si>
  <si>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</si>
  <si>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</si>
  <si>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</si>
  <si>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</si>
  <si>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</si>
  <si>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</si>
  <si>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</si>
  <si>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</si>
  <si>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</si>
  <si>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</si>
  <si>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</si>
  <si>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</si>
  <si>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</si>
  <si>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</si>
  <si>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</si>
  <si>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</si>
  <si>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</si>
  <si>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</si>
  <si>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</si>
  <si>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</si>
  <si>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</si>
  <si>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</si>
  <si>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</si>
  <si>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</si>
  <si>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</si>
  <si>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</si>
  <si>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</si>
  <si>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</si>
  <si>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</si>
  <si>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</si>
  <si>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</si>
  <si>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</si>
  <si>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</si>
  <si>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</si>
  <si>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</si>
  <si>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</si>
  <si>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</si>
  <si>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</si>
  <si>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</si>
  <si>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</si>
  <si>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</si>
  <si>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</si>
  <si>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</si>
  <si>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</si>
  <si>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</si>
  <si>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</si>
  <si>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</si>
  <si>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</si>
  <si>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</si>
  <si>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</si>
  <si>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</si>
  <si>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</si>
  <si>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</si>
  <si>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</si>
  <si>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</si>
  <si>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</si>
  <si>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</si>
  <si>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</si>
  <si>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</si>
  <si>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</si>
  <si>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</si>
  <si>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</si>
  <si>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</si>
  <si>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</si>
  <si>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</si>
  <si>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</si>
  <si>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</si>
  <si>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</si>
  <si>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</si>
  <si>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</si>
  <si>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</si>
  <si>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</si>
  <si>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</si>
  <si>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</si>
  <si>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</si>
  <si>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</si>
  <si>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</si>
  <si>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</si>
  <si>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</si>
  <si>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</si>
  <si>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</si>
  <si>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</si>
  <si>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</si>
  <si>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</si>
  <si>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</si>
  <si>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</si>
  <si>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</si>
  <si>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</si>
  <si>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</si>
  <si>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</si>
  <si>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</si>
  <si>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</si>
  <si>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</si>
  <si>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</si>
  <si>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</si>
  <si>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</si>
  <si>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</si>
  <si>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</si>
  <si>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</si>
  <si>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</si>
  <si>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</si>
  <si>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</si>
  <si>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</si>
  <si>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</si>
  <si>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</si>
  <si>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</si>
  <si>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</si>
  <si>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</si>
  <si>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</si>
  <si>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</si>
  <si>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</si>
  <si>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</si>
  <si>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</si>
  <si>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</si>
  <si>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</si>
  <si>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</si>
  <si>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</si>
  <si>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</si>
  <si>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</si>
  <si>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</si>
  <si>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</si>
  <si>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</si>
  <si>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</si>
  <si>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</si>
  <si>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</si>
  <si>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</si>
  <si>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</si>
  <si>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</si>
  <si>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</si>
  <si>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</si>
  <si>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</si>
  <si>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</si>
  <si>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</si>
  <si>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</si>
  <si>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</si>
  <si>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</si>
  <si>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</si>
  <si>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</si>
  <si>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</si>
  <si>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</si>
  <si>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</si>
  <si>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</si>
  <si>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</si>
  <si>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</si>
  <si>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</si>
  <si>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</si>
  <si>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</si>
  <si>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</si>
  <si>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</si>
  <si>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</si>
  <si>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</si>
  <si>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</si>
  <si>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</si>
  <si>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</si>
  <si>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</si>
  <si>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</si>
  <si>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</si>
  <si>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</si>
  <si>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</si>
  <si>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</si>
  <si>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</si>
  <si>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</si>
  <si>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</si>
  <si>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</si>
  <si>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</si>
  <si>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</si>
  <si>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</si>
  <si>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</si>
  <si>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</si>
  <si>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</si>
  <si>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</si>
  <si>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</si>
  <si>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</si>
  <si>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</si>
  <si>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</si>
  <si>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</si>
  <si>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</si>
  <si>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</si>
  <si>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</si>
  <si>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</si>
  <si>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</si>
  <si>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</si>
  <si>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</si>
  <si>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</si>
  <si>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</si>
  <si>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</si>
  <si>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</si>
  <si>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</si>
  <si>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</si>
  <si>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</si>
  <si>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</si>
  <si>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</si>
  <si>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</si>
  <si>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</si>
  <si>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</si>
  <si>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</si>
  <si>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</si>
  <si>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</si>
  <si>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</si>
  <si>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</si>
  <si>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</si>
  <si>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</si>
  <si>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</si>
  <si>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</si>
  <si>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</si>
  <si>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</si>
  <si>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</si>
  <si>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</si>
  <si>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</si>
  <si>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</si>
  <si>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</si>
  <si>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</si>
  <si>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</si>
  <si>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</si>
  <si>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</si>
  <si>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</si>
  <si>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</si>
  <si>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</si>
  <si>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</si>
  <si>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</si>
  <si>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</si>
  <si>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</si>
  <si>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</si>
  <si>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</si>
  <si>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</si>
  <si>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</si>
  <si>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</si>
  <si>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</si>
  <si>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</si>
  <si>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</si>
  <si>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</si>
  <si>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</si>
  <si>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</si>
  <si>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</si>
  <si>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</si>
  <si>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</si>
  <si>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</si>
  <si>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</si>
  <si>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</si>
  <si>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</si>
  <si>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</si>
  <si>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</si>
  <si>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</si>
  <si>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</si>
  <si>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</si>
  <si>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</si>
  <si>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</si>
  <si>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</si>
  <si>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</si>
  <si>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</si>
  <si>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</si>
  <si>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</si>
  <si>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</si>
  <si>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</si>
  <si>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</si>
  <si>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</si>
  <si>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</si>
  <si>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</si>
  <si>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</si>
  <si>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</si>
  <si>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</si>
  <si>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</si>
  <si>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</si>
  <si>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</si>
  <si>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</si>
  <si>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</si>
  <si>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</si>
  <si>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</si>
  <si>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</si>
  <si>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</si>
  <si>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</si>
  <si>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</si>
  <si>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</si>
  <si>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</si>
  <si>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</si>
  <si>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</si>
  <si>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</si>
  <si>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</si>
  <si>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</si>
  <si>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</si>
  <si>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</si>
  <si>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</si>
  <si>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</si>
  <si>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</si>
  <si>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</si>
  <si>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</si>
  <si>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</si>
  <si>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</si>
  <si>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</si>
  <si>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</si>
  <si>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</si>
  <si>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</si>
  <si>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</si>
  <si>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</si>
  <si>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</si>
  <si>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</si>
  <si>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</si>
  <si>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</si>
  <si>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</si>
  <si>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</si>
  <si>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</si>
  <si>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</si>
  <si>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</si>
  <si>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</si>
  <si>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</si>
  <si>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</si>
  <si>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</si>
  <si>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</si>
  <si>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</si>
  <si>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</si>
  <si>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</si>
  <si>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</si>
  <si>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</si>
  <si>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</si>
  <si>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</si>
  <si>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</si>
  <si>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</si>
  <si>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</si>
  <si>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</si>
  <si>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</si>
  <si>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</si>
  <si>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</si>
  <si>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</si>
  <si>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</si>
  <si>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</si>
  <si>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</si>
  <si>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</si>
  <si>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</si>
  <si>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</si>
  <si>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</si>
  <si>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</si>
  <si>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</si>
  <si>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</si>
  <si>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</si>
  <si>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</si>
  <si>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</si>
  <si>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</si>
  <si>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</si>
  <si>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</si>
  <si>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</si>
  <si>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</si>
  <si>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</si>
  <si>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</si>
  <si>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</si>
  <si>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</si>
  <si>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</si>
  <si>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</si>
  <si>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</si>
  <si>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</si>
  <si>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</si>
  <si>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</si>
  <si>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</si>
  <si>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</si>
  <si>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</si>
  <si>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</si>
  <si>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</si>
  <si>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</si>
  <si>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</si>
  <si>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</si>
  <si>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</si>
  <si>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</si>
  <si>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</si>
  <si>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</si>
  <si>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</si>
  <si>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</si>
  <si>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</si>
  <si>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</si>
  <si>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</si>
  <si>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</si>
  <si>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</si>
  <si>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</si>
  <si>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</si>
  <si>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</si>
  <si>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</si>
  <si>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</si>
  <si>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</si>
  <si>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</si>
  <si>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</si>
  <si>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</si>
  <si>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</si>
  <si>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</si>
  <si>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</si>
  <si>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</si>
  <si>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</si>
  <si>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</si>
  <si>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</si>
  <si>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</si>
  <si>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</si>
  <si>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</si>
  <si>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</si>
  <si>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</si>
  <si>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</si>
  <si>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</si>
  <si>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</si>
  <si>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</si>
  <si>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</si>
  <si>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</si>
  <si>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</si>
  <si>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</si>
  <si>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</si>
  <si>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</si>
  <si>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</si>
  <si>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</si>
  <si>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</si>
  <si>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</si>
  <si>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</si>
  <si>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</si>
  <si>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</si>
  <si>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</si>
  <si>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</si>
  <si>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</si>
  <si>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</si>
  <si>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</si>
  <si>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</si>
  <si>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</si>
  <si>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</si>
  <si>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</si>
  <si>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</si>
  <si>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</si>
  <si>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</si>
  <si>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</si>
  <si>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</si>
  <si>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</si>
  <si>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</si>
  <si>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</si>
  <si>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</si>
  <si>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</si>
  <si>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</si>
  <si>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</si>
  <si>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</si>
  <si>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</si>
  <si>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</si>
  <si>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</si>
  <si>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</si>
  <si>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</si>
  <si>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</si>
  <si>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</si>
  <si>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</si>
  <si>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</si>
  <si>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</si>
  <si>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</si>
  <si>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</si>
  <si>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</si>
  <si>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</si>
  <si>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</si>
  <si>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</si>
  <si>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</si>
  <si>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</si>
  <si>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</si>
  <si>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</si>
  <si>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</si>
  <si>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</si>
  <si>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</si>
  <si>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</si>
  <si>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</si>
  <si>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</si>
  <si>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</si>
  <si>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</si>
  <si>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</si>
  <si>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</si>
  <si>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</si>
  <si>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</si>
  <si>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</si>
  <si>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</si>
  <si>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</si>
  <si>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</si>
  <si>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</si>
  <si>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</si>
  <si>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</si>
  <si>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</si>
  <si>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</si>
  <si>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</si>
  <si>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</si>
  <si>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</si>
  <si>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</si>
  <si>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</si>
  <si>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</si>
  <si>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</si>
  <si>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</si>
  <si>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</si>
  <si>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</si>
  <si>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</si>
  <si>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</si>
  <si>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DJAMEL SOUDANI</t>
  </si>
  <si>
    <t>CHRISTIAN MOLLET</t>
  </si>
  <si>
    <t>BASTIEN BONNETON</t>
  </si>
  <si>
    <t>PATRICK JOLIVET</t>
  </si>
  <si>
    <t>SANDRA PRINCELLE</t>
  </si>
  <si>
    <t>ALEX QUENEY</t>
  </si>
  <si>
    <t>ORIOL GARCIA</t>
  </si>
  <si>
    <t>09:23</t>
  </si>
  <si>
    <t xml:space="preserve">Perfect procedures and great communication during whole game.Assist missing on 2nd quarter not even not easy to detect. </t>
  </si>
  <si>
    <t>C:\Users\oriol.garcia\OneDrive - EUROLEAGUE\Documents\Season 25-26\Reports\Euroleague\Paris Basketball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</si>
</sst>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4" sqref="N34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27_264_PRS_ULK_E2025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46058.864583333336</v>
      </c>
      <c r="C3" s="157"/>
      <c r="D3" s="39">
        <v>713</v>
      </c>
      <c r="E3" s="29"/>
      <c r="F3" s="26">
        <f>SUBTOTAL(3,I17:I106)</f>
        <v>1</v>
      </c>
      <c r="G3" s="27">
        <f>IF(OR(D3="",D3=0),"",F3/D3)</f>
        <v>1.4025245441795231E-3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1.4025245441795231E-3</v>
      </c>
      <c r="S4" s="61">
        <f>SUM(I13:M13)</f>
        <v>2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0.14025245441795231</v>
      </c>
      <c r="S5" s="70">
        <f t="shared" ref="S5" si="0">S4*S3</f>
        <v>2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2.6402524544179524</v>
      </c>
      <c r="N7" s="58"/>
      <c r="O7" s="2"/>
      <c r="P7" s="2"/>
      <c r="Q7" s="86">
        <f>SUM(R5,S5,AC16)</f>
        <v>2.6402524544179524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2.6402524544179524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264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264</v>
      </c>
      <c r="D17" s="32" t="s">
        <v>757</v>
      </c>
      <c r="E17" s="33">
        <v>2</v>
      </c>
      <c r="F17" s="36">
        <v>23</v>
      </c>
      <c r="G17" s="36">
        <v>25</v>
      </c>
      <c r="H17" s="38" t="str">
        <f>IF(I17="","",$I$14)</f>
        <v>SCOUTING</v>
      </c>
      <c r="I17" s="34">
        <v>169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"E2025264"</v>
      </c>
      <c r="F3" s="45" t="str">
        <f t="shared" ref="F3:F16" si="0">""""&amp;B3&amp;"""" &amp; " : " &amp;C3&amp;","</f>
        <v>"name" : "E2025264",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"E264"</v>
      </c>
      <c r="F4" s="45" t="str">
        <f t="shared" si="0"/>
        <v>"cod" : "E264",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264</v>
      </c>
      <c r="F6" s="45" t="str">
        <f t="shared" si="0"/>
        <v>"number" : 264,</v>
      </c>
    </row>
    <row r="7" spans="2:6" x14ac:dyDescent="0.25">
      <c r="B7" s="43" t="s">
        <v>116</v>
      </c>
      <c r="C7" s="43" t="str">
        <f ca="1">""""&amp;TEXT('SCOUT &amp; LOGISTICS'!B3,"dd/mm/aaaa")&amp;""""</f>
        <v>"05/02/Thursday"</v>
      </c>
      <c r="F7" s="45" t="str">
        <f t="shared" ca="1" si="0"/>
        <v>"date" : "05/02/Thursday",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"BASTIEN BONNETON"</v>
      </c>
      <c r="F12" s="45" t="str">
        <f t="shared" si="0"/>
        <v>"Caller_2" : "BASTIEN BONNETON",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"PATRICK JOLIVET"</v>
      </c>
      <c r="F13" s="45" t="str">
        <f t="shared" si="0"/>
        <v>"Timerkeeper" : "PATRICK JOLIVET",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"SANDRA PRINCELLE"</v>
      </c>
      <c r="F14" s="45" t="str">
        <f t="shared" si="0"/>
        <v>"Shotclock" : "SANDRA PRINCELLE",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"ALEX QUENEY"</v>
      </c>
      <c r="F15" s="45" t="str">
        <f t="shared" si="0"/>
        <v>"IRS" : "ALEX QUENEY",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713</v>
      </c>
      <c r="F25" s="45" t="str">
        <f t="shared" ref="F25:F48" si="1">""""&amp;C25&amp;"""" &amp; " : " &amp;D25&amp;","</f>
        <v>"total_actions" : 713,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"Perfect procedures and great communication during whole game.Assist missing on 2nd quarter not even not easy to detect. "</v>
      </c>
      <c r="F51" s="45" t="str">
        <f>""""&amp;B51&amp;"""" &amp; " : " &amp;C51&amp;","</f>
        <v>"comments" : "Perfect procedures and great communication during whole game.Assist missing on 2nd quarter not even not easy to detect. ",</v>
      </c>
    </row>
    <row r="52" spans="2:6" x14ac:dyDescent="0.25">
      <c r="B52" s="43" t="s">
        <v>153</v>
      </c>
      <c r="C52" s="43" t="str">
        <f>TEXT('SCOUT &amp; LOGISTICS'!F1,"0,0")</f>
        <v>27_264_PRS_ULK_E2025</v>
      </c>
      <c r="F52" s="45" t="str">
        <f>""""&amp;B52&amp;"""" &amp; " : " &amp;C52</f>
        <v>"result" : 27_264_PRS_ULK_E2025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CHRISTIAN MOLLET</v>
      </c>
      <c r="H8" s="206"/>
      <c r="I8" s="206"/>
      <c r="J8" s="206"/>
      <c r="K8" s="206"/>
      <c r="L8" s="206" t="str">
        <f>IF('SCOUT &amp; LOGISTICS'!D8="","",'SCOUT &amp; LOGISTICS'!D8)</f>
        <v>BASTIEN BONNETON</v>
      </c>
      <c r="M8" s="206"/>
      <c r="N8" s="206"/>
      <c r="O8" s="206"/>
      <c r="P8" s="206"/>
      <c r="Q8" s="206" t="str">
        <f>IF('SCOUT &amp; LOGISTICS'!D9="","",'SCOUT &amp; LOGISTICS'!D9)</f>
        <v>PATRICK JOLIVET</v>
      </c>
      <c r="R8" s="206"/>
      <c r="S8" s="206"/>
      <c r="T8" s="206"/>
      <c r="U8" s="206"/>
      <c r="V8" s="206" t="str">
        <f>IF('SCOUT &amp; LOGISTICS'!D10="","",'SCOUT &amp; LOGISTICS'!D10)</f>
        <v>SANDRA PRINCELLE</v>
      </c>
      <c r="W8" s="206"/>
      <c r="X8" s="206"/>
      <c r="Y8" s="206"/>
      <c r="Z8" s="206"/>
      <c r="AA8" s="206" t="str">
        <f>IF('SCOUT &amp; LOGISTICS'!D11="","",'SCOUT &amp; LOGISTICS'!D11)</f>
        <v>ALEX QUENEY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713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1.4025245441795231E-3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Perfect procedures and great communication during whole game.Assist missing on 2nd quarter not even not easy to detect.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2.6402524544179524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09B4BC1-28CE-4F2C-9BA1-A9115AA8DD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2026-04-09T14:23:49Z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