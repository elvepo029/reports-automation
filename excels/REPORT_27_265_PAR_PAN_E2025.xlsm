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6" documentId="8_{98105E14-A053-4BC6-A9D1-0DCDEB40269C}" xr6:coauthVersionLast="47" xr6:coauthVersionMax="47" xr10:uidLastSave="{114BCFF4-CDD5-4C95-8A78-83D2EC78BE9E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<sst xmlns="http://schemas.openxmlformats.org/spreadsheetml/2006/main" count="3260" uniqueCount="760">
  <si>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</si>
  <si>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</si>
  <si>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</si>
  <si>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</si>
  <si>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</si>
  <si>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</si>
  <si>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</si>
  <si>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</si>
  <si>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</si>
  <si>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</si>
  <si>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</si>
  <si>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</si>
  <si>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</si>
  <si>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</si>
  <si>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</si>
  <si>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</si>
  <si>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</si>
  <si>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</si>
  <si>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</si>
  <si>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</si>
  <si>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</si>
  <si>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</si>
  <si>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</si>
  <si>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</si>
  <si>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</si>
  <si>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</si>
  <si>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</si>
  <si>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</si>
  <si>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</si>
  <si>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</si>
  <si>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</si>
  <si>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</si>
  <si>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</si>
  <si>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</si>
  <si>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</si>
  <si>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</si>
  <si>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</si>
  <si>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</si>
  <si>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</si>
  <si>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</si>
  <si>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</si>
  <si>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</si>
  <si>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</si>
  <si>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</si>
  <si>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</si>
  <si>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</si>
  <si>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</si>
  <si>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</si>
  <si>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</si>
  <si>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</si>
  <si>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</si>
  <si>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</si>
  <si>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</si>
  <si>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</si>
  <si>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</si>
  <si>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</si>
  <si>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</si>
  <si>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</si>
  <si>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</si>
  <si>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</si>
  <si>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</si>
  <si>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</si>
  <si>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</si>
  <si>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</si>
  <si>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</si>
  <si>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</si>
  <si>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</si>
  <si>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</si>
  <si>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</si>
  <si>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</si>
  <si>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</si>
  <si>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</si>
  <si>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</si>
  <si>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</si>
  <si>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</si>
  <si>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</si>
  <si>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</si>
  <si>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</si>
  <si>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</si>
  <si>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</si>
  <si>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</si>
  <si>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</si>
  <si>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</si>
  <si>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</si>
  <si>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</si>
  <si>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</si>
  <si>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</si>
  <si>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</si>
  <si>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</si>
  <si>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</si>
  <si>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</si>
  <si>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</si>
  <si>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</si>
  <si>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</si>
  <si>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</si>
  <si>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</si>
  <si>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</si>
  <si>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</si>
  <si>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</si>
  <si>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</si>
  <si>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</si>
  <si>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</si>
  <si>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</si>
  <si>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</si>
  <si>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</si>
  <si>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</si>
  <si>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</si>
  <si>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</si>
  <si>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</si>
  <si>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</si>
  <si>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</si>
  <si>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</si>
  <si>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</si>
  <si>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</si>
  <si>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</si>
  <si>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</si>
  <si>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</si>
  <si>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</si>
  <si>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</si>
  <si>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</si>
  <si>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</si>
  <si>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</si>
  <si>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</si>
  <si>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</si>
  <si>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</si>
  <si>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</si>
  <si>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</si>
  <si>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</si>
  <si>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</si>
  <si>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</si>
  <si>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</si>
  <si>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</si>
  <si>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</si>
  <si>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</si>
  <si>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</si>
  <si>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</si>
  <si>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</si>
  <si>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</si>
  <si>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</si>
  <si>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</si>
  <si>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</si>
  <si>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</si>
  <si>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</si>
  <si>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</si>
  <si>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</si>
  <si>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</si>
  <si>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</si>
  <si>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</si>
  <si>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</si>
  <si>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</si>
  <si>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</si>
  <si>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</si>
  <si>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</si>
  <si>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</si>
  <si>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</si>
  <si>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</si>
  <si>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</si>
  <si>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</si>
  <si>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</si>
  <si>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</si>
  <si>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</si>
  <si>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</si>
  <si>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</si>
  <si>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</si>
  <si>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</si>
  <si>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</si>
  <si>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</si>
  <si>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</si>
  <si>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</si>
  <si>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</si>
  <si>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</si>
  <si>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</si>
  <si>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</si>
  <si>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</si>
  <si>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</si>
  <si>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</si>
  <si>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</si>
  <si>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</si>
  <si>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</si>
  <si>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</si>
  <si>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</si>
  <si>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</si>
  <si>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</si>
  <si>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</si>
  <si>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</si>
  <si>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</si>
  <si>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</si>
  <si>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</si>
  <si>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</si>
  <si>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</si>
  <si>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</si>
  <si>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</si>
  <si>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</si>
  <si>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</si>
  <si>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</si>
  <si>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</si>
  <si>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</si>
  <si>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</si>
  <si>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</si>
  <si>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</si>
  <si>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</si>
  <si>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</si>
  <si>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</si>
  <si>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</si>
  <si>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</si>
  <si>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</si>
  <si>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</si>
  <si>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</si>
  <si>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</si>
  <si>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</si>
  <si>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</si>
  <si>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</si>
  <si>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</si>
  <si>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</si>
  <si>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</si>
  <si>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</si>
  <si>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</si>
  <si>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</si>
  <si>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</si>
  <si>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</si>
  <si>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</si>
  <si>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</si>
  <si>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</si>
  <si>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</si>
  <si>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</si>
  <si>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</si>
  <si>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</si>
  <si>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</si>
  <si>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</si>
  <si>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</si>
  <si>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</si>
  <si>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</si>
  <si>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</si>
  <si>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</si>
  <si>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</si>
  <si>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</si>
  <si>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</si>
  <si>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</si>
  <si>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</si>
  <si>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</si>
  <si>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</si>
  <si>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</si>
  <si>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</si>
  <si>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</si>
  <si>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</si>
  <si>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</si>
  <si>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</si>
  <si>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</si>
  <si>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</si>
  <si>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</si>
  <si>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</si>
  <si>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</si>
  <si>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</si>
  <si>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</si>
  <si>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</si>
  <si>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</si>
  <si>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</si>
  <si>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</si>
  <si>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</si>
  <si>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</si>
  <si>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</si>
  <si>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</si>
  <si>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</si>
  <si>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</si>
  <si>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</si>
  <si>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</si>
  <si>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</si>
  <si>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</si>
  <si>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</si>
  <si>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</si>
  <si>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</si>
  <si>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</si>
  <si>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</si>
  <si>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</si>
  <si>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</si>
  <si>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</si>
  <si>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</si>
  <si>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</si>
  <si>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</si>
  <si>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</si>
  <si>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</si>
  <si>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</si>
  <si>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</si>
  <si>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</si>
  <si>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</si>
  <si>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</si>
  <si>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</si>
  <si>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</si>
  <si>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</si>
  <si>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</si>
  <si>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</si>
  <si>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</si>
  <si>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</si>
  <si>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</si>
  <si>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</si>
  <si>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</si>
  <si>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</si>
  <si>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</si>
  <si>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</si>
  <si>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</si>
  <si>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</si>
  <si>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</si>
  <si>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</si>
  <si>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</si>
  <si>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</si>
  <si>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</si>
  <si>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</si>
  <si>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</si>
  <si>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</si>
  <si>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</si>
  <si>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</si>
  <si>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</si>
  <si>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</si>
  <si>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</si>
  <si>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</si>
  <si>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</si>
  <si>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</si>
  <si>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</si>
  <si>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</si>
  <si>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</si>
  <si>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</si>
  <si>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</si>
  <si>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</si>
  <si>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</si>
  <si>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</si>
  <si>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</si>
  <si>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</si>
  <si>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</si>
  <si>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</si>
  <si>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</si>
  <si>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</si>
  <si>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</si>
  <si>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</si>
  <si>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</si>
  <si>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</si>
  <si>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</si>
  <si>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</si>
  <si>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</si>
  <si>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</si>
  <si>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</si>
  <si>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</si>
  <si>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</si>
  <si>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</si>
  <si>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</si>
  <si>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</si>
  <si>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</si>
  <si>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</si>
  <si>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</si>
  <si>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</si>
  <si>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</si>
  <si>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</si>
  <si>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</si>
  <si>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</si>
  <si>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</si>
  <si>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</si>
  <si>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</si>
  <si>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</si>
  <si>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</si>
  <si>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</si>
  <si>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</si>
  <si>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</si>
  <si>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</si>
  <si>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</si>
  <si>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</si>
  <si>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</si>
  <si>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</si>
  <si>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</si>
  <si>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</si>
  <si>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</si>
  <si>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</si>
  <si>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</si>
  <si>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</si>
  <si>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</si>
  <si>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</si>
  <si>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</si>
  <si>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</si>
  <si>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</si>
  <si>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</si>
  <si>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</si>
  <si>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</si>
  <si>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</si>
  <si>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</si>
  <si>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</si>
  <si>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</si>
  <si>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</si>
  <si>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</si>
  <si>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</si>
  <si>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</si>
  <si>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</si>
  <si>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</si>
  <si>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</si>
  <si>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</si>
  <si>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</si>
  <si>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</si>
  <si>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</si>
  <si>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</si>
  <si>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</si>
  <si>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</si>
  <si>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</si>
  <si>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</si>
  <si>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</si>
  <si>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</si>
  <si>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</si>
  <si>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</si>
  <si>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</si>
  <si>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</si>
  <si>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</si>
  <si>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</si>
  <si>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</si>
  <si>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</si>
  <si>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</si>
  <si>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</si>
  <si>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</si>
  <si>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</si>
  <si>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</si>
  <si>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</si>
  <si>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</si>
  <si>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</si>
  <si>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</si>
  <si>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</si>
  <si>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</si>
  <si>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</si>
  <si>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</si>
  <si>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</si>
  <si>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</si>
  <si>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</si>
  <si>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</si>
  <si>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</si>
  <si>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</si>
  <si>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</si>
  <si>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</si>
  <si>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</si>
  <si>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</si>
  <si>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</si>
  <si>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</si>
  <si>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</si>
  <si>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</si>
  <si>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</si>
  <si>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</si>
  <si>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</si>
  <si>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</si>
  <si>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</si>
  <si>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</si>
  <si>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</si>
  <si>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</si>
  <si>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</si>
  <si>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</si>
  <si>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</si>
  <si>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</si>
  <si>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</si>
  <si>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</si>
  <si>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</si>
  <si>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</si>
  <si>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</si>
  <si>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</si>
  <si>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</si>
  <si>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</si>
  <si>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</si>
  <si>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</si>
  <si>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</si>
  <si>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</si>
  <si>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</si>
  <si>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</si>
  <si>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</si>
  <si>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</si>
  <si>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</si>
  <si>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</si>
  <si>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</si>
  <si>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</si>
  <si>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</si>
  <si>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</si>
  <si>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</si>
  <si>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</si>
  <si>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</si>
  <si>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</si>
  <si>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</si>
  <si>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</si>
  <si>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</si>
  <si>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</si>
  <si>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</si>
  <si>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</si>
  <si>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</si>
  <si>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</si>
  <si>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</si>
  <si>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</si>
  <si>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</si>
  <si>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</si>
  <si>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</si>
  <si>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</si>
  <si>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</si>
  <si>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</si>
  <si>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</si>
  <si>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</si>
  <si>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</si>
  <si>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</si>
  <si>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</si>
  <si>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</si>
  <si>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</si>
  <si>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</si>
  <si>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</si>
  <si>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</si>
  <si>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</si>
  <si>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</si>
  <si>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</si>
  <si>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</si>
  <si>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</si>
  <si>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</si>
  <si>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</si>
  <si>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</si>
  <si>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</si>
  <si>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</si>
  <si>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</si>
  <si>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</si>
  <si>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</si>
  <si>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</si>
  <si>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</si>
  <si>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</si>
  <si>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</si>
  <si>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</si>
  <si>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</si>
  <si>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</si>
  <si>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</si>
  <si>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</si>
  <si>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</si>
  <si>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</si>
  <si>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</si>
  <si>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</si>
  <si>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</si>
  <si>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</si>
  <si>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</si>
  <si>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</si>
  <si>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</si>
  <si>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</si>
  <si>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</si>
  <si>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</si>
  <si>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</si>
  <si>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</si>
  <si>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</si>
  <si>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</si>
  <si>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</si>
  <si>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</si>
  <si>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</si>
  <si>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</si>
  <si>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</si>
  <si>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</si>
  <si>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</si>
  <si>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</si>
  <si>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</si>
  <si>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</si>
  <si>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</si>
  <si>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</si>
  <si>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</si>
  <si>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</si>
  <si>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</si>
  <si>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</si>
  <si>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</si>
  <si>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</si>
  <si>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</si>
  <si>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</si>
  <si>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</si>
  <si>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</si>
  <si>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</si>
  <si>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</si>
  <si>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</si>
  <si>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</si>
  <si>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</si>
  <si>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</si>
  <si>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</si>
  <si>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</si>
  <si>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</si>
  <si>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</si>
  <si>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</si>
  <si>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</si>
  <si>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</si>
  <si>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</si>
  <si>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</si>
  <si>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</si>
  <si>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</si>
  <si>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</si>
  <si>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</si>
  <si>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</si>
  <si>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</si>
  <si>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</si>
  <si>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</si>
  <si>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</si>
  <si>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</si>
  <si>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</si>
  <si>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</si>
  <si>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</si>
  <si>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</si>
  <si>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</si>
  <si>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</si>
  <si>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</si>
  <si>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</si>
  <si>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</si>
  <si>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</si>
  <si>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</si>
  <si>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</si>
  <si>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</si>
  <si>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</si>
  <si>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</si>
  <si>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</si>
  <si>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</si>
  <si>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</si>
  <si>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</si>
  <si>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</si>
  <si>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</si>
  <si>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</si>
  <si>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</si>
  <si>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</si>
  <si>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</si>
  <si>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</si>
  <si>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</si>
  <si>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</si>
  <si>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</si>
  <si>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</si>
  <si>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</si>
  <si>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</si>
  <si>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</si>
  <si>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</si>
  <si>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</si>
  <si>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</si>
  <si>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</si>
  <si>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</si>
  <si>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</si>
  <si>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</si>
  <si>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</si>
  <si>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</si>
  <si>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</si>
  <si>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</si>
  <si>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</si>
  <si>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</si>
  <si>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</si>
  <si>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</si>
  <si>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</si>
  <si>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</si>
  <si>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</si>
  <si>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</si>
  <si>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</si>
  <si>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</si>
  <si>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</si>
  <si>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</si>
  <si>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</si>
  <si>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</si>
  <si>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</si>
  <si>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</si>
  <si>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</si>
  <si>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</si>
  <si>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</si>
  <si>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</si>
  <si>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</si>
  <si>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</si>
  <si>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</si>
  <si>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</si>
  <si>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</si>
  <si>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</si>
  <si>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</si>
  <si>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</si>
  <si>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</si>
  <si>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</si>
  <si>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</si>
  <si>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</si>
  <si>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</si>
  <si>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</si>
  <si>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</si>
  <si>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</si>
  <si>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</si>
  <si>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</si>
  <si>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</si>
  <si>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</si>
  <si>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</si>
  <si>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</si>
  <si>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</si>
  <si>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</si>
  <si>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</si>
  <si>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</si>
  <si>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</si>
  <si>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</si>
  <si>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</si>
  <si>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</si>
  <si>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</si>
  <si>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</si>
  <si>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</si>
  <si>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</si>
  <si>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</si>
  <si>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</si>
  <si>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</si>
  <si>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</si>
  <si>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</si>
  <si>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</si>
  <si>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</si>
  <si>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</si>
  <si>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</si>
  <si>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</si>
  <si>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</si>
  <si>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</si>
  <si>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</si>
  <si>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</si>
  <si>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</si>
  <si>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</si>
  <si>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</si>
  <si>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</si>
  <si>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</si>
  <si>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</si>
  <si>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</si>
  <si>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</si>
  <si>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</si>
  <si>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</si>
  <si>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</si>
  <si>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</si>
  <si>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</si>
  <si>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</si>
  <si>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</si>
  <si>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</si>
  <si>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</si>
  <si>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</si>
  <si>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</si>
  <si>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</si>
  <si>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</si>
  <si>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</si>
  <si>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</si>
  <si>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</si>
  <si>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</si>
  <si>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</si>
  <si>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</si>
  <si>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</si>
  <si>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</si>
  <si>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</si>
  <si>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</si>
  <si>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</si>
  <si>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</si>
  <si>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</si>
  <si>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</si>
  <si>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</si>
  <si>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</si>
  <si>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</si>
  <si>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</si>
  <si>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</si>
  <si>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</si>
  <si>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</si>
  <si>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</si>
  <si>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</si>
  <si>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</si>
  <si>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</si>
  <si>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</si>
  <si>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</si>
  <si>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</si>
  <si>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</si>
  <si>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</si>
  <si>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</si>
  <si>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</si>
  <si>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MILOS ANTONIJEVIC</t>
  </si>
  <si>
    <t>SANJA RSOVAC</t>
  </si>
  <si>
    <t>JELENA RASINAC</t>
  </si>
  <si>
    <t>BILJANA KOSTRES</t>
  </si>
  <si>
    <t>09:50</t>
  </si>
  <si>
    <t>01:07</t>
  </si>
  <si>
    <t>06:29</t>
  </si>
  <si>
    <t>Excellent job! Remember to add all TV time outs and that in a disqualifying foul, if there is an aggresson, you have to add a foul drawn.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</si>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</sst>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27_265_PAR_PAN_E2025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265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46058.854166666664</v>
      </c>
      <c r="C3" s="157"/>
      <c r="D3" s="39">
        <v>559</v>
      </c>
      <c r="E3" s="29"/>
      <c r="F3" s="26">
        <f>SUBTOTAL(3,I17:I106)</f>
        <v>3</v>
      </c>
      <c r="G3" s="27">
        <f>IF(OR(D3="",D3=0),"",F3/D3)</f>
        <v>5.3667262969588547E-3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Partizan Mozzart Bet Belgrade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PAR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5.3667262969588547E-3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Panathinaikos AKTOR Athens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0.53667262969588547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747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2.5366726296958855</v>
      </c>
      <c r="N7" s="58"/>
      <c r="O7" s="2"/>
      <c r="P7" s="2"/>
      <c r="Q7" s="86">
        <f>SUM(R5,S5,AC16)</f>
        <v>2.5366726296958855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746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2.5366726296958855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752</v>
      </c>
      <c r="E9" s="179"/>
      <c r="F9" s="179"/>
      <c r="G9" s="180"/>
      <c r="H9" s="130" t="str">
        <f>VLOOKUP($H$4,Teams!$B$3:$O$44,3,FALSE)</f>
        <v>PETAR VASILJEVIC</v>
      </c>
      <c r="I9" s="130" t="str">
        <f>VLOOKUP($H$4,Teams!$B$3:$O$44,3,FALSE)</f>
        <v>PETAR VASILJEVIC</v>
      </c>
      <c r="J9" s="130" t="str">
        <f>VLOOKUP($H$4,Teams!$B$3:$O$44,5,FALSE)</f>
        <v>PREDAG VASILJEVIC</v>
      </c>
      <c r="K9" s="130" t="str">
        <f>VLOOKUP($H$4,Teams!$B$3:$O$44,6,FALSE)</f>
        <v>ANA KRSTIC</v>
      </c>
      <c r="L9" s="130" t="str">
        <f>VLOOKUP($H$4,Teams!$B$3:$O$44,7,FALSE)</f>
        <v>SARA PROJOVIC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753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265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265</v>
      </c>
      <c r="D17" s="32" t="s">
        <v>755</v>
      </c>
      <c r="E17" s="33">
        <v>4</v>
      </c>
      <c r="F17" s="36">
        <v>68</v>
      </c>
      <c r="G17" s="36">
        <v>42</v>
      </c>
      <c r="H17" s="38" t="str">
        <f>IF(I17="","",$I$14)</f>
        <v>SCOUTING</v>
      </c>
      <c r="I17" s="34">
        <v>402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265</v>
      </c>
      <c r="D18" s="32" t="s">
        <v>756</v>
      </c>
      <c r="E18" s="33">
        <v>3</v>
      </c>
      <c r="F18" s="36">
        <v>66</v>
      </c>
      <c r="G18" s="36">
        <v>42</v>
      </c>
      <c r="H18" s="38" t="str">
        <f t="shared" ref="H18:H81" si="8">IF(I18="","",$I$14)</f>
        <v>SCOUTING</v>
      </c>
      <c r="I18" s="34">
        <v>382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265</v>
      </c>
      <c r="D19" s="32" t="s">
        <v>757</v>
      </c>
      <c r="E19" s="33">
        <v>3</v>
      </c>
      <c r="F19" s="36">
        <v>55</v>
      </c>
      <c r="G19" s="36">
        <v>40</v>
      </c>
      <c r="H19" s="38" t="str">
        <f t="shared" si="8"/>
        <v>SCOUTING</v>
      </c>
      <c r="I19" s="34">
        <v>299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2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REPORT_E2025265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"E2025265"</v>
      </c>
      <c r="F3" s="45" t="str">
        <f t="shared" ref="F3:F16" si="0">""""&amp;B3&amp;"""" &amp; " : " &amp;C3&amp;","</f>
        <v>"name" : "E2025265",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"E265"</v>
      </c>
      <c r="F4" s="45" t="str">
        <f t="shared" si="0"/>
        <v>"cod" : "E265",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265</v>
      </c>
      <c r="F6" s="45" t="str">
        <f t="shared" si="0"/>
        <v>"number" : 265,</v>
      </c>
    </row>
    <row r="7" spans="2:6" x14ac:dyDescent="0.25">
      <c r="B7" s="43" t="s">
        <v>116</v>
      </c>
      <c r="C7" s="43" t="str">
        <f ca="1">""""&amp;TEXT('SCOUT &amp; LOGISTICS'!B3,"dd/mm/aaaa")&amp;""""</f>
        <v>"05/02/Thursday"</v>
      </c>
      <c r="F7" s="45" t="str">
        <f t="shared" ca="1" si="0"/>
        <v>"date" : "05/02/Thursday",</v>
      </c>
    </row>
    <row r="8" spans="2:6" x14ac:dyDescent="0.25">
      <c r="B8" s="43" t="s">
        <v>125</v>
      </c>
      <c r="C8" s="43" t="str">
        <f>""""&amp;'SCOUT &amp; LOGISTICS'!D4 &amp;""""</f>
        <v>"Partizan Mozzart Bet Belgrade"</v>
      </c>
      <c r="F8" s="45" t="str">
        <f t="shared" si="0"/>
        <v>"home_team" : "Partizan Mozzart Bet Belgrade",</v>
      </c>
    </row>
    <row r="9" spans="2:6" x14ac:dyDescent="0.25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"PETAR VASILJEVIC"</v>
      </c>
      <c r="F10" s="45" t="str">
        <f t="shared" si="0"/>
        <v>"Data_entry" : "PETAR VASILJEVIC",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"MILOS ANTONIJEVIC"</v>
      </c>
      <c r="F11" s="45" t="str">
        <f t="shared" si="0"/>
        <v>"Caller_1" : "MILOS ANTONIJEVIC",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"IVANA VASILJEVIC"</v>
      </c>
      <c r="F12" s="45" t="str">
        <f t="shared" si="0"/>
        <v>"Caller_2" : "IVANA VASILJEVIC",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"JELENA RASINAC"</v>
      </c>
      <c r="F14" s="45" t="str">
        <f t="shared" si="0"/>
        <v>"Shotclock" : "JELENA RASINAC",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559</v>
      </c>
      <c r="F25" s="45" t="str">
        <f t="shared" ref="F25:F48" si="1">""""&amp;C25&amp;"""" &amp; " : " &amp;D25&amp;","</f>
        <v>"total_actions" : 559,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2</v>
      </c>
      <c r="F33" s="45" t="str">
        <f t="shared" si="1"/>
        <v>"q3" : 2,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Remember to add all TV time outs and that in a disqualifying foul, if there is an aggresson, you have to add a foul drawn."</v>
      </c>
      <c r="F51" s="45" t="str">
        <f>""""&amp;B51&amp;"""" &amp; " : " &amp;C51&amp;","</f>
        <v>"comments" : "Excellent job! Remember to add all TV time outs and that in a disqualifying foul, if there is an aggresson, you have to add a foul drawn.",</v>
      </c>
    </row>
    <row r="52" spans="2:6" x14ac:dyDescent="0.25">
      <c r="B52" s="43" t="s">
        <v>153</v>
      </c>
      <c r="C52" s="43" t="str">
        <f>TEXT('SCOUT &amp; LOGISTICS'!F1,"0,0")</f>
        <v>27_265_PAR_PAN_E2025</v>
      </c>
      <c r="F52" s="45" t="str">
        <f>""""&amp;B52&amp;"""" &amp; " : " &amp;C52</f>
        <v>"result" : 27_265_PAR_PAN_E2025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E265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05/02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Partizan Mozzart Bet Belgrade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Panathinaikos Aktor Athens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PETAR VASILJEVIC</v>
      </c>
      <c r="C8" s="206"/>
      <c r="D8" s="206"/>
      <c r="E8" s="206"/>
      <c r="F8" s="206"/>
      <c r="G8" s="206" t="str">
        <f>IF('SCOUT &amp; LOGISTICS'!D7="","",'SCOUT &amp; LOGISTICS'!D7)</f>
        <v>MILOS ANTONIJEVIC</v>
      </c>
      <c r="H8" s="206"/>
      <c r="I8" s="206"/>
      <c r="J8" s="206"/>
      <c r="K8" s="206"/>
      <c r="L8" s="206" t="str">
        <f>IF('SCOUT &amp; LOGISTICS'!D8="","",'SCOUT &amp; LOGISTICS'!D8)</f>
        <v>IVANA VASILJEVIC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JELENA RASINAC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5.3667262969588547E-3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2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Remember to add all TV time outs and that in a disqualifying foul, if there is an aggresson, you have to add a foul drawn.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2.5366726296958855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574A970-29E5-402B-87FB-1A3E27647C92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2026-02-06T15:50:11Z</cp:lastPrinted>
  <dcterms:created xsi:type="dcterms:W3CDTF">2023-09-19T19:50:35Z</dcterms:created>
  <dcterms:modified xsi:type="dcterms:W3CDTF">2026-02-06T15:50:12Z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