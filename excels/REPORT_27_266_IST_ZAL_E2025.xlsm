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0" documentId="8_{C4334E15-5326-443D-ADF5-B48A8B81A2F1}" xr6:coauthVersionLast="47" xr6:coauthVersionMax="47" xr10:uidLastSave="{0724BBC5-8C2F-41D1-8D17-4378671DE6EA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<sst xmlns="http://schemas.openxmlformats.org/spreadsheetml/2006/main" count="3250" uniqueCount="758">
  <si>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</si>
  <si>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</si>
  <si>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</si>
  <si>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</si>
  <si>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</si>
  <si>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</si>
  <si>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</si>
  <si>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</si>
  <si>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</si>
  <si>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</si>
  <si>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</si>
  <si>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</si>
  <si>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</si>
  <si>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</si>
  <si>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</si>
  <si>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</si>
  <si>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</si>
  <si>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</si>
  <si>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</si>
  <si>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</si>
  <si>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</si>
  <si>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</si>
  <si>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</si>
  <si>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</si>
  <si>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</si>
  <si>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</si>
  <si>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</si>
  <si>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</si>
  <si>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</si>
  <si>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</si>
  <si>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</si>
  <si>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</si>
  <si>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</si>
  <si>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</si>
  <si>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</si>
  <si>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</si>
  <si>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</si>
  <si>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</si>
  <si>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</si>
  <si>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</si>
  <si>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</si>
  <si>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</si>
  <si>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</si>
  <si>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</si>
  <si>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</si>
  <si>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</si>
  <si>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</si>
  <si>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</si>
  <si>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</si>
  <si>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</si>
  <si>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</si>
  <si>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</si>
  <si>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</si>
  <si>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</si>
  <si>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</si>
  <si>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</si>
  <si>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</si>
  <si>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</si>
  <si>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</si>
  <si>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</si>
  <si>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</si>
  <si>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</si>
  <si>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</si>
  <si>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</si>
  <si>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</si>
  <si>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</si>
  <si>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</si>
  <si>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</si>
  <si>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</si>
  <si>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</si>
  <si>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</si>
  <si>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</si>
  <si>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</si>
  <si>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</si>
  <si>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</si>
  <si>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</si>
  <si>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</si>
  <si>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</si>
  <si>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</si>
  <si>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</si>
  <si>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</si>
  <si>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</si>
  <si>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</si>
  <si>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</si>
  <si>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</si>
  <si>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</si>
  <si>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</si>
  <si>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</si>
  <si>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</si>
  <si>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</si>
  <si>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</si>
  <si>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</si>
  <si>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</si>
  <si>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</si>
  <si>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</si>
  <si>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</si>
  <si>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</si>
  <si>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</si>
  <si>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</si>
  <si>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</si>
  <si>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</si>
  <si>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</si>
  <si>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</si>
  <si>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</si>
  <si>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</si>
  <si>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</si>
  <si>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</si>
  <si>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</si>
  <si>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</si>
  <si>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</si>
  <si>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</si>
  <si>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</si>
  <si>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</si>
  <si>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</si>
  <si>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</si>
  <si>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</si>
  <si>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</si>
  <si>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</si>
  <si>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</si>
  <si>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</si>
  <si>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</si>
  <si>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</si>
  <si>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</si>
  <si>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</si>
  <si>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</si>
  <si>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</si>
  <si>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</si>
  <si>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</si>
  <si>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</si>
  <si>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</si>
  <si>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</si>
  <si>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</si>
  <si>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</si>
  <si>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</si>
  <si>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</si>
  <si>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</si>
  <si>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</si>
  <si>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</si>
  <si>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</si>
  <si>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</si>
  <si>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</si>
  <si>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</si>
  <si>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</si>
  <si>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</si>
  <si>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</si>
  <si>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</si>
  <si>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</si>
  <si>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</si>
  <si>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</si>
  <si>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</si>
  <si>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</si>
  <si>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</si>
  <si>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</si>
  <si>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</si>
  <si>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</si>
  <si>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</si>
  <si>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</si>
  <si>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</si>
  <si>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</si>
  <si>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</si>
  <si>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</si>
  <si>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</si>
  <si>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</si>
  <si>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</si>
  <si>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</si>
  <si>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</si>
  <si>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</si>
  <si>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</si>
  <si>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</si>
  <si>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</si>
  <si>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</si>
  <si>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</si>
  <si>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</si>
  <si>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</si>
  <si>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</si>
  <si>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</si>
  <si>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</si>
  <si>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</si>
  <si>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</si>
  <si>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</si>
  <si>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</si>
  <si>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</si>
  <si>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</si>
  <si>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</si>
  <si>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</si>
  <si>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</si>
  <si>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</si>
  <si>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</si>
  <si>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</si>
  <si>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</si>
  <si>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</si>
  <si>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</si>
  <si>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</si>
  <si>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</si>
  <si>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</si>
  <si>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</si>
  <si>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</si>
  <si>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</si>
  <si>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</si>
  <si>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</si>
  <si>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</si>
  <si>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</si>
  <si>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</si>
  <si>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</si>
  <si>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</si>
  <si>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</si>
  <si>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</si>
  <si>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</si>
  <si>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</si>
  <si>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</si>
  <si>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</si>
  <si>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</si>
  <si>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</si>
  <si>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</si>
  <si>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</si>
  <si>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</si>
  <si>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</si>
  <si>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</si>
  <si>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</si>
  <si>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</si>
  <si>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</si>
  <si>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</si>
  <si>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</si>
  <si>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</si>
  <si>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</si>
  <si>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</si>
  <si>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</si>
  <si>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</si>
  <si>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</si>
  <si>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</si>
  <si>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</si>
  <si>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</si>
  <si>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</si>
  <si>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</si>
  <si>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</si>
  <si>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</si>
  <si>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</si>
  <si>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</si>
  <si>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</si>
  <si>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</si>
  <si>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</si>
  <si>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</si>
  <si>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</si>
  <si>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</si>
  <si>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</si>
  <si>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</si>
  <si>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</si>
  <si>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</si>
  <si>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</si>
  <si>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</si>
  <si>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</si>
  <si>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</si>
  <si>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</si>
  <si>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</si>
  <si>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</si>
  <si>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</si>
  <si>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</si>
  <si>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</si>
  <si>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</si>
  <si>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</si>
  <si>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</si>
  <si>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</si>
  <si>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</si>
  <si>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</si>
  <si>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</si>
  <si>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</si>
  <si>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</si>
  <si>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</si>
  <si>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</si>
  <si>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</si>
  <si>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</si>
  <si>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</si>
  <si>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</si>
  <si>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</si>
  <si>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</si>
  <si>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</si>
  <si>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</si>
  <si>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</si>
  <si>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</si>
  <si>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</si>
  <si>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</si>
  <si>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</si>
  <si>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</si>
  <si>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</si>
  <si>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</si>
  <si>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</si>
  <si>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</si>
  <si>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</si>
  <si>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</si>
  <si>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</si>
  <si>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</si>
  <si>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</si>
  <si>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</si>
  <si>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</si>
  <si>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</si>
  <si>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</si>
  <si>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</si>
  <si>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</si>
  <si>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</si>
  <si>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</si>
  <si>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</si>
  <si>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</si>
  <si>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</si>
  <si>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</si>
  <si>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</si>
  <si>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</si>
  <si>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</si>
  <si>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</si>
  <si>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</si>
  <si>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</si>
  <si>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</si>
  <si>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</si>
  <si>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</si>
  <si>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</si>
  <si>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</si>
  <si>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</si>
  <si>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</si>
  <si>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</si>
  <si>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</si>
  <si>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</si>
  <si>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</si>
  <si>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</si>
  <si>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</si>
  <si>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</si>
  <si>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</si>
  <si>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</si>
  <si>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</si>
  <si>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</si>
  <si>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</si>
  <si>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</si>
  <si>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</si>
  <si>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</si>
  <si>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</si>
  <si>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</si>
  <si>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</si>
  <si>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</si>
  <si>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</si>
  <si>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</si>
  <si>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</si>
  <si>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</si>
  <si>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</si>
  <si>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</si>
  <si>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</si>
  <si>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</si>
  <si>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</si>
  <si>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</si>
  <si>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</si>
  <si>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</si>
  <si>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</si>
  <si>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</si>
  <si>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</si>
  <si>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</si>
  <si>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</si>
  <si>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</si>
  <si>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</si>
  <si>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</si>
  <si>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</si>
  <si>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</si>
  <si>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</si>
  <si>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</si>
  <si>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</si>
  <si>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</si>
  <si>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</si>
  <si>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</si>
  <si>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</si>
  <si>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</si>
  <si>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</si>
  <si>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</si>
  <si>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</si>
  <si>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</si>
  <si>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</si>
  <si>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</si>
  <si>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</si>
  <si>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</si>
  <si>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</si>
  <si>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</si>
  <si>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</si>
  <si>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</si>
  <si>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</si>
  <si>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</si>
  <si>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</si>
  <si>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</si>
  <si>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</si>
  <si>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</si>
  <si>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</si>
  <si>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</si>
  <si>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</si>
  <si>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</si>
  <si>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</si>
  <si>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</si>
  <si>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</si>
  <si>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</si>
  <si>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</si>
  <si>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</si>
  <si>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</si>
  <si>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</si>
  <si>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</si>
  <si>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</si>
  <si>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</si>
  <si>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</si>
  <si>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</si>
  <si>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</si>
  <si>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</si>
  <si>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</si>
  <si>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</si>
  <si>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</si>
  <si>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</si>
  <si>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</si>
  <si>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</si>
  <si>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</si>
  <si>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</si>
  <si>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</si>
  <si>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</si>
  <si>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</si>
  <si>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</si>
  <si>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</si>
  <si>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</si>
  <si>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</si>
  <si>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</si>
  <si>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</si>
  <si>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</si>
  <si>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</si>
  <si>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</si>
  <si>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</si>
  <si>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</si>
  <si>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</si>
  <si>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</si>
  <si>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</si>
  <si>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</si>
  <si>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</si>
  <si>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</si>
  <si>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</si>
  <si>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</si>
  <si>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</si>
  <si>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</si>
  <si>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</si>
  <si>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</si>
  <si>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</si>
  <si>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</si>
  <si>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</si>
  <si>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</si>
  <si>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</si>
  <si>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</si>
  <si>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</si>
  <si>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</si>
  <si>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</si>
  <si>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</si>
  <si>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</si>
  <si>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</si>
  <si>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</si>
  <si>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</si>
  <si>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</si>
  <si>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</si>
  <si>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</si>
  <si>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</si>
  <si>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</si>
  <si>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</si>
  <si>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</si>
  <si>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</si>
  <si>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</si>
  <si>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</si>
  <si>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</si>
  <si>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</si>
  <si>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</si>
  <si>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</si>
  <si>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</si>
  <si>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</si>
  <si>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</si>
  <si>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</si>
  <si>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</si>
  <si>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</si>
  <si>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</si>
  <si>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</si>
  <si>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</si>
  <si>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</si>
  <si>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</si>
  <si>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</si>
  <si>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</si>
  <si>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</si>
  <si>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</si>
  <si>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</si>
  <si>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</si>
  <si>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</si>
  <si>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</si>
  <si>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</si>
  <si>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</si>
  <si>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</si>
  <si>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</si>
  <si>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</si>
  <si>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</si>
  <si>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</si>
  <si>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</si>
  <si>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</si>
  <si>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</si>
  <si>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</si>
  <si>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</si>
  <si>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</si>
  <si>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</si>
  <si>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</si>
  <si>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</si>
  <si>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</si>
  <si>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</si>
  <si>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</si>
  <si>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</si>
  <si>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</si>
  <si>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</si>
  <si>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</si>
  <si>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</si>
  <si>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</si>
  <si>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</si>
  <si>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</si>
  <si>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</si>
  <si>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</si>
  <si>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</si>
  <si>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</si>
  <si>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</si>
  <si>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</si>
  <si>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</si>
  <si>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</si>
  <si>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</si>
  <si>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</si>
  <si>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</si>
  <si>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</si>
  <si>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</si>
  <si>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</si>
  <si>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</si>
  <si>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</si>
  <si>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</si>
  <si>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</si>
  <si>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</si>
  <si>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</si>
  <si>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</si>
  <si>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</si>
  <si>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</si>
  <si>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</si>
  <si>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</si>
  <si>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</si>
  <si>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</si>
  <si>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</si>
  <si>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</si>
  <si>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</si>
  <si>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</si>
  <si>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</si>
  <si>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</si>
  <si>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</si>
  <si>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</si>
  <si>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</si>
  <si>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</si>
  <si>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</si>
  <si>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</si>
  <si>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</si>
  <si>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</si>
  <si>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</si>
  <si>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</si>
  <si>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</si>
  <si>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</si>
  <si>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</si>
  <si>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</si>
  <si>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</si>
  <si>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</si>
  <si>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</si>
  <si>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</si>
  <si>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</si>
  <si>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</si>
  <si>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</si>
  <si>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</si>
  <si>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</si>
  <si>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</si>
  <si>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</si>
  <si>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</si>
  <si>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</si>
  <si>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</si>
  <si>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</si>
  <si>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</si>
  <si>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</si>
  <si>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</si>
  <si>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</si>
  <si>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</si>
  <si>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</si>
  <si>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</si>
  <si>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</si>
  <si>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</si>
  <si>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</si>
  <si>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</si>
  <si>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</si>
  <si>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</si>
  <si>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</si>
  <si>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</si>
  <si>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</si>
  <si>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</si>
  <si>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</si>
  <si>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</si>
  <si>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</si>
  <si>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</si>
  <si>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</si>
  <si>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</si>
  <si>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</si>
  <si>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</si>
  <si>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</si>
  <si>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</si>
  <si>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</si>
  <si>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</si>
  <si>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</si>
  <si>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</si>
  <si>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</si>
  <si>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</si>
  <si>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</si>
  <si>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</si>
  <si>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</si>
  <si>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</si>
  <si>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</si>
  <si>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</si>
  <si>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</si>
  <si>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</si>
  <si>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</si>
  <si>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</si>
  <si>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</si>
  <si>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</si>
  <si>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</si>
  <si>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</si>
  <si>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</si>
  <si>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</si>
  <si>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</si>
  <si>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</si>
  <si>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</si>
  <si>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</si>
  <si>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</si>
  <si>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</si>
  <si>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</si>
  <si>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</si>
  <si>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</si>
  <si>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</si>
  <si>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</si>
  <si>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</si>
  <si>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</si>
  <si>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</si>
  <si>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</si>
  <si>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</si>
  <si>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</si>
  <si>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</si>
  <si>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</si>
  <si>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</si>
  <si>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</si>
  <si>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</si>
  <si>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</si>
  <si>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</si>
  <si>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</si>
  <si>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</si>
  <si>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</si>
  <si>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</si>
  <si>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</si>
  <si>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</si>
  <si>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</si>
  <si>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</si>
  <si>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</si>
  <si>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</si>
  <si>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</si>
  <si>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</si>
  <si>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</si>
  <si>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</si>
  <si>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</si>
  <si>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</si>
  <si>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</si>
  <si>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</si>
  <si>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</si>
  <si>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</si>
  <si>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</si>
  <si>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</si>
  <si>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</si>
  <si>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</si>
  <si>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</si>
  <si>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</si>
  <si>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</si>
  <si>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</si>
  <si>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</si>
  <si>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</si>
  <si>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</si>
  <si>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</si>
  <si>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</si>
  <si>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</si>
  <si>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</si>
  <si>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</si>
  <si>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</si>
  <si>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</si>
  <si>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</si>
  <si>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</si>
  <si>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</si>
  <si>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</si>
  <si>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</si>
  <si>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</si>
  <si>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</si>
  <si>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</si>
  <si>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</si>
  <si>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</si>
  <si>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</si>
  <si>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</si>
  <si>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</si>
  <si>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</si>
  <si>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</si>
  <si>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</si>
  <si>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</si>
  <si>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</si>
  <si>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</si>
  <si>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</si>
  <si>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</si>
  <si>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</si>
  <si>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</si>
  <si>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</si>
  <si>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</si>
  <si>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</si>
  <si>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</si>
  <si>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</si>
  <si>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</si>
  <si>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</si>
  <si>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</si>
  <si>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</si>
  <si>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</si>
  <si>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</si>
  <si>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</si>
  <si>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</si>
  <si>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</si>
  <si>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</si>
  <si>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</si>
  <si>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</si>
  <si>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</si>
  <si>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</si>
  <si>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</si>
  <si>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</si>
  <si>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</si>
  <si>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</si>
  <si>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</si>
  <si>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</si>
  <si>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</si>
  <si>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</si>
  <si>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</si>
  <si>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</si>
  <si>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</si>
  <si>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</si>
  <si>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</si>
  <si>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</si>
  <si>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</si>
  <si>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</si>
  <si>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</si>
  <si>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</si>
  <si>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</si>
  <si>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</si>
  <si>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</si>
  <si>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</si>
  <si>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</si>
  <si>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</si>
  <si>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</si>
  <si>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SERTAC DOSTEL</t>
  </si>
  <si>
    <t>ORHAN YENIHAYAT</t>
  </si>
  <si>
    <t>KEREM SIRMAGIL</t>
  </si>
  <si>
    <t>DINCER ADILLER</t>
  </si>
  <si>
    <t>HECTOR GUILLEN</t>
  </si>
  <si>
    <t>6:57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</si>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</sst>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27_266_IST_ZAL_E2025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46059.854166666664</v>
      </c>
      <c r="C3" s="157"/>
      <c r="D3" s="39">
        <v>552</v>
      </c>
      <c r="E3" s="29"/>
      <c r="F3" s="26">
        <f>SUBTOTAL(3,I17:I106)</f>
        <v>1</v>
      </c>
      <c r="G3" s="27">
        <f>IF(OR(D3="",D3=0),"",F3/D3)</f>
        <v>1.8115942028985507E-3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742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1.8115942028985507E-3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0.18115942028985507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0.6811594202898551</v>
      </c>
      <c r="N7" s="58"/>
      <c r="O7" s="2"/>
      <c r="P7" s="2"/>
      <c r="Q7" s="86">
        <f>SUM(R5,S5,AC16)</f>
        <v>0.6811594202898551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0.6811594202898551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266</v>
      </c>
      <c r="D17" s="32" t="s">
        <v>756</v>
      </c>
      <c r="E17" s="33">
        <v>2</v>
      </c>
      <c r="F17" s="36">
        <v>30</v>
      </c>
      <c r="G17" s="36">
        <v>29</v>
      </c>
      <c r="H17" s="38" t="str">
        <f>IF(I17="","",$I$14)</f>
        <v>SCOUTING</v>
      </c>
      <c r="I17" s="34">
        <v>137</v>
      </c>
      <c r="J17" s="13" t="s">
        <v>4</v>
      </c>
      <c r="K17" s="13" t="s">
        <v>63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"E2025266"</v>
      </c>
      <c r="F3" s="45" t="str">
        <f t="shared" ref="F3:F16" si="0">""""&amp;B3&amp;"""" &amp; " : " &amp;C3&amp;","</f>
        <v>"name" : "E2025266",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"E266"</v>
      </c>
      <c r="F4" s="45" t="str">
        <f t="shared" si="0"/>
        <v>"cod" : "E266",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266</v>
      </c>
      <c r="F6" s="45" t="str">
        <f t="shared" si="0"/>
        <v>"number" : 266,</v>
      </c>
    </row>
    <row r="7" spans="2:6" x14ac:dyDescent="0.25">
      <c r="B7" s="43" t="s">
        <v>116</v>
      </c>
      <c r="C7" s="43" t="str">
        <f ca="1">""""&amp;TEXT('SCOUT &amp; LOGISTICS'!B3,"dd/mm/aaaa")&amp;""""</f>
        <v>"06/02/Friday"</v>
      </c>
      <c r="F7" s="45" t="str">
        <f t="shared" ca="1" si="0"/>
        <v>"date" : "06/02/Friday",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"KEREM SIRMAGIL"</v>
      </c>
      <c r="F13" s="45" t="str">
        <f t="shared" si="0"/>
        <v>"Timerkeeper" : "KEREM SIRMAGIL",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"DINCER ADILLER"</v>
      </c>
      <c r="F14" s="45" t="str">
        <f t="shared" si="0"/>
        <v>"Shotclock" : "DINCER ADILLER",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552</v>
      </c>
      <c r="F25" s="45" t="str">
        <f t="shared" ref="F25:F48" si="1">""""&amp;C25&amp;"""" &amp; " : " &amp;D25&amp;","</f>
        <v>"total_actions" : 552,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27_266_IST_ZAL_E2025</v>
      </c>
      <c r="F52" s="45" t="str">
        <f>""""&amp;B52&amp;"""" &amp; " : " &amp;C52</f>
        <v>"result" : 27_266_IST_ZAL_E2025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06/02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DOSTEL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KEREM SIRMAGIL</v>
      </c>
      <c r="R8" s="206"/>
      <c r="S8" s="206"/>
      <c r="T8" s="206"/>
      <c r="U8" s="206"/>
      <c r="V8" s="206" t="str">
        <f>IF('SCOUT &amp; LOGISTICS'!D10="","",'SCOUT &amp; LOGISTICS'!D10)</f>
        <v>DINCER ADILLER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1.8115942028985507E-3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0.6811594202898551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6B309D-42AE-4728-988E-D7298794AE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2026-02-06T21:30:39Z</cp:lastPrinted>
  <dcterms:created xsi:type="dcterms:W3CDTF">2023-09-19T19:50:35Z</dcterms:created>
  <dcterms:modified xsi:type="dcterms:W3CDTF">2026-02-06T21:30:41Z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