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2" documentId="8_{8B02F0BB-522A-4058-B30D-A3A383829085}" xr6:coauthVersionLast="47" xr6:coauthVersionMax="47" xr10:uidLastSave="{BB8C8FEF-2876-4C56-BD70-D6639761D7FF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<sst xmlns="http://schemas.openxmlformats.org/spreadsheetml/2006/main" count="3250" uniqueCount="760">
  <si>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</si>
  <si>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</si>
  <si>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</si>
  <si>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</si>
  <si>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</si>
  <si>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</si>
  <si>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</si>
  <si>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</si>
  <si>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</si>
  <si>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</si>
  <si>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</si>
  <si>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</si>
  <si>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</si>
  <si>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</si>
  <si>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</si>
  <si>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</si>
  <si>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</si>
  <si>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</si>
  <si>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</si>
  <si>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</si>
  <si>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</si>
  <si>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</si>
  <si>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</si>
  <si>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</si>
  <si>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</si>
  <si>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</si>
  <si>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</si>
  <si>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</si>
  <si>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</si>
  <si>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</si>
  <si>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</si>
  <si>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</si>
  <si>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</si>
  <si>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</si>
  <si>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</si>
  <si>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</si>
  <si>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</si>
  <si>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</si>
  <si>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</si>
  <si>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</si>
  <si>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</si>
  <si>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</si>
  <si>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</si>
  <si>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</si>
  <si>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</si>
  <si>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</si>
  <si>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</si>
  <si>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</si>
  <si>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</si>
  <si>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</si>
  <si>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</si>
  <si>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</si>
  <si>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</si>
  <si>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</si>
  <si>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</si>
  <si>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</si>
  <si>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</si>
  <si>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</si>
  <si>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</si>
  <si>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</si>
  <si>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</si>
  <si>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</si>
  <si>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</si>
  <si>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</si>
  <si>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</si>
  <si>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</si>
  <si>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</si>
  <si>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</si>
  <si>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</si>
  <si>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</si>
  <si>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</si>
  <si>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</si>
  <si>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</si>
  <si>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</si>
  <si>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</si>
  <si>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</si>
  <si>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</si>
  <si>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</si>
  <si>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</si>
  <si>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</si>
  <si>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</si>
  <si>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</si>
  <si>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</si>
  <si>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</si>
  <si>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</si>
  <si>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</si>
  <si>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</si>
  <si>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</si>
  <si>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</si>
  <si>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</si>
  <si>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</si>
  <si>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</si>
  <si>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</si>
  <si>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</si>
  <si>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</si>
  <si>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</si>
  <si>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</si>
  <si>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</si>
  <si>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</si>
  <si>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</si>
  <si>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</si>
  <si>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</si>
  <si>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</si>
  <si>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</si>
  <si>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</si>
  <si>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</si>
  <si>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</si>
  <si>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</si>
  <si>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</si>
  <si>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</si>
  <si>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</si>
  <si>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</si>
  <si>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</si>
  <si>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</si>
  <si>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</si>
  <si>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</si>
  <si>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</si>
  <si>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</si>
  <si>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</si>
  <si>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</si>
  <si>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</si>
  <si>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</si>
  <si>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</si>
  <si>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</si>
  <si>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</si>
  <si>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</si>
  <si>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</si>
  <si>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</si>
  <si>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</si>
  <si>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</si>
  <si>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</si>
  <si>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</si>
  <si>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</si>
  <si>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</si>
  <si>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</si>
  <si>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</si>
  <si>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</si>
  <si>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</si>
  <si>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</si>
  <si>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</si>
  <si>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</si>
  <si>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</si>
  <si>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</si>
  <si>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</si>
  <si>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</si>
  <si>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</si>
  <si>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</si>
  <si>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</si>
  <si>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</si>
  <si>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</si>
  <si>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</si>
  <si>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</si>
  <si>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</si>
  <si>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</si>
  <si>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</si>
  <si>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</si>
  <si>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</si>
  <si>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</si>
  <si>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</si>
  <si>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</si>
  <si>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</si>
  <si>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</si>
  <si>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</si>
  <si>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</si>
  <si>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</si>
  <si>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</si>
  <si>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</si>
  <si>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</si>
  <si>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</si>
  <si>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</si>
  <si>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</si>
  <si>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</si>
  <si>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</si>
  <si>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</si>
  <si>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</si>
  <si>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</si>
  <si>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</si>
  <si>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</si>
  <si>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</si>
  <si>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</si>
  <si>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</si>
  <si>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</si>
  <si>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</si>
  <si>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</si>
  <si>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</si>
  <si>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</si>
  <si>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</si>
  <si>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</si>
  <si>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</si>
  <si>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</si>
  <si>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</si>
  <si>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</si>
  <si>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</si>
  <si>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</si>
  <si>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</si>
  <si>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</si>
  <si>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</si>
  <si>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</si>
  <si>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</si>
  <si>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</si>
  <si>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</si>
  <si>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</si>
  <si>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</si>
  <si>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</si>
  <si>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</si>
  <si>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</si>
  <si>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</si>
  <si>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</si>
  <si>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</si>
  <si>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</si>
  <si>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</si>
  <si>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</si>
  <si>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</si>
  <si>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</si>
  <si>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</si>
  <si>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</si>
  <si>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</si>
  <si>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</si>
  <si>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</si>
  <si>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</si>
  <si>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</si>
  <si>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</si>
  <si>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</si>
  <si>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</si>
  <si>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</si>
  <si>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</si>
  <si>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</si>
  <si>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</si>
  <si>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</si>
  <si>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</si>
  <si>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</si>
  <si>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</si>
  <si>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</si>
  <si>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</si>
  <si>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</si>
  <si>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</si>
  <si>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</si>
  <si>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</si>
  <si>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</si>
  <si>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</si>
  <si>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</si>
  <si>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</si>
  <si>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</si>
  <si>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</si>
  <si>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</si>
  <si>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</si>
  <si>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</si>
  <si>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</si>
  <si>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</si>
  <si>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</si>
  <si>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</si>
  <si>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</si>
  <si>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</si>
  <si>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</si>
  <si>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</si>
  <si>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</si>
  <si>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</si>
  <si>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</si>
  <si>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</si>
  <si>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</si>
  <si>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</si>
  <si>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</si>
  <si>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</si>
  <si>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</si>
  <si>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</si>
  <si>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</si>
  <si>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</si>
  <si>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</si>
  <si>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</si>
  <si>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</si>
  <si>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</si>
  <si>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</si>
  <si>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</si>
  <si>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</si>
  <si>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</si>
  <si>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</si>
  <si>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</si>
  <si>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</si>
  <si>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</si>
  <si>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</si>
  <si>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</si>
  <si>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</si>
  <si>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</si>
  <si>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</si>
  <si>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</si>
  <si>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</si>
  <si>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</si>
  <si>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</si>
  <si>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</si>
  <si>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</si>
  <si>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</si>
  <si>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</si>
  <si>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</si>
  <si>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</si>
  <si>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</si>
  <si>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</si>
  <si>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</si>
  <si>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</si>
  <si>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</si>
  <si>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</si>
  <si>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</si>
  <si>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</si>
  <si>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</si>
  <si>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</si>
  <si>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</si>
  <si>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</si>
  <si>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</si>
  <si>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</si>
  <si>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</si>
  <si>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</si>
  <si>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</si>
  <si>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</si>
  <si>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</si>
  <si>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</si>
  <si>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</si>
  <si>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</si>
  <si>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</si>
  <si>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</si>
  <si>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</si>
  <si>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</si>
  <si>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</si>
  <si>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</si>
  <si>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</si>
  <si>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</si>
  <si>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</si>
  <si>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</si>
  <si>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</si>
  <si>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</si>
  <si>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</si>
  <si>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</si>
  <si>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</si>
  <si>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</si>
  <si>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</si>
  <si>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</si>
  <si>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</si>
  <si>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</si>
  <si>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</si>
  <si>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</si>
  <si>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</si>
  <si>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</si>
  <si>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</si>
  <si>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</si>
  <si>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</si>
  <si>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</si>
  <si>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</si>
  <si>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</si>
  <si>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</si>
  <si>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</si>
  <si>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</si>
  <si>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</si>
  <si>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</si>
  <si>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</si>
  <si>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</si>
  <si>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</si>
  <si>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</si>
  <si>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</si>
  <si>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</si>
  <si>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</si>
  <si>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</si>
  <si>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</si>
  <si>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</si>
  <si>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</si>
  <si>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</si>
  <si>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</si>
  <si>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</si>
  <si>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</si>
  <si>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</si>
  <si>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</si>
  <si>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</si>
  <si>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</si>
  <si>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</si>
  <si>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</si>
  <si>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</si>
  <si>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</si>
  <si>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</si>
  <si>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</si>
  <si>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</si>
  <si>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</si>
  <si>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</si>
  <si>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</si>
  <si>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</si>
  <si>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</si>
  <si>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</si>
  <si>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</si>
  <si>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</si>
  <si>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</si>
  <si>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</si>
  <si>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</si>
  <si>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</si>
  <si>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</si>
  <si>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</si>
  <si>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</si>
  <si>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</si>
  <si>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</si>
  <si>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</si>
  <si>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</si>
  <si>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</si>
  <si>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</si>
  <si>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</si>
  <si>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</si>
  <si>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</si>
  <si>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</si>
  <si>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</si>
  <si>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</si>
  <si>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</si>
  <si>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</si>
  <si>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</si>
  <si>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</si>
  <si>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</si>
  <si>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</si>
  <si>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</si>
  <si>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</si>
  <si>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</si>
  <si>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</si>
  <si>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</si>
  <si>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</si>
  <si>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</si>
  <si>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</si>
  <si>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</si>
  <si>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</si>
  <si>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</si>
  <si>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</si>
  <si>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</si>
  <si>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</si>
  <si>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</si>
  <si>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</si>
  <si>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</si>
  <si>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</si>
  <si>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</si>
  <si>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</si>
  <si>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</si>
  <si>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</si>
  <si>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</si>
  <si>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</si>
  <si>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</si>
  <si>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</si>
  <si>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</si>
  <si>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</si>
  <si>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</si>
  <si>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</si>
  <si>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</si>
  <si>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</si>
  <si>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</si>
  <si>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</si>
  <si>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</si>
  <si>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</si>
  <si>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</si>
  <si>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</si>
  <si>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</si>
  <si>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</si>
  <si>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</si>
  <si>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</si>
  <si>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</si>
  <si>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</si>
  <si>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</si>
  <si>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</si>
  <si>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</si>
  <si>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</si>
  <si>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</si>
  <si>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</si>
  <si>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</si>
  <si>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</si>
  <si>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</si>
  <si>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</si>
  <si>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</si>
  <si>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</si>
  <si>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</si>
  <si>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</si>
  <si>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</si>
  <si>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</si>
  <si>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</si>
  <si>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</si>
  <si>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</si>
  <si>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</si>
  <si>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</si>
  <si>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</si>
  <si>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</si>
  <si>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</si>
  <si>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</si>
  <si>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</si>
  <si>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</si>
  <si>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</si>
  <si>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</si>
  <si>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</si>
  <si>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</si>
  <si>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</si>
  <si>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</si>
  <si>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</si>
  <si>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</si>
  <si>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</si>
  <si>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</si>
  <si>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</si>
  <si>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</si>
  <si>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</si>
  <si>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</si>
  <si>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</si>
  <si>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</si>
  <si>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</si>
  <si>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</si>
  <si>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</si>
  <si>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</si>
  <si>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</si>
  <si>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</si>
  <si>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</si>
  <si>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</si>
  <si>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</si>
  <si>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</si>
  <si>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</si>
  <si>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</si>
  <si>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</si>
  <si>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</si>
  <si>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</si>
  <si>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</si>
  <si>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</si>
  <si>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</si>
  <si>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</si>
  <si>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</si>
  <si>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</si>
  <si>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</si>
  <si>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</si>
  <si>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</si>
  <si>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</si>
  <si>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</si>
  <si>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</si>
  <si>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</si>
  <si>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</si>
  <si>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</si>
  <si>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</si>
  <si>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</si>
  <si>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</si>
  <si>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</si>
  <si>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</si>
  <si>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</si>
  <si>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</si>
  <si>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</si>
  <si>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</si>
  <si>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</si>
  <si>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</si>
  <si>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</si>
  <si>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</si>
  <si>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</si>
  <si>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</si>
  <si>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</si>
  <si>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</si>
  <si>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</si>
  <si>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</si>
  <si>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</si>
  <si>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</si>
  <si>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</si>
  <si>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</si>
  <si>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</si>
  <si>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</si>
  <si>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</si>
  <si>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</si>
  <si>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</si>
  <si>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</si>
  <si>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</si>
  <si>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</si>
  <si>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</si>
  <si>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</si>
  <si>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</si>
  <si>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</si>
  <si>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</si>
  <si>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</si>
  <si>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</si>
  <si>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</si>
  <si>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</si>
  <si>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</si>
  <si>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</si>
  <si>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</si>
  <si>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</si>
  <si>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</si>
  <si>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</si>
  <si>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</si>
  <si>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</si>
  <si>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</si>
  <si>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</si>
  <si>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</si>
  <si>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</si>
  <si>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</si>
  <si>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</si>
  <si>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</si>
  <si>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</si>
  <si>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</si>
  <si>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</si>
  <si>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</si>
  <si>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</si>
  <si>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</si>
  <si>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</si>
  <si>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</si>
  <si>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</si>
  <si>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</si>
  <si>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</si>
  <si>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</si>
  <si>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</si>
  <si>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</si>
  <si>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</si>
  <si>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</si>
  <si>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</si>
  <si>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</si>
  <si>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</si>
  <si>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</si>
  <si>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</si>
  <si>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</si>
  <si>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</si>
  <si>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</si>
  <si>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</si>
  <si>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</si>
  <si>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</si>
  <si>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</si>
  <si>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</si>
  <si>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</si>
  <si>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</si>
  <si>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</si>
  <si>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</si>
  <si>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</si>
  <si>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</si>
  <si>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</si>
  <si>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</si>
  <si>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</si>
  <si>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</si>
  <si>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</si>
  <si>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</si>
  <si>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</si>
  <si>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</si>
  <si>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</si>
  <si>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</si>
  <si>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</si>
  <si>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</si>
  <si>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</si>
  <si>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</si>
  <si>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</si>
  <si>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</si>
  <si>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</si>
  <si>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</si>
  <si>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</si>
  <si>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</si>
  <si>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</si>
  <si>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</si>
  <si>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</si>
  <si>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</si>
  <si>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</si>
  <si>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</si>
  <si>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</si>
  <si>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</si>
  <si>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</si>
  <si>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</si>
  <si>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</si>
  <si>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</si>
  <si>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</si>
  <si>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</si>
  <si>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</si>
  <si>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</si>
  <si>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</si>
  <si>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</si>
  <si>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</si>
  <si>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</si>
  <si>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</si>
  <si>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</si>
  <si>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</si>
  <si>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</si>
  <si>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</si>
  <si>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</si>
  <si>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</si>
  <si>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</si>
  <si>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</si>
  <si>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</si>
  <si>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</si>
  <si>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</si>
  <si>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</si>
  <si>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</si>
  <si>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</si>
  <si>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</si>
  <si>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</si>
  <si>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</si>
  <si>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</si>
  <si>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</si>
  <si>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</si>
  <si>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</si>
  <si>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</si>
  <si>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</si>
  <si>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</si>
  <si>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</si>
  <si>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</si>
  <si>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</si>
  <si>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</si>
  <si>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</si>
  <si>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</si>
  <si>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</si>
  <si>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</si>
  <si>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</si>
  <si>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</si>
  <si>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</si>
  <si>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</si>
  <si>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</si>
  <si>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</si>
  <si>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</si>
  <si>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</si>
  <si>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</si>
  <si>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</si>
  <si>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</si>
  <si>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</si>
  <si>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</si>
  <si>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</si>
  <si>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</si>
  <si>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</si>
  <si>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</si>
  <si>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</si>
  <si>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</si>
  <si>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</si>
  <si>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</si>
  <si>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</si>
  <si>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</si>
  <si>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</si>
  <si>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</si>
  <si>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</si>
  <si>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</si>
  <si>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</si>
  <si>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</si>
  <si>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</si>
  <si>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</si>
  <si>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</si>
  <si>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</si>
  <si>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</si>
  <si>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</si>
  <si>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</si>
  <si>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</si>
  <si>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</si>
  <si>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</si>
  <si>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</si>
  <si>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</si>
  <si>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</si>
  <si>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</si>
  <si>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</si>
  <si>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</si>
  <si>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</si>
  <si>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</si>
  <si>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</si>
  <si>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</si>
  <si>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</si>
  <si>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</si>
  <si>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</si>
  <si>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</si>
  <si>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</si>
  <si>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</si>
  <si>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</si>
  <si>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</si>
  <si>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</si>
  <si>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</si>
  <si>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</si>
  <si>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</si>
  <si>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ANDONI COLMENERO</t>
  </si>
  <si>
    <t>RAQUEL GARCIA-SAMPEDRO</t>
  </si>
  <si>
    <t>LUIS MOULIAA</t>
  </si>
  <si>
    <t>LIDIA SALIDO</t>
  </si>
  <si>
    <t>SERGIO CASTRO</t>
  </si>
  <si>
    <t>IKER BASCONES</t>
  </si>
  <si>
    <t>09:43</t>
  </si>
  <si>
    <t xml:space="preserve">Excellent job. I made change a rebound where Vesely tips the ball, but he can't see his teammate to make an intentional pass. 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</si>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</sst>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27_267_BAS_BAR_E2025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267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46059.854166666664</v>
      </c>
      <c r="C3" s="157"/>
      <c r="D3" s="39">
        <v>613</v>
      </c>
      <c r="E3" s="29"/>
      <c r="F3" s="26">
        <f>SUBTOTAL(3,I17:I106)</f>
        <v>1</v>
      </c>
      <c r="G3" s="27">
        <f>IF(OR(D3="",D3=0),"",F3/D3)</f>
        <v>1.6313213703099511E-3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Baskonia Vitoria-Gasteiz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743</v>
      </c>
      <c r="L4" s="5"/>
      <c r="M4" s="167" t="s">
        <v>758</v>
      </c>
      <c r="N4" s="168"/>
      <c r="O4" s="2"/>
      <c r="P4" s="2"/>
      <c r="Q4" s="84" t="s">
        <v>175</v>
      </c>
      <c r="R4" s="94">
        <f>(IF(G3="",0,G3))</f>
        <v>1.6313213703099511E-3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FC Barcelona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0.16313213703099511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0.66313213703099505</v>
      </c>
      <c r="N7" s="58"/>
      <c r="O7" s="2"/>
      <c r="P7" s="2"/>
      <c r="Q7" s="86">
        <f>SUM(R5,S5,AC16)</f>
        <v>0.66313213703099505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0.66313213703099505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267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267</v>
      </c>
      <c r="D17" s="32" t="s">
        <v>757</v>
      </c>
      <c r="E17" s="33">
        <v>1</v>
      </c>
      <c r="F17" s="36">
        <v>68</v>
      </c>
      <c r="G17" s="36">
        <v>76</v>
      </c>
      <c r="H17" s="38" t="str">
        <f>IF(I17="","",$I$14)</f>
        <v>SCOUTING</v>
      </c>
      <c r="I17" s="34">
        <v>472</v>
      </c>
      <c r="J17" s="13" t="s">
        <v>4</v>
      </c>
      <c r="K17" s="13" t="s">
        <v>63</v>
      </c>
      <c r="L17" s="13" t="s">
        <v>5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REPORT_E2025267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"E2025267"</v>
      </c>
      <c r="F3" s="45" t="str">
        <f t="shared" ref="F3:F16" si="0">""""&amp;B3&amp;"""" &amp; " : " &amp;C3&amp;","</f>
        <v>"name" : "E2025267",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"E267"</v>
      </c>
      <c r="F4" s="45" t="str">
        <f t="shared" si="0"/>
        <v>"cod" : "E267",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267</v>
      </c>
      <c r="F6" s="45" t="str">
        <f t="shared" si="0"/>
        <v>"number" : 267,</v>
      </c>
    </row>
    <row r="7" spans="2:6" x14ac:dyDescent="0.25">
      <c r="B7" s="43" t="s">
        <v>116</v>
      </c>
      <c r="C7" s="43" t="str">
        <f ca="1">""""&amp;TEXT('SCOUT &amp; LOGISTICS'!B3,"dd/mm/aaaa")&amp;""""</f>
        <v>"06/02/Friday"</v>
      </c>
      <c r="F7" s="45" t="str">
        <f t="shared" ca="1" si="0"/>
        <v>"date" : "06/02/Friday",</v>
      </c>
    </row>
    <row r="8" spans="2:6" x14ac:dyDescent="0.25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5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"ANDONI COLMENERO"</v>
      </c>
      <c r="F10" s="45" t="str">
        <f t="shared" si="0"/>
        <v>"Data_entry" : "ANDONI COLMENERO",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"RAQUEL GARCIA-SAMPEDRO"</v>
      </c>
      <c r="F11" s="45" t="str">
        <f t="shared" si="0"/>
        <v>"Caller_1" : "RAQUEL GARCIA-SAMPEDRO",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"LUIS MOULIAA"</v>
      </c>
      <c r="F12" s="45" t="str">
        <f t="shared" si="0"/>
        <v>"Caller_2" : "LUIS MOULIAA",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"LIDIA SALIDO"</v>
      </c>
      <c r="F13" s="45" t="str">
        <f t="shared" si="0"/>
        <v>"Timerkeeper" : "LIDIA SALIDO",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"SERGIO CASTRO"</v>
      </c>
      <c r="F14" s="45" t="str">
        <f t="shared" si="0"/>
        <v>"Shotclock" : "SERGIO CASTRO",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"IKER BASCONES"</v>
      </c>
      <c r="F15" s="45" t="str">
        <f t="shared" si="0"/>
        <v>"IRS" : "IKER BASCONES",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613</v>
      </c>
      <c r="F25" s="45" t="str">
        <f t="shared" ref="F25:F48" si="1">""""&amp;C25&amp;"""" &amp; " : " &amp;D25&amp;","</f>
        <v>"total_actions" : 613,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job. I made change a rebound where Vesely tips the ball, but he can't see his teammate to make an intentional pass. "</v>
      </c>
      <c r="F51" s="45" t="str">
        <f>""""&amp;B51&amp;"""" &amp; " : " &amp;C51&amp;","</f>
        <v>"comments" : "Excellent job. I made change a rebound where Vesely tips the ball, but he can't see his teammate to make an intentional pass. ",</v>
      </c>
    </row>
    <row r="52" spans="2:6" x14ac:dyDescent="0.25">
      <c r="B52" s="43" t="s">
        <v>153</v>
      </c>
      <c r="C52" s="43" t="str">
        <f>TEXT('SCOUT &amp; LOGISTICS'!F1,"0,0")</f>
        <v>27_267_BAS_BAR_E2025</v>
      </c>
      <c r="F52" s="45" t="str">
        <f>""""&amp;B52&amp;"""" &amp; " : " &amp;C52</f>
        <v>"result" : 27_267_BAS_BAR_E2025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E267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06/02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Baskonia Vitoria-Gasteiz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Fc Barcelona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ANDONI COLMENERO</v>
      </c>
      <c r="C8" s="206"/>
      <c r="D8" s="206"/>
      <c r="E8" s="206"/>
      <c r="F8" s="206"/>
      <c r="G8" s="206" t="str">
        <f>IF('SCOUT &amp; LOGISTICS'!D7="","",'SCOUT &amp; LOGISTICS'!D7)</f>
        <v>RAQUEL GARCIA-SAMPEDRO</v>
      </c>
      <c r="H8" s="206"/>
      <c r="I8" s="206"/>
      <c r="J8" s="206"/>
      <c r="K8" s="206"/>
      <c r="L8" s="206" t="str">
        <f>IF('SCOUT &amp; LOGISTICS'!D8="","",'SCOUT &amp; LOGISTICS'!D8)</f>
        <v>LUIS MOULIAA</v>
      </c>
      <c r="M8" s="206"/>
      <c r="N8" s="206"/>
      <c r="O8" s="206"/>
      <c r="P8" s="206"/>
      <c r="Q8" s="206" t="str">
        <f>IF('SCOUT &amp; LOGISTICS'!D9="","",'SCOUT &amp; LOGISTICS'!D9)</f>
        <v>LIDIA SALIDO</v>
      </c>
      <c r="R8" s="206"/>
      <c r="S8" s="206"/>
      <c r="T8" s="206"/>
      <c r="U8" s="206"/>
      <c r="V8" s="206" t="str">
        <f>IF('SCOUT &amp; LOGISTICS'!D10="","",'SCOUT &amp; LOGISTICS'!D10)</f>
        <v>SERGIO CASTRO</v>
      </c>
      <c r="W8" s="206"/>
      <c r="X8" s="206"/>
      <c r="Y8" s="206"/>
      <c r="Z8" s="206"/>
      <c r="AA8" s="206" t="str">
        <f>IF('SCOUT &amp; LOGISTICS'!D11="","",'SCOUT &amp; LOGISTICS'!D11)</f>
        <v>IKER BASCONES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613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1.6313213703099511E-3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 xml:space="preserve">Excellent job. I made change a rebound where Vesely tips the ball, but he can't see his teammate to make an intentional pass.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0.66313213703099505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A97F3BE-308A-405D-AE21-4A229D6DAA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2026-02-10T15:02:32Z</cp:lastPrinted>
  <dcterms:created xsi:type="dcterms:W3CDTF">2023-09-19T19:50:35Z</dcterms:created>
  <dcterms:modified xsi:type="dcterms:W3CDTF">2026-02-10T15:02:34Z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