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76" documentId="8_{8EF1CA8F-4300-4D52-BAE9-8FC97B1FC161}" xr6:coauthVersionLast="47" xr6:coauthVersionMax="47" xr10:uidLastSave="{CD31A009-662F-4509-92A0-ADCBFAA47FC4}"/>
  <bookViews>
    <workbookView xWindow="-12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<sst xmlns="http://schemas.openxmlformats.org/spreadsheetml/2006/main" count="3237" uniqueCount="751">
  <si>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</si>
  <si>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</si>
  <si>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</si>
  <si>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</si>
  <si>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</si>
  <si>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</si>
  <si>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</si>
  <si>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</si>
  <si>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</si>
  <si>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</si>
  <si>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</si>
  <si>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</si>
  <si>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</si>
  <si>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</si>
  <si>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</si>
  <si>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</si>
  <si>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</si>
  <si>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</si>
  <si>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</si>
  <si>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</si>
  <si>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</si>
  <si>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</si>
  <si>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</si>
  <si>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</si>
  <si>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</si>
  <si>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</si>
  <si>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</si>
  <si>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</si>
  <si>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</si>
  <si>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</si>
  <si>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</si>
  <si>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</si>
  <si>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</si>
  <si>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</si>
  <si>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</si>
  <si>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</si>
  <si>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</si>
  <si>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</si>
  <si>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</si>
  <si>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</si>
  <si>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</si>
  <si>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</si>
  <si>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</si>
  <si>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</si>
  <si>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</si>
  <si>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</si>
  <si>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</si>
  <si>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</si>
  <si>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</si>
  <si>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</si>
  <si>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</si>
  <si>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</si>
  <si>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</si>
  <si>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</si>
  <si>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</si>
  <si>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</si>
  <si>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</si>
  <si>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</si>
  <si>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</si>
  <si>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</si>
  <si>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</si>
  <si>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</si>
  <si>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</si>
  <si>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</si>
  <si>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</si>
  <si>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</si>
  <si>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</si>
  <si>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</si>
  <si>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</si>
  <si>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</si>
  <si>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</si>
  <si>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</si>
  <si>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</si>
  <si>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</si>
  <si>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</si>
  <si>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</si>
  <si>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</si>
  <si>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</si>
  <si>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</si>
  <si>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</si>
  <si>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</si>
  <si>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</si>
  <si>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</si>
  <si>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</si>
  <si>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</si>
  <si>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</si>
  <si>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</si>
  <si>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</si>
  <si>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</si>
  <si>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</si>
  <si>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</si>
  <si>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</si>
  <si>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</si>
  <si>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</si>
  <si>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</si>
  <si>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</si>
  <si>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</si>
  <si>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</si>
  <si>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</si>
  <si>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</si>
  <si>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</si>
  <si>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</si>
  <si>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</si>
  <si>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</si>
  <si>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</si>
  <si>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</si>
  <si>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</si>
  <si>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</si>
  <si>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</si>
  <si>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</si>
  <si>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</si>
  <si>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</si>
  <si>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</si>
  <si>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</si>
  <si>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</si>
  <si>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</si>
  <si>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</si>
  <si>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</si>
  <si>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</si>
  <si>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</si>
  <si>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</si>
  <si>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</si>
  <si>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</si>
  <si>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</si>
  <si>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</si>
  <si>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</si>
  <si>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</si>
  <si>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</si>
  <si>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</si>
  <si>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</si>
  <si>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</si>
  <si>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</si>
  <si>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</si>
  <si>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</si>
  <si>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</si>
  <si>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</si>
  <si>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</si>
  <si>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</si>
  <si>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</si>
  <si>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</si>
  <si>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</si>
  <si>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</si>
  <si>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</si>
  <si>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</si>
  <si>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</si>
  <si>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</si>
  <si>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</si>
  <si>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</si>
  <si>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</si>
  <si>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</si>
  <si>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</si>
  <si>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</si>
  <si>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</si>
  <si>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</si>
  <si>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</si>
  <si>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</si>
  <si>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</si>
  <si>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</si>
  <si>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</si>
  <si>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</si>
  <si>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</si>
  <si>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</si>
  <si>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</si>
  <si>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</si>
  <si>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</si>
  <si>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</si>
  <si>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</si>
  <si>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</si>
  <si>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</si>
  <si>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</si>
  <si>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</si>
  <si>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</si>
  <si>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</si>
  <si>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</si>
  <si>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</si>
  <si>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</si>
  <si>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</si>
  <si>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</si>
  <si>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</si>
  <si>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</si>
  <si>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</si>
  <si>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</si>
  <si>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</si>
  <si>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</si>
  <si>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</si>
  <si>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</si>
  <si>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</si>
  <si>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</si>
  <si>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</si>
  <si>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</si>
  <si>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</si>
  <si>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</si>
  <si>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</si>
  <si>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</si>
  <si>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</si>
  <si>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</si>
  <si>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</si>
  <si>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</si>
  <si>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</si>
  <si>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</si>
  <si>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</si>
  <si>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</si>
  <si>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</si>
  <si>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</si>
  <si>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</si>
  <si>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</si>
  <si>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</si>
  <si>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</si>
  <si>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</si>
  <si>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</si>
  <si>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</si>
  <si>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</si>
  <si>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</si>
  <si>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</si>
  <si>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</si>
  <si>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</si>
  <si>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</si>
  <si>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</si>
  <si>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</si>
  <si>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</si>
  <si>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</si>
  <si>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</si>
  <si>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</si>
  <si>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</si>
  <si>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</si>
  <si>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</si>
  <si>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</si>
  <si>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</si>
  <si>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</si>
  <si>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</si>
  <si>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</si>
  <si>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</si>
  <si>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</si>
  <si>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</si>
  <si>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</si>
  <si>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</si>
  <si>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</si>
  <si>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</si>
  <si>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</si>
  <si>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</si>
  <si>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</si>
  <si>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</si>
  <si>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</si>
  <si>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</si>
  <si>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</si>
  <si>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</si>
  <si>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</si>
  <si>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</si>
  <si>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</si>
  <si>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</si>
  <si>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</si>
  <si>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</si>
  <si>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</si>
  <si>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</si>
  <si>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</si>
  <si>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</si>
  <si>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</si>
  <si>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</si>
  <si>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</si>
  <si>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</si>
  <si>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</si>
  <si>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</si>
  <si>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</si>
  <si>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</si>
  <si>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</si>
  <si>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</si>
  <si>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</si>
  <si>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</si>
  <si>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</si>
  <si>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</si>
  <si>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</si>
  <si>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</si>
  <si>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</si>
  <si>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</si>
  <si>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</si>
  <si>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</si>
  <si>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</si>
  <si>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</si>
  <si>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</si>
  <si>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</si>
  <si>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</si>
  <si>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</si>
  <si>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</si>
  <si>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</si>
  <si>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</si>
  <si>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</si>
  <si>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</si>
  <si>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</si>
  <si>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</si>
  <si>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</si>
  <si>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</si>
  <si>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</si>
  <si>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</si>
  <si>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</si>
  <si>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</si>
  <si>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</si>
  <si>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</si>
  <si>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</si>
  <si>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</si>
  <si>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</si>
  <si>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</si>
  <si>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</si>
  <si>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</si>
  <si>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</si>
  <si>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</si>
  <si>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</si>
  <si>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</si>
  <si>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</si>
  <si>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</si>
  <si>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</si>
  <si>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</si>
  <si>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</si>
  <si>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</si>
  <si>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</si>
  <si>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</si>
  <si>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</si>
  <si>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</si>
  <si>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</si>
  <si>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</si>
  <si>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</si>
  <si>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</si>
  <si>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</si>
  <si>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</si>
  <si>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</si>
  <si>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</si>
  <si>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</si>
  <si>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</si>
  <si>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</si>
  <si>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</si>
  <si>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</si>
  <si>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</si>
  <si>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</si>
  <si>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</si>
  <si>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</si>
  <si>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</si>
  <si>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</si>
  <si>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</si>
  <si>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</si>
  <si>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</si>
  <si>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</si>
  <si>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</si>
  <si>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</si>
  <si>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</si>
  <si>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</si>
  <si>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</si>
  <si>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</si>
  <si>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</si>
  <si>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</si>
  <si>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</si>
  <si>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</si>
  <si>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</si>
  <si>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</si>
  <si>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</si>
  <si>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</si>
  <si>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</si>
  <si>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</si>
  <si>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</si>
  <si>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</si>
  <si>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</si>
  <si>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</si>
  <si>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</si>
  <si>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</si>
  <si>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</si>
  <si>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</si>
  <si>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</si>
  <si>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</si>
  <si>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</si>
  <si>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</si>
  <si>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</si>
  <si>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</si>
  <si>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</si>
  <si>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</si>
  <si>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</si>
  <si>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</si>
  <si>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</si>
  <si>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</si>
  <si>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</si>
  <si>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</si>
  <si>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</si>
  <si>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</si>
  <si>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</si>
  <si>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</si>
  <si>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</si>
  <si>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</si>
  <si>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</si>
  <si>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</si>
  <si>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</si>
  <si>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</si>
  <si>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</si>
  <si>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</si>
  <si>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</si>
  <si>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</si>
  <si>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</si>
  <si>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</si>
  <si>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</si>
  <si>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</si>
  <si>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</si>
  <si>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</si>
  <si>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</si>
  <si>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</si>
  <si>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</si>
  <si>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</si>
  <si>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</si>
  <si>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</si>
  <si>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</si>
  <si>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</si>
  <si>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</si>
  <si>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</si>
  <si>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</si>
  <si>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</si>
  <si>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</si>
  <si>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</si>
  <si>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</si>
  <si>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</si>
  <si>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</si>
  <si>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</si>
  <si>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</si>
  <si>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</si>
  <si>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</si>
  <si>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</si>
  <si>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</si>
  <si>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</si>
  <si>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</si>
  <si>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</si>
  <si>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</si>
  <si>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</si>
  <si>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</si>
  <si>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</si>
  <si>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</si>
  <si>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</si>
  <si>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</si>
  <si>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</si>
  <si>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</si>
  <si>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</si>
  <si>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</si>
  <si>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</si>
  <si>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</si>
  <si>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</si>
  <si>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</si>
  <si>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</si>
  <si>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</si>
  <si>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</si>
  <si>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</si>
  <si>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</si>
  <si>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</si>
  <si>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</si>
  <si>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</si>
  <si>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</si>
  <si>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</si>
  <si>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</si>
  <si>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</si>
  <si>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</si>
  <si>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</si>
  <si>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</si>
  <si>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</si>
  <si>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</si>
  <si>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</si>
  <si>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</si>
  <si>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</si>
  <si>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</si>
  <si>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</si>
  <si>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</si>
  <si>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</si>
  <si>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</si>
  <si>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</si>
  <si>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</si>
  <si>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</si>
  <si>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</si>
  <si>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</si>
  <si>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</si>
  <si>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</si>
  <si>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</si>
  <si>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</si>
  <si>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</si>
  <si>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</si>
  <si>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</si>
  <si>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</si>
  <si>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</si>
  <si>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</si>
  <si>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</si>
  <si>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</si>
  <si>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</si>
  <si>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</si>
  <si>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</si>
  <si>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</si>
  <si>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</si>
  <si>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</si>
  <si>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</si>
  <si>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</si>
  <si>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</si>
  <si>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</si>
  <si>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</si>
  <si>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</si>
  <si>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</si>
  <si>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</si>
  <si>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</si>
  <si>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</si>
  <si>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</si>
  <si>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</si>
  <si>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</si>
  <si>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</si>
  <si>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</si>
  <si>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</si>
  <si>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</si>
  <si>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</si>
  <si>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</si>
  <si>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</si>
  <si>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</si>
  <si>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</si>
  <si>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</si>
  <si>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</si>
  <si>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</si>
  <si>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</si>
  <si>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</si>
  <si>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</si>
  <si>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</si>
  <si>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</si>
  <si>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</si>
  <si>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</si>
  <si>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</si>
  <si>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</si>
  <si>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</si>
  <si>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</si>
  <si>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</si>
  <si>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</si>
  <si>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</si>
  <si>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</si>
  <si>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</si>
  <si>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</si>
  <si>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</si>
  <si>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</si>
  <si>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</si>
  <si>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</si>
  <si>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</si>
  <si>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</si>
  <si>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</si>
  <si>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</si>
  <si>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</si>
  <si>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</si>
  <si>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</si>
  <si>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</si>
  <si>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</si>
  <si>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</si>
  <si>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</si>
  <si>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</si>
  <si>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</si>
  <si>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</si>
  <si>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</si>
  <si>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</si>
  <si>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</si>
  <si>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</si>
  <si>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</si>
  <si>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</si>
  <si>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</si>
  <si>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</si>
  <si>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</si>
  <si>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</si>
  <si>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</si>
  <si>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</si>
  <si>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</si>
  <si>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</si>
  <si>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</si>
  <si>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</si>
  <si>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</si>
  <si>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</si>
  <si>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</si>
  <si>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</si>
  <si>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</si>
  <si>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</si>
  <si>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</si>
  <si>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</si>
  <si>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</si>
  <si>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</si>
  <si>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</si>
  <si>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</si>
  <si>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</si>
  <si>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</si>
  <si>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</si>
  <si>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</si>
  <si>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</si>
  <si>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</si>
  <si>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</si>
  <si>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</si>
  <si>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</si>
  <si>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</si>
  <si>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</si>
  <si>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</si>
  <si>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</si>
  <si>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</si>
  <si>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</si>
  <si>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</si>
  <si>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</si>
  <si>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</si>
  <si>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</si>
  <si>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</si>
  <si>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</si>
  <si>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</si>
  <si>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</si>
  <si>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</si>
  <si>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</si>
  <si>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</si>
  <si>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</si>
  <si>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</si>
  <si>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</si>
  <si>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</si>
  <si>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</si>
  <si>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</si>
  <si>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</si>
  <si>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</si>
  <si>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</si>
  <si>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</si>
  <si>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</si>
  <si>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</si>
  <si>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</si>
  <si>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</si>
  <si>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</si>
  <si>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</si>
  <si>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</si>
  <si>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</si>
  <si>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</si>
  <si>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</si>
  <si>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</si>
  <si>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</si>
  <si>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</si>
  <si>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</si>
  <si>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</si>
  <si>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</si>
  <si>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</si>
  <si>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</si>
  <si>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</si>
  <si>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</si>
  <si>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</si>
  <si>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</si>
  <si>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</si>
  <si>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</si>
  <si>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</si>
  <si>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</si>
  <si>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</si>
  <si>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</si>
  <si>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</si>
  <si>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</si>
  <si>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</si>
  <si>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</si>
  <si>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</si>
  <si>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</si>
  <si>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</si>
  <si>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</si>
  <si>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</si>
  <si>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</si>
  <si>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</si>
  <si>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</si>
  <si>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</si>
  <si>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</si>
  <si>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</si>
  <si>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</si>
  <si>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</si>
  <si>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</si>
  <si>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</si>
  <si>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</si>
  <si>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</si>
  <si>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</si>
  <si>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</si>
  <si>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</si>
  <si>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</si>
  <si>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</si>
  <si>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</si>
  <si>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</si>
  <si>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</si>
  <si>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</si>
  <si>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</si>
  <si>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</si>
  <si>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</si>
  <si>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</si>
  <si>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</si>
  <si>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</si>
  <si>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</si>
  <si>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</si>
  <si>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</si>
  <si>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</si>
  <si>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</si>
  <si>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</si>
  <si>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</si>
  <si>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</si>
  <si>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</si>
  <si>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</si>
  <si>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</si>
  <si>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</si>
  <si>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</si>
  <si>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</si>
  <si>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</si>
  <si>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</si>
  <si>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</si>
  <si>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</si>
  <si>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</si>
  <si>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</si>
  <si>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</si>
  <si>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</si>
  <si>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</si>
  <si>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</si>
  <si>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</si>
  <si>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</si>
  <si>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</si>
  <si>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</si>
  <si>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</si>
  <si>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</si>
  <si>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</si>
  <si>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</si>
  <si>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</si>
  <si>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</si>
  <si>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</si>
  <si>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</si>
  <si>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</si>
  <si>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</si>
  <si>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</si>
  <si>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</si>
  <si>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</si>
  <si>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</si>
  <si>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</si>
  <si>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</si>
  <si>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</si>
  <si>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</si>
  <si>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</si>
  <si>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</si>
  <si>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</si>
  <si>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</si>
  <si>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</si>
  <si>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</si>
  <si>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</si>
  <si>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</si>
  <si>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</si>
  <si>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</si>
  <si>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</si>
  <si>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</si>
  <si>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</si>
  <si>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</si>
  <si>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</si>
  <si>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</si>
  <si>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</si>
  <si>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</si>
  <si>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</si>
  <si>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</si>
  <si>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</si>
  <si>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</si>
  <si>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</si>
  <si>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</si>
  <si>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</si>
  <si>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</si>
  <si>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</si>
  <si>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</si>
  <si>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</si>
  <si>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XAVI MATEU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</si>
</sst>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K36" sqref="K36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27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27_268_RED_TEL_E2025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/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268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7">
        <f ca="1">IF(ISERROR(VLOOKUP($B$2&amp;TEXT($C$2,"000"),GAMES!$A$3:$I$562,8,FALSE)),NOW(),VLOOKUP($B$2&amp;TEXT($C$2,"000"),GAMES!$A$3:$I$562,8,FALSE))</f>
        <v>46059.833333333336</v>
      </c>
      <c r="C3" s="178"/>
      <c r="D3" s="39"/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Crvena Zvezda Meridianbet Belgrade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RED</v>
      </c>
      <c r="I4" s="5"/>
      <c r="J4" s="119" t="s">
        <v>714</v>
      </c>
      <c r="K4" s="54" t="s">
        <v>743</v>
      </c>
      <c r="L4" s="5"/>
      <c r="M4" s="185"/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87</v>
      </c>
      <c r="C5" s="184"/>
      <c r="D5" s="191" t="str">
        <f>IF(ISERROR(VLOOKUP(H5,Teams!$B$2:$C$44,2,FALSE)),"Visitor Team",VLOOKUP(H5,Teams!$B$2:$C$44,2,FALSE))</f>
        <v>Maccabi Rapyd Tel Aviv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TEL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95</v>
      </c>
      <c r="C6" s="168"/>
      <c r="D6" s="158"/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96</v>
      </c>
      <c r="C7" s="170"/>
      <c r="D7" s="158"/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97</v>
      </c>
      <c r="C8" s="172"/>
      <c r="D8" s="161"/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98</v>
      </c>
      <c r="C9" s="173"/>
      <c r="D9" s="158"/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99</v>
      </c>
      <c r="C10" s="172"/>
      <c r="D10" s="161"/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108</v>
      </c>
      <c r="C11" s="157"/>
      <c r="D11" s="174"/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268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162</v>
      </c>
      <c r="C14" s="157"/>
      <c r="D14" s="164" t="s">
        <v>750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REPORT_E2025268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"E2025268"</v>
      </c>
      <c r="F3" s="45" t="str">
        <f t="shared" ref="F3:F16" si="0">""""&amp;B3&amp;"""" &amp; " : " &amp;C3&amp;","</f>
        <v>"name" : "E2025268",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"E268"</v>
      </c>
      <c r="F4" s="45" t="str">
        <f t="shared" si="0"/>
        <v>"cod" : "E268",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268</v>
      </c>
      <c r="F6" s="45" t="str">
        <f t="shared" si="0"/>
        <v>"number" : 268,</v>
      </c>
    </row>
    <row r="7" spans="2:6" x14ac:dyDescent="0.25">
      <c r="B7" s="43" t="s">
        <v>116</v>
      </c>
      <c r="C7" s="43" t="str">
        <f ca="1">""""&amp;TEXT('SCOUT &amp; LOGISTICS'!B3,"dd/mm/aaaa")&amp;""""</f>
        <v>"06/02/Friday"</v>
      </c>
      <c r="F7" s="45" t="str">
        <f t="shared" ca="1" si="0"/>
        <v>"date" : "06/02/Friday",</v>
      </c>
    </row>
    <row r="8" spans="2:6" x14ac:dyDescent="0.25">
      <c r="B8" s="43" t="s">
        <v>125</v>
      </c>
      <c r="C8" s="43" t="str">
        <f>""""&amp;'SCOUT &amp; LOGISTICS'!D4 &amp;""""</f>
        <v>"Crvena Zvezda Meridianbet Belgrade"</v>
      </c>
      <c r="F8" s="45" t="str">
        <f t="shared" si="0"/>
        <v>"home_team" : "Crvena Zvezda Meridianbet Belgrade",</v>
      </c>
    </row>
    <row r="9" spans="2:6" x14ac:dyDescent="0.25">
      <c r="B9" s="43" t="s">
        <v>126</v>
      </c>
      <c r="C9" s="43" t="str">
        <f>""""&amp;'SCOUT &amp; LOGISTICS'!D5&amp;""""</f>
        <v>"Maccabi Rapyd Tel Aviv"</v>
      </c>
      <c r="F9" s="45" t="str">
        <f t="shared" si="0"/>
        <v>"away_team" : "Maccabi Rapyd Tel Aviv",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""</v>
      </c>
      <c r="F10" s="45" t="str">
        <f t="shared" si="0"/>
        <v>"Data_entry" : "",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""</v>
      </c>
      <c r="F11" s="45" t="str">
        <f t="shared" si="0"/>
        <v>"Caller_1" : "",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""</v>
      </c>
      <c r="F12" s="45" t="str">
        <f t="shared" si="0"/>
        <v>"Caller_2" : "",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""</v>
      </c>
      <c r="F13" s="45" t="str">
        <f t="shared" si="0"/>
        <v>"Timerkeeper" : "",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""</v>
      </c>
      <c r="F14" s="45" t="str">
        <f t="shared" si="0"/>
        <v>"Shotclock" : "",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""</v>
      </c>
      <c r="F15" s="45" t="str">
        <f t="shared" si="0"/>
        <v>"IRS" : "",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"XAVI MATEU"</v>
      </c>
      <c r="F16" s="45" t="str">
        <f t="shared" si="0"/>
        <v>"Live_Game_Manager" : "XAVI MATEU",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5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5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5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5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""</v>
      </c>
      <c r="F51" s="45" t="str">
        <f>""""&amp;B51&amp;"""" &amp; " : " &amp;C51&amp;","</f>
        <v>"comments" : "",</v>
      </c>
    </row>
    <row r="52" spans="2:6" x14ac:dyDescent="0.25">
      <c r="B52" s="43" t="s">
        <v>153</v>
      </c>
      <c r="C52" s="43" t="str">
        <f>TEXT('SCOUT &amp; LOGISTICS'!F1,"0,0")</f>
        <v>27_268_RED_TEL_E2025</v>
      </c>
      <c r="F52" s="45" t="str">
        <f>""""&amp;B52&amp;"""" &amp; " : " &amp;C52</f>
        <v>"result" : 27_268_RED_TEL_E2025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3">
      <c r="A3" s="48"/>
      <c r="B3" s="202" t="str">
        <f>"GAME: "&amp; LEFT('SCOUT &amp; LOGISTICS'!B2,1) &amp; TEXT('SCOUT &amp; LOGISTICS'!C2,"000") &amp; " " &amp; IF(LEFT('SCOUT &amp; LOGISTICS'!B2,1)="U","(EUROCUP)","(EUROLEAGUE)")</f>
        <v>GAME: E268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3">
      <c r="A4" s="48"/>
      <c r="B4" s="200" t="str">
        <f ca="1">"DATE: " &amp; TEXT('SCOUT &amp; LOGISTICS'!B3,"dd/mm")</f>
        <v>DATE: 06/02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49999999999999" customHeight="1" thickBot="1" x14ac:dyDescent="0.3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5" customHeight="1" thickBot="1" x14ac:dyDescent="0.3">
      <c r="A6" s="48"/>
      <c r="B6" s="197" t="str">
        <f>PROPER('SCOUT &amp; LOGISTICS'!D4)</f>
        <v>Crvena Zvezda Meridianbet Belgrade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Maccabi Rapyd Tel Aviv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3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3">
      <c r="A8" s="48"/>
      <c r="B8" s="201" t="str">
        <f>IF('SCOUT &amp; LOGISTICS'!D6="","",'SCOUT &amp; LOGISTICS'!D6)</f>
        <v/>
      </c>
      <c r="C8" s="201"/>
      <c r="D8" s="201"/>
      <c r="E8" s="201"/>
      <c r="F8" s="201"/>
      <c r="G8" s="201" t="str">
        <f>IF('SCOUT &amp; LOGISTICS'!D7="","",'SCOUT &amp; LOGISTICS'!D7)</f>
        <v/>
      </c>
      <c r="H8" s="201"/>
      <c r="I8" s="201"/>
      <c r="J8" s="201"/>
      <c r="K8" s="201"/>
      <c r="L8" s="201" t="str">
        <f>IF('SCOUT &amp; LOGISTICS'!D8="","",'SCOUT &amp; LOGISTICS'!D8)</f>
        <v/>
      </c>
      <c r="M8" s="201"/>
      <c r="N8" s="201"/>
      <c r="O8" s="201"/>
      <c r="P8" s="201"/>
      <c r="Q8" s="201" t="str">
        <f>IF('SCOUT &amp; LOGISTICS'!D9="","",'SCOUT &amp; LOGISTICS'!D9)</f>
        <v/>
      </c>
      <c r="R8" s="201"/>
      <c r="S8" s="201"/>
      <c r="T8" s="201"/>
      <c r="U8" s="201"/>
      <c r="V8" s="201" t="str">
        <f>IF('SCOUT &amp; LOGISTICS'!D10="","",'SCOUT &amp; LOGISTICS'!D10)</f>
        <v/>
      </c>
      <c r="W8" s="201"/>
      <c r="X8" s="201"/>
      <c r="Y8" s="201"/>
      <c r="Z8" s="201"/>
      <c r="AA8" s="201" t="str">
        <f>IF('SCOUT &amp; LOGISTICS'!D11="","",'SCOUT &amp; LOGISTICS'!D11)</f>
        <v/>
      </c>
      <c r="AB8" s="201"/>
      <c r="AC8" s="201"/>
      <c r="AD8" s="201"/>
      <c r="AE8" s="201"/>
      <c r="AF8" s="48"/>
    </row>
    <row r="9" spans="1:33" ht="13" thickBot="1" x14ac:dyDescent="0.3">
      <c r="A9" s="48"/>
      <c r="B9" s="209" t="str">
        <f>IF(OR('SCOUT &amp; LOGISTICS'!D14="",'SCOUT &amp; LOGISTICS'!D14=0),"",'SCOUT &amp; LOGISTICS'!B14 &amp; ": " &amp; 'SCOUT &amp; LOGISTICS'!D14) &amp; "     "</f>
        <v xml:space="preserve">L G M: : XAVI MATEU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3" thickBot="1" x14ac:dyDescent="0.3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49999999999999" customHeight="1" thickBot="1" x14ac:dyDescent="0.3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3" thickBot="1" x14ac:dyDescent="0.3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49999999999999" customHeight="1" thickBot="1" x14ac:dyDescent="0.3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3" thickBot="1" x14ac:dyDescent="0.3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3" thickBot="1" x14ac:dyDescent="0.3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3" thickBot="1" x14ac:dyDescent="0.3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49999999999999" customHeight="1" thickBot="1" x14ac:dyDescent="0.3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5" customHeight="1" thickBot="1" x14ac:dyDescent="0.3">
      <c r="A32" s="48"/>
      <c r="B32" s="211" t="str">
        <f>IF('SCOUT &amp; LOGISTICS'!M4="","",'SCOUT &amp; LOGISTICS'!M4)</f>
        <v/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49999999999999" customHeight="1" thickBot="1" x14ac:dyDescent="0.3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49999999999999" customHeight="1" thickBot="1" x14ac:dyDescent="0.3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3.xml><?xml version="1.0" encoding="utf-8"?>
<ds:datastoreItem xmlns:ds="http://schemas.openxmlformats.org/officeDocument/2006/customXml" ds:itemID="{99F52028-B4FA-44CC-87F9-2D7B10911A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Xavi Mateu</cp:lastModifiedBy>
  <cp:lastPrinted>2026-02-26T15:46:36Z</cp:lastPrinted>
  <dcterms:created xsi:type="dcterms:W3CDTF">2023-09-19T19:50:35Z</dcterms:created>
  <dcterms:modified xsi:type="dcterms:W3CDTF">2026-02-26T15:56:01Z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