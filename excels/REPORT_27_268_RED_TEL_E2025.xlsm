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6" documentId="8_{8EF1CA8F-4300-4D52-BAE9-8FC97B1FC161}" xr6:coauthVersionLast="47" xr6:coauthVersionMax="47" xr10:uidLastSave="{CD31A009-662F-4509-92A0-ADCBFAA47FC4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<sst xmlns="http://schemas.openxmlformats.org/spreadsheetml/2006/main" count="3237" uniqueCount="751">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</sst>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36" sqref="K3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27_268_RED_TEL_E2025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/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46059.833333333336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/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/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/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/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/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"E2025268"</v>
      </c>
      <c r="F3" s="45" t="str">
        <f t="shared" ref="F3:F16" si="0">""""&amp;B3&amp;"""" &amp; " : " &amp;C3&amp;","</f>
        <v>"name" : "E2025268",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"E268"</v>
      </c>
      <c r="F4" s="45" t="str">
        <f t="shared" si="0"/>
        <v>"cod" : "E268",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268</v>
      </c>
      <c r="F6" s="45" t="str">
        <f t="shared" si="0"/>
        <v>"number" : 268,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27_268_RED_TEL_E2025</v>
      </c>
      <c r="F52" s="45" t="str">
        <f>""""&amp;B52&amp;"""" &amp; " : " &amp;C52</f>
        <v>"result" : 27_268_RED_TEL_E2025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E268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/>
      </c>
      <c r="C8" s="201"/>
      <c r="D8" s="201"/>
      <c r="E8" s="201"/>
      <c r="F8" s="201"/>
      <c r="G8" s="201" t="str">
        <f>IF('SCOUT &amp; LOGISTICS'!D7="","",'SCOUT &amp; LOGISTICS'!D7)</f>
        <v/>
      </c>
      <c r="H8" s="201"/>
      <c r="I8" s="201"/>
      <c r="J8" s="201"/>
      <c r="K8" s="201"/>
      <c r="L8" s="201" t="str">
        <f>IF('SCOUT &amp; LOGISTICS'!D8="","",'SCOUT &amp; LOGISTICS'!D8)</f>
        <v/>
      </c>
      <c r="M8" s="201"/>
      <c r="N8" s="201"/>
      <c r="O8" s="201"/>
      <c r="P8" s="201"/>
      <c r="Q8" s="201" t="str">
        <f>IF('SCOUT &amp; LOGISTICS'!D9="","",'SCOUT &amp; LOGISTICS'!D9)</f>
        <v/>
      </c>
      <c r="R8" s="201"/>
      <c r="S8" s="201"/>
      <c r="T8" s="201"/>
      <c r="U8" s="201"/>
      <c r="V8" s="201" t="str">
        <f>IF('SCOUT &amp; LOGISTICS'!D10="","",'SCOUT &amp; LOGISTICS'!D10)</f>
        <v/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D4ACAD6-9072-4CE0-8663-4695CFC46CD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2026-02-26T15:46:36Z</cp:lastPrinted>
  <dcterms:created xsi:type="dcterms:W3CDTF">2023-09-19T19:50:35Z</dcterms:created>
  <dcterms:modified xsi:type="dcterms:W3CDTF">2026-02-26T15:56:01Z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