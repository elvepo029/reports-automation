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51DA83F3-E478-429C-934E-A81CC3A8645C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<sst xmlns="http://schemas.openxmlformats.org/spreadsheetml/2006/main" count="3250" uniqueCount="758">
  <si>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</si>
  <si>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</si>
  <si>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</si>
  <si>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</si>
  <si>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</si>
  <si>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</si>
  <si>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</si>
  <si>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</si>
  <si>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</si>
  <si>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</si>
  <si>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</si>
  <si>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</si>
  <si>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</si>
  <si>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</si>
  <si>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</si>
  <si>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</si>
  <si>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</si>
  <si>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</si>
  <si>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</si>
  <si>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</si>
  <si>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</si>
  <si>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</si>
  <si>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</si>
  <si>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</si>
  <si>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</si>
  <si>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</si>
  <si>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</si>
  <si>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</si>
  <si>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</si>
  <si>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</si>
  <si>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</si>
  <si>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</si>
  <si>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</si>
  <si>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</si>
  <si>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</si>
  <si>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</si>
  <si>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</si>
  <si>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</si>
  <si>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</si>
  <si>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</si>
  <si>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</si>
  <si>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</si>
  <si>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</si>
  <si>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</si>
  <si>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</si>
  <si>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</si>
  <si>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</si>
  <si>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</si>
  <si>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</si>
  <si>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</si>
  <si>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</si>
  <si>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</si>
  <si>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</si>
  <si>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</si>
  <si>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</si>
  <si>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</si>
  <si>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</si>
  <si>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</si>
  <si>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</si>
  <si>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</si>
  <si>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</si>
  <si>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</si>
  <si>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</si>
  <si>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</si>
  <si>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</si>
  <si>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</si>
  <si>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</si>
  <si>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</si>
  <si>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</si>
  <si>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</si>
  <si>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</si>
  <si>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</si>
  <si>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</si>
  <si>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</si>
  <si>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</si>
  <si>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</si>
  <si>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</si>
  <si>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</si>
  <si>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</si>
  <si>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</si>
  <si>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</si>
  <si>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</si>
  <si>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</si>
  <si>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</si>
  <si>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</si>
  <si>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</si>
  <si>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</si>
  <si>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</si>
  <si>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</si>
  <si>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</si>
  <si>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</si>
  <si>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</si>
  <si>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</si>
  <si>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</si>
  <si>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</si>
  <si>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</si>
  <si>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</si>
  <si>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</si>
  <si>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</si>
  <si>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</si>
  <si>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</si>
  <si>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</si>
  <si>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</si>
  <si>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</si>
  <si>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</si>
  <si>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</si>
  <si>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</si>
  <si>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</si>
  <si>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</si>
  <si>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</si>
  <si>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</si>
  <si>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</si>
  <si>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</si>
  <si>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</si>
  <si>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</si>
  <si>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</si>
  <si>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</si>
  <si>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</si>
  <si>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</si>
  <si>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</si>
  <si>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</si>
  <si>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</si>
  <si>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</si>
  <si>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</si>
  <si>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</si>
  <si>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</si>
  <si>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</si>
  <si>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</si>
  <si>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</si>
  <si>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</si>
  <si>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</si>
  <si>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</si>
  <si>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</si>
  <si>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</si>
  <si>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</si>
  <si>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</si>
  <si>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</si>
  <si>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</si>
  <si>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</si>
  <si>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</si>
  <si>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</si>
  <si>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</si>
  <si>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</si>
  <si>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</si>
  <si>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</si>
  <si>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</si>
  <si>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</si>
  <si>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</si>
  <si>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</si>
  <si>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</si>
  <si>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</si>
  <si>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</si>
  <si>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</si>
  <si>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</si>
  <si>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</si>
  <si>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</si>
  <si>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</si>
  <si>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</si>
  <si>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</si>
  <si>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</si>
  <si>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</si>
  <si>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</si>
  <si>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</si>
  <si>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</si>
  <si>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</si>
  <si>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</si>
  <si>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</si>
  <si>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</si>
  <si>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</si>
  <si>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</si>
  <si>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</si>
  <si>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</si>
  <si>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</si>
  <si>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</si>
  <si>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</si>
  <si>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</si>
  <si>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</si>
  <si>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</si>
  <si>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</si>
  <si>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</si>
  <si>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</si>
  <si>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</si>
  <si>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</si>
  <si>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</si>
  <si>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</si>
  <si>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</si>
  <si>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</si>
  <si>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</si>
  <si>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</si>
  <si>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</si>
  <si>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</si>
  <si>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</si>
  <si>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</si>
  <si>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</si>
  <si>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</si>
  <si>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</si>
  <si>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</si>
  <si>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</si>
  <si>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</si>
  <si>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</si>
  <si>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</si>
  <si>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</si>
  <si>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</si>
  <si>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</si>
  <si>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</si>
  <si>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</si>
  <si>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</si>
  <si>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</si>
  <si>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</si>
  <si>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</si>
  <si>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</si>
  <si>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</si>
  <si>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</si>
  <si>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</si>
  <si>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</si>
  <si>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</si>
  <si>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</si>
  <si>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</si>
  <si>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</si>
  <si>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</si>
  <si>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</si>
  <si>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</si>
  <si>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</si>
  <si>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</si>
  <si>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</si>
  <si>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</si>
  <si>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</si>
  <si>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</si>
  <si>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</si>
  <si>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</si>
  <si>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</si>
  <si>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</si>
  <si>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</si>
  <si>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</si>
  <si>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</si>
  <si>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</si>
  <si>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</si>
  <si>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</si>
  <si>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</si>
  <si>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</si>
  <si>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</si>
  <si>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</si>
  <si>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</si>
  <si>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</si>
  <si>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</si>
  <si>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</si>
  <si>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</si>
  <si>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</si>
  <si>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</si>
  <si>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</si>
  <si>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</si>
  <si>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</si>
  <si>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</si>
  <si>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</si>
  <si>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</si>
  <si>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</si>
  <si>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</si>
  <si>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</si>
  <si>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</si>
  <si>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</si>
  <si>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</si>
  <si>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</si>
  <si>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</si>
  <si>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</si>
  <si>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</si>
  <si>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</si>
  <si>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</si>
  <si>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</si>
  <si>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</si>
  <si>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</si>
  <si>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</si>
  <si>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</si>
  <si>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</si>
  <si>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</si>
  <si>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</si>
  <si>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</si>
  <si>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</si>
  <si>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</si>
  <si>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</si>
  <si>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</si>
  <si>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</si>
  <si>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</si>
  <si>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</si>
  <si>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</si>
  <si>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</si>
  <si>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</si>
  <si>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</si>
  <si>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</si>
  <si>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</si>
  <si>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</si>
  <si>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</si>
  <si>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</si>
  <si>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</si>
  <si>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</si>
  <si>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</si>
  <si>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</si>
  <si>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</si>
  <si>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</si>
  <si>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</si>
  <si>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</si>
  <si>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</si>
  <si>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</si>
  <si>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</si>
  <si>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</si>
  <si>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</si>
  <si>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</si>
  <si>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</si>
  <si>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</si>
  <si>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</si>
  <si>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</si>
  <si>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</si>
  <si>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</si>
  <si>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</si>
  <si>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</si>
  <si>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</si>
  <si>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</si>
  <si>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</si>
  <si>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</si>
  <si>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</si>
  <si>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</si>
  <si>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</si>
  <si>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</si>
  <si>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</si>
  <si>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</si>
  <si>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</si>
  <si>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</si>
  <si>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</si>
  <si>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</si>
  <si>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</si>
  <si>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</si>
  <si>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</si>
  <si>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</si>
  <si>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</si>
  <si>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</si>
  <si>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</si>
  <si>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</si>
  <si>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</si>
  <si>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</si>
  <si>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</si>
  <si>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</si>
  <si>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</si>
  <si>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</si>
  <si>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</si>
  <si>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</si>
  <si>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</si>
  <si>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</si>
  <si>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</si>
  <si>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</si>
  <si>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</si>
  <si>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</si>
  <si>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</si>
  <si>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</si>
  <si>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</si>
  <si>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</si>
  <si>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</si>
  <si>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</si>
  <si>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</si>
  <si>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</si>
  <si>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</si>
  <si>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</si>
  <si>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</si>
  <si>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</si>
  <si>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</si>
  <si>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</si>
  <si>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</si>
  <si>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</si>
  <si>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</si>
  <si>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</si>
  <si>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</si>
  <si>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</si>
  <si>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</si>
  <si>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</si>
  <si>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</si>
  <si>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</si>
  <si>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</si>
  <si>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</si>
  <si>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</si>
  <si>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</si>
  <si>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</si>
  <si>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</si>
  <si>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</si>
  <si>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</si>
  <si>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</si>
  <si>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</si>
  <si>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</si>
  <si>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</si>
  <si>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</si>
  <si>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</si>
  <si>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</si>
  <si>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</si>
  <si>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</si>
  <si>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</si>
  <si>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</si>
  <si>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</si>
  <si>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</si>
  <si>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</si>
  <si>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</si>
  <si>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</si>
  <si>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</si>
  <si>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</si>
  <si>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</si>
  <si>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</si>
  <si>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</si>
  <si>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</si>
  <si>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</si>
  <si>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</si>
  <si>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</si>
  <si>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</si>
  <si>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</si>
  <si>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</si>
  <si>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</si>
  <si>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</si>
  <si>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</si>
  <si>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</si>
  <si>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</si>
  <si>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</si>
  <si>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</si>
  <si>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</si>
  <si>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</si>
  <si>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</si>
  <si>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</si>
  <si>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</si>
  <si>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</si>
  <si>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</si>
  <si>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</si>
  <si>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</si>
  <si>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</si>
  <si>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</si>
  <si>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</si>
  <si>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</si>
  <si>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</si>
  <si>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</si>
  <si>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</si>
  <si>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</si>
  <si>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</si>
  <si>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</si>
  <si>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</si>
  <si>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</si>
  <si>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</si>
  <si>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</si>
  <si>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</si>
  <si>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</si>
  <si>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</si>
  <si>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</si>
  <si>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</si>
  <si>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</si>
  <si>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</si>
  <si>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</si>
  <si>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</si>
  <si>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</si>
  <si>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</si>
  <si>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</si>
  <si>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</si>
  <si>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</si>
  <si>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</si>
  <si>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</si>
  <si>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</si>
  <si>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</si>
  <si>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</si>
  <si>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</si>
  <si>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</si>
  <si>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</si>
  <si>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</si>
  <si>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</si>
  <si>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</si>
  <si>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</si>
  <si>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</si>
  <si>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</si>
  <si>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</si>
  <si>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</si>
  <si>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</si>
  <si>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</si>
  <si>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</si>
  <si>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</si>
  <si>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</si>
  <si>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</si>
  <si>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</si>
  <si>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</si>
  <si>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</si>
  <si>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</si>
  <si>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</si>
  <si>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</si>
  <si>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</si>
  <si>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</si>
  <si>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</si>
  <si>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</si>
  <si>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</si>
  <si>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</si>
  <si>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</si>
  <si>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</si>
  <si>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</si>
  <si>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</si>
  <si>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</si>
  <si>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</si>
  <si>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</si>
  <si>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</si>
  <si>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</si>
  <si>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</si>
  <si>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</si>
  <si>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</si>
  <si>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</si>
  <si>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</si>
  <si>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</si>
  <si>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</si>
  <si>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</si>
  <si>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</si>
  <si>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</si>
  <si>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</si>
  <si>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</si>
  <si>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</si>
  <si>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</si>
  <si>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</si>
  <si>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</si>
  <si>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</si>
  <si>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</si>
  <si>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</si>
  <si>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</si>
  <si>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</si>
  <si>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</si>
  <si>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</si>
  <si>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</si>
  <si>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</si>
  <si>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</si>
  <si>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</si>
  <si>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</si>
  <si>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</si>
  <si>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</si>
  <si>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</si>
  <si>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</si>
  <si>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</si>
  <si>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</si>
  <si>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</si>
  <si>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</si>
  <si>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</si>
  <si>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</si>
  <si>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</si>
  <si>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</si>
  <si>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</si>
  <si>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</si>
  <si>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</si>
  <si>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</si>
  <si>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</si>
  <si>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</si>
  <si>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</si>
  <si>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</si>
  <si>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</si>
  <si>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</si>
  <si>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</si>
  <si>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</si>
  <si>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</si>
  <si>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</si>
  <si>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</si>
  <si>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</si>
  <si>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</si>
  <si>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</si>
  <si>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</si>
  <si>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</si>
  <si>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</si>
  <si>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</si>
  <si>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</si>
  <si>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</si>
  <si>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</si>
  <si>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</si>
  <si>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</si>
  <si>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</si>
  <si>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</si>
  <si>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</si>
  <si>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</si>
  <si>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</si>
  <si>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</si>
  <si>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</si>
  <si>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</si>
  <si>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</si>
  <si>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</si>
  <si>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</si>
  <si>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</si>
  <si>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</si>
  <si>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</si>
  <si>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</si>
  <si>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</si>
  <si>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</si>
  <si>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</si>
  <si>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</si>
  <si>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</si>
  <si>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</si>
  <si>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</si>
  <si>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</si>
  <si>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</si>
  <si>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</si>
  <si>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</si>
  <si>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</si>
  <si>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</si>
  <si>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</si>
  <si>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</si>
  <si>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</si>
  <si>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</si>
  <si>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</si>
  <si>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</si>
  <si>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</si>
  <si>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</si>
  <si>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</si>
  <si>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</si>
  <si>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</si>
  <si>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</si>
  <si>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</si>
  <si>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</si>
  <si>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</si>
  <si>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</si>
  <si>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</si>
  <si>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</si>
  <si>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</si>
  <si>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</si>
  <si>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</si>
  <si>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</si>
  <si>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</si>
  <si>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</si>
  <si>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</si>
  <si>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</si>
  <si>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</si>
  <si>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</si>
  <si>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</si>
  <si>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</si>
  <si>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</si>
  <si>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</si>
  <si>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</si>
  <si>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</si>
  <si>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</si>
  <si>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</si>
  <si>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</si>
  <si>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</si>
  <si>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</si>
  <si>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</si>
  <si>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</si>
  <si>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</si>
  <si>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</si>
  <si>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</si>
  <si>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</si>
  <si>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</si>
  <si>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</si>
  <si>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</si>
  <si>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</si>
  <si>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</si>
  <si>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</si>
  <si>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</si>
  <si>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</si>
  <si>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</si>
  <si>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</si>
  <si>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</si>
  <si>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</si>
  <si>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</si>
  <si>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</si>
  <si>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</si>
  <si>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</si>
  <si>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</si>
  <si>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</si>
  <si>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</si>
  <si>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</si>
  <si>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</si>
  <si>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</si>
  <si>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</si>
  <si>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</si>
  <si>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</si>
  <si>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</si>
  <si>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</si>
  <si>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</si>
  <si>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</si>
  <si>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</si>
  <si>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</si>
  <si>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</si>
  <si>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</si>
  <si>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</si>
  <si>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</si>
  <si>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</si>
  <si>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</si>
  <si>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</si>
  <si>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</si>
  <si>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</si>
  <si>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</si>
  <si>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</si>
  <si>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</si>
  <si>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</si>
  <si>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</si>
  <si>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</si>
  <si>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</si>
  <si>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</si>
  <si>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</si>
  <si>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</si>
  <si>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</si>
  <si>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</si>
  <si>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</si>
  <si>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</si>
  <si>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</si>
  <si>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</si>
  <si>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</si>
  <si>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</si>
  <si>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</si>
  <si>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</si>
  <si>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</si>
  <si>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</si>
  <si>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</si>
  <si>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</si>
  <si>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</si>
  <si>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</si>
  <si>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</si>
  <si>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</si>
  <si>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</si>
  <si>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</si>
  <si>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</si>
  <si>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</si>
  <si>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</si>
  <si>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</si>
  <si>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</si>
  <si>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</si>
  <si>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</si>
  <si>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</si>
  <si>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</si>
  <si>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</si>
  <si>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</si>
  <si>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</si>
  <si>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</si>
  <si>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</si>
  <si>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</si>
  <si>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</si>
  <si>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</si>
  <si>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</si>
  <si>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</si>
  <si>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</si>
  <si>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</si>
  <si>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</si>
  <si>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</si>
  <si>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</si>
  <si>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</si>
  <si>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</si>
  <si>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</si>
  <si>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</si>
  <si>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</si>
  <si>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</si>
  <si>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</si>
  <si>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</si>
  <si>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</si>
  <si>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</si>
  <si>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</si>
  <si>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</si>
  <si>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</si>
  <si>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</si>
  <si>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</si>
  <si>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</si>
  <si>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</si>
  <si>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</si>
  <si>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</si>
  <si>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</si>
  <si>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KONSTANTINOS KRANIOTIS</t>
  </si>
  <si>
    <t>ATHINA KAROMPALOU</t>
  </si>
  <si>
    <t>IOANNIS TRIANTAFYLLOU</t>
  </si>
  <si>
    <t>EVGENIA MALLOUCHOU</t>
  </si>
  <si>
    <t>SPYRIDOULAKOURTI</t>
  </si>
  <si>
    <t>8:00</t>
  </si>
  <si>
    <t>Great night, again. Thanks for sharing all the info and enjoying this much as me. Efharistó!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</si>
</sst>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27_270_OLY_VIR_E2025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270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46059.885416666664</v>
      </c>
      <c r="C3" s="157"/>
      <c r="D3" s="39">
        <v>550</v>
      </c>
      <c r="E3" s="29"/>
      <c r="F3" s="26">
        <f>SUBTOTAL(3,I17:I106)</f>
        <v>1</v>
      </c>
      <c r="G3" s="27">
        <f>IF(OR(D3="",D3=0),"",F3/D3)</f>
        <v>1.8181818181818182E-3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1.8181818181818182E-3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0.18181818181818182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0.68181818181818188</v>
      </c>
      <c r="N7" s="58"/>
      <c r="O7" s="2"/>
      <c r="P7" s="2"/>
      <c r="Q7" s="86">
        <f>SUM(R5,S5,AC16)</f>
        <v>0.68181818181818188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0.68181818181818188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734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270</v>
      </c>
      <c r="D17" s="32" t="s">
        <v>756</v>
      </c>
      <c r="E17" s="33">
        <v>4</v>
      </c>
      <c r="F17" s="36">
        <v>90</v>
      </c>
      <c r="G17" s="36">
        <v>55</v>
      </c>
      <c r="H17" s="38" t="str">
        <f>IF(I17="","",$I$14)</f>
        <v>SCOUTING</v>
      </c>
      <c r="I17" s="34">
        <v>449</v>
      </c>
      <c r="J17" s="13" t="s">
        <v>4</v>
      </c>
      <c r="K17" s="13" t="s">
        <v>63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REPORT_E2025270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"E2025270"</v>
      </c>
      <c r="F3" s="45" t="str">
        <f t="shared" ref="F3:F16" si="0">""""&amp;B3&amp;"""" &amp; " : " &amp;C3&amp;","</f>
        <v>"name" : "E2025270",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"E270"</v>
      </c>
      <c r="F4" s="45" t="str">
        <f t="shared" si="0"/>
        <v>"cod" : "E270",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270</v>
      </c>
      <c r="F6" s="45" t="str">
        <f t="shared" si="0"/>
        <v>"number" : 270,</v>
      </c>
    </row>
    <row r="7" spans="2:6" x14ac:dyDescent="0.25">
      <c r="B7" s="43" t="s">
        <v>116</v>
      </c>
      <c r="C7" s="43" t="str">
        <f ca="1">""""&amp;TEXT('SCOUT &amp; LOGISTICS'!B3,"dd/mm/aaaa")&amp;""""</f>
        <v>"06/02/2026"</v>
      </c>
      <c r="F7" s="45" t="str">
        <f t="shared" ca="1" si="0"/>
        <v>"date" : "06/02/2026",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"ATHINA KAROMPALOU"</v>
      </c>
      <c r="F11" s="45" t="str">
        <f t="shared" si="0"/>
        <v>"Caller_1" : "ATHINA KAROMPALOU",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"IOANNIS TRIANTAFYLLOU"</v>
      </c>
      <c r="F12" s="45" t="str">
        <f t="shared" si="0"/>
        <v>"Caller_2" : "IOANNIS TRIANTAFYLLOU",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"EVGENIA MALLOUCHOU"</v>
      </c>
      <c r="F13" s="45" t="str">
        <f t="shared" si="0"/>
        <v>"Timerkeeper" : "EVGENIA MALLOUCHOU",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"SPYRIDOULAKOURTI"</v>
      </c>
      <c r="F14" s="45" t="str">
        <f t="shared" si="0"/>
        <v>"Shotclock" : "SPYRIDOULAKOURTI",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550</v>
      </c>
      <c r="F25" s="45" t="str">
        <f t="shared" ref="F25:F48" si="1">""""&amp;C25&amp;"""" &amp; " : " &amp;D25&amp;","</f>
        <v>"total_actions" : 550,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"Great night, again. Thanks for sharing all the info and enjoying this much as me. Efharistó!"</v>
      </c>
      <c r="F51" s="45" t="str">
        <f>""""&amp;B51&amp;"""" &amp; " : " &amp;C51&amp;","</f>
        <v>"comments" : "Great night, again. Thanks for sharing all the info and enjoying this much as me. Efharistó!",</v>
      </c>
    </row>
    <row r="52" spans="2:6" x14ac:dyDescent="0.25">
      <c r="B52" s="43" t="s">
        <v>153</v>
      </c>
      <c r="C52" s="43" t="str">
        <f>TEXT('SCOUT &amp; LOGISTICS'!F1,"0,0")</f>
        <v>27_270_OLY_VIR_E2025</v>
      </c>
      <c r="F52" s="45" t="str">
        <f>""""&amp;B52&amp;"""" &amp; " : " &amp;C52</f>
        <v>"result" : 27_270_OLY_VIR_E2025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E270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06/02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ATHINA KAROMPALOU</v>
      </c>
      <c r="H8" s="206"/>
      <c r="I8" s="206"/>
      <c r="J8" s="206"/>
      <c r="K8" s="206"/>
      <c r="L8" s="206" t="str">
        <f>IF('SCOUT &amp; LOGISTICS'!D8="","",'SCOUT &amp; LOGISTICS'!D8)</f>
        <v>IOANNIS TRIANTAFYLLOU</v>
      </c>
      <c r="M8" s="206"/>
      <c r="N8" s="206"/>
      <c r="O8" s="206"/>
      <c r="P8" s="206"/>
      <c r="Q8" s="206" t="str">
        <f>IF('SCOUT &amp; LOGISTICS'!D9="","",'SCOUT &amp; LOGISTICS'!D9)</f>
        <v>EVGENIA MALLOUCHOU</v>
      </c>
      <c r="R8" s="206"/>
      <c r="S8" s="206"/>
      <c r="T8" s="206"/>
      <c r="U8" s="206"/>
      <c r="V8" s="206" t="str">
        <f>IF('SCOUT &amp; LOGISTICS'!D10="","",'SCOUT &amp; LOGISTICS'!D10)</f>
        <v>SPYRIDOULAKOURTI</v>
      </c>
      <c r="W8" s="206"/>
      <c r="X8" s="206"/>
      <c r="Y8" s="206"/>
      <c r="Z8" s="206"/>
      <c r="AA8" s="206" t="str">
        <f>IF('SCOUT &amp; LOGISTICS'!D11="","",'SCOUT &amp; LOGISTICS'!D11)</f>
        <v>KONSTANTINOS TROUPIS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550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1.8181818181818182E-3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Great night, again. Thanks for sharing all the info and enjoying this much as me. Efharistó!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0.68181818181818188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7F22EE-4A95-4E15-AA16-F5FF45CAA1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2026-02-06T21:27:15Z</cp:lastPrinted>
  <dcterms:created xsi:type="dcterms:W3CDTF">2023-09-19T19:50:35Z</dcterms:created>
  <dcterms:modified xsi:type="dcterms:W3CDTF">2026-02-06T21:27:25Z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