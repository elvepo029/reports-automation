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27" documentId="8_{E1C6CE6C-2559-4C18-9C2B-FE62DAD54A6E}" xr6:coauthVersionLast="47" xr6:coauthVersionMax="47" xr10:uidLastSave="{7C340956-0F3C-4577-ACF6-191EABCAF30F}"/>
  <bookViews>
    <workbookView xWindow="-12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<sst xmlns="http://schemas.openxmlformats.org/spreadsheetml/2006/main" count="3250" uniqueCount="758">
  <si>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</si>
  <si>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</si>
  <si>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</si>
  <si>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</si>
  <si>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</si>
  <si>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</si>
  <si>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</si>
  <si>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</si>
  <si>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</si>
  <si>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</si>
  <si>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</si>
  <si>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</si>
  <si>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</si>
  <si>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</si>
  <si>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</si>
  <si>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</si>
  <si>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</si>
  <si>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</si>
  <si>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</si>
  <si>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</si>
  <si>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</si>
  <si>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</si>
  <si>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</si>
  <si>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</si>
  <si>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</si>
  <si>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</si>
  <si>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</si>
  <si>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</si>
  <si>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</si>
  <si>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</si>
  <si>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</si>
  <si>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</si>
  <si>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</si>
  <si>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</si>
  <si>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</si>
  <si>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</si>
  <si>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</si>
  <si>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</si>
  <si>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</si>
  <si>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</si>
  <si>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</si>
  <si>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</si>
  <si>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</si>
  <si>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</si>
  <si>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</si>
  <si>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</si>
  <si>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</si>
  <si>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</si>
  <si>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</si>
  <si>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</si>
  <si>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</si>
  <si>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</si>
  <si>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</si>
  <si>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</si>
  <si>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</si>
  <si>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</si>
  <si>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</si>
  <si>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</si>
  <si>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</si>
  <si>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</si>
  <si>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</si>
  <si>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</si>
  <si>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</si>
  <si>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</si>
  <si>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</si>
  <si>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</si>
  <si>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</si>
  <si>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</si>
  <si>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</si>
  <si>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</si>
  <si>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</si>
  <si>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</si>
  <si>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</si>
  <si>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</si>
  <si>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</si>
  <si>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</si>
  <si>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</si>
  <si>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</si>
  <si>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</si>
  <si>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</si>
  <si>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</si>
  <si>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</si>
  <si>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</si>
  <si>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</si>
  <si>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</si>
  <si>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</si>
  <si>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</si>
  <si>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</si>
  <si>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</si>
  <si>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</si>
  <si>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</si>
  <si>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</si>
  <si>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</si>
  <si>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</si>
  <si>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</si>
  <si>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</si>
  <si>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</si>
  <si>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</si>
  <si>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</si>
  <si>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</si>
  <si>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</si>
  <si>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</si>
  <si>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</si>
  <si>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</si>
  <si>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</si>
  <si>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</si>
  <si>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</si>
  <si>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</si>
  <si>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</si>
  <si>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</si>
  <si>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</si>
  <si>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</si>
  <si>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</si>
  <si>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</si>
  <si>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</si>
  <si>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</si>
  <si>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</si>
  <si>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</si>
  <si>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</si>
  <si>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</si>
  <si>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</si>
  <si>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</si>
  <si>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</si>
  <si>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</si>
  <si>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</si>
  <si>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</si>
  <si>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</si>
  <si>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</si>
  <si>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</si>
  <si>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</si>
  <si>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</si>
  <si>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</si>
  <si>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</si>
  <si>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</si>
  <si>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</si>
  <si>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</si>
  <si>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</si>
  <si>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</si>
  <si>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</si>
  <si>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</si>
  <si>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</si>
  <si>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</si>
  <si>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</si>
  <si>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</si>
  <si>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</si>
  <si>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</si>
  <si>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</si>
  <si>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</si>
  <si>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</si>
  <si>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</si>
  <si>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</si>
  <si>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</si>
  <si>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</si>
  <si>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</si>
  <si>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</si>
  <si>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</si>
  <si>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</si>
  <si>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</si>
  <si>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</si>
  <si>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</si>
  <si>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</si>
  <si>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</si>
  <si>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</si>
  <si>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</si>
  <si>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</si>
  <si>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</si>
  <si>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</si>
  <si>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</si>
  <si>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</si>
  <si>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</si>
  <si>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</si>
  <si>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</si>
  <si>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</si>
  <si>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</si>
  <si>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</si>
  <si>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</si>
  <si>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</si>
  <si>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</si>
  <si>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</si>
  <si>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</si>
  <si>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</si>
  <si>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</si>
  <si>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</si>
  <si>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</si>
  <si>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</si>
  <si>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</si>
  <si>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</si>
  <si>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</si>
  <si>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</si>
  <si>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</si>
  <si>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</si>
  <si>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</si>
  <si>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</si>
  <si>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</si>
  <si>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</si>
  <si>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</si>
  <si>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</si>
  <si>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</si>
  <si>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</si>
  <si>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</si>
  <si>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</si>
  <si>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</si>
  <si>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</si>
  <si>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</si>
  <si>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</si>
  <si>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</si>
  <si>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</si>
  <si>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</si>
  <si>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</si>
  <si>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</si>
  <si>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</si>
  <si>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</si>
  <si>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</si>
  <si>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</si>
  <si>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</si>
  <si>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</si>
  <si>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</si>
  <si>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</si>
  <si>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</si>
  <si>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</si>
  <si>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</si>
  <si>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</si>
  <si>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</si>
  <si>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</si>
  <si>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</si>
  <si>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</si>
  <si>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</si>
  <si>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</si>
  <si>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</si>
  <si>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</si>
  <si>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</si>
  <si>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</si>
  <si>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</si>
  <si>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</si>
  <si>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</si>
  <si>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</si>
  <si>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</si>
  <si>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</si>
  <si>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</si>
  <si>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</si>
  <si>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</si>
  <si>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</si>
  <si>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</si>
  <si>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</si>
  <si>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</si>
  <si>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</si>
  <si>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</si>
  <si>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</si>
  <si>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</si>
  <si>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</si>
  <si>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</si>
  <si>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</si>
  <si>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</si>
  <si>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</si>
  <si>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</si>
  <si>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</si>
  <si>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</si>
  <si>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</si>
  <si>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</si>
  <si>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</si>
  <si>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</si>
  <si>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</si>
  <si>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</si>
  <si>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</si>
  <si>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</si>
  <si>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</si>
  <si>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</si>
  <si>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</si>
  <si>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</si>
  <si>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</si>
  <si>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</si>
  <si>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</si>
  <si>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</si>
  <si>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</si>
  <si>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</si>
  <si>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</si>
  <si>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</si>
  <si>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</si>
  <si>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</si>
  <si>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</si>
  <si>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</si>
  <si>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</si>
  <si>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</si>
  <si>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</si>
  <si>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</si>
  <si>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</si>
  <si>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</si>
  <si>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</si>
  <si>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</si>
  <si>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</si>
  <si>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</si>
  <si>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</si>
  <si>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</si>
  <si>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</si>
  <si>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</si>
  <si>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</si>
  <si>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</si>
  <si>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</si>
  <si>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</si>
  <si>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</si>
  <si>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</si>
  <si>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</si>
  <si>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</si>
  <si>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</si>
  <si>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</si>
  <si>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</si>
  <si>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</si>
  <si>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</si>
  <si>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</si>
  <si>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</si>
  <si>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</si>
  <si>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</si>
  <si>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</si>
  <si>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</si>
  <si>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</si>
  <si>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</si>
  <si>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</si>
  <si>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</si>
  <si>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</si>
  <si>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</si>
  <si>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</si>
  <si>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</si>
  <si>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</si>
  <si>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</si>
  <si>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</si>
  <si>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</si>
  <si>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</si>
  <si>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</si>
  <si>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</si>
  <si>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</si>
  <si>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</si>
  <si>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</si>
  <si>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</si>
  <si>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</si>
  <si>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</si>
  <si>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</si>
  <si>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</si>
  <si>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</si>
  <si>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</si>
  <si>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</si>
  <si>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</si>
  <si>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</si>
  <si>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</si>
  <si>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</si>
  <si>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</si>
  <si>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</si>
  <si>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</si>
  <si>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</si>
  <si>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</si>
  <si>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</si>
  <si>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</si>
  <si>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</si>
  <si>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</si>
  <si>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</si>
  <si>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</si>
  <si>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</si>
  <si>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</si>
  <si>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</si>
  <si>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</si>
  <si>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</si>
  <si>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</si>
  <si>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</si>
  <si>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</si>
  <si>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</si>
  <si>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</si>
  <si>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</si>
  <si>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</si>
  <si>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</si>
  <si>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</si>
  <si>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</si>
  <si>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</si>
  <si>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</si>
  <si>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</si>
  <si>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</si>
  <si>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</si>
  <si>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</si>
  <si>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</si>
  <si>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</si>
  <si>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</si>
  <si>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</si>
  <si>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</si>
  <si>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</si>
  <si>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</si>
  <si>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</si>
  <si>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</si>
  <si>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</si>
  <si>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</si>
  <si>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</si>
  <si>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</si>
  <si>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</si>
  <si>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</si>
  <si>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</si>
  <si>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</si>
  <si>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</si>
  <si>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</si>
  <si>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</si>
  <si>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</si>
  <si>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</si>
  <si>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</si>
  <si>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</si>
  <si>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</si>
  <si>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</si>
  <si>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</si>
  <si>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</si>
  <si>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</si>
  <si>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</si>
  <si>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</si>
  <si>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</si>
  <si>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</si>
  <si>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</si>
  <si>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</si>
  <si>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</si>
  <si>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</si>
  <si>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</si>
  <si>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</si>
  <si>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</si>
  <si>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</si>
  <si>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</si>
  <si>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</si>
  <si>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</si>
  <si>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</si>
  <si>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</si>
  <si>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</si>
  <si>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</si>
  <si>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</si>
  <si>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</si>
  <si>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</si>
  <si>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</si>
  <si>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</si>
  <si>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</si>
  <si>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</si>
  <si>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</si>
  <si>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</si>
  <si>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</si>
  <si>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</si>
  <si>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</si>
  <si>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</si>
  <si>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</si>
  <si>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</si>
  <si>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</si>
  <si>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</si>
  <si>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</si>
  <si>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</si>
  <si>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</si>
  <si>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</si>
  <si>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</si>
  <si>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</si>
  <si>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</si>
  <si>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</si>
  <si>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</si>
  <si>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</si>
  <si>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</si>
  <si>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</si>
  <si>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</si>
  <si>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</si>
  <si>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</si>
  <si>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</si>
  <si>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</si>
  <si>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</si>
  <si>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</si>
  <si>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</si>
  <si>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</si>
  <si>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</si>
  <si>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</si>
  <si>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</si>
  <si>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</si>
  <si>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</si>
  <si>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</si>
  <si>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</si>
  <si>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</si>
  <si>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</si>
  <si>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</si>
  <si>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</si>
  <si>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</si>
  <si>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</si>
  <si>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</si>
  <si>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</si>
  <si>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</si>
  <si>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</si>
  <si>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</si>
  <si>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</si>
  <si>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</si>
  <si>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</si>
  <si>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</si>
  <si>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</si>
  <si>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</si>
  <si>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</si>
  <si>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</si>
  <si>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</si>
  <si>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</si>
  <si>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</si>
  <si>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</si>
  <si>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</si>
  <si>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</si>
  <si>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</si>
  <si>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</si>
  <si>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</si>
  <si>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</si>
  <si>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</si>
  <si>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</si>
  <si>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</si>
  <si>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</si>
  <si>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</si>
  <si>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</si>
  <si>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</si>
  <si>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</si>
  <si>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</si>
  <si>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</si>
  <si>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</si>
  <si>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</si>
  <si>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</si>
  <si>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</si>
  <si>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</si>
  <si>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</si>
  <si>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</si>
  <si>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</si>
  <si>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</si>
  <si>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</si>
  <si>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</si>
  <si>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</si>
  <si>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</si>
  <si>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</si>
  <si>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</si>
  <si>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</si>
  <si>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</si>
  <si>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</si>
  <si>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</si>
  <si>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</si>
  <si>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</si>
  <si>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</si>
  <si>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</si>
  <si>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</si>
  <si>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</si>
  <si>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</si>
  <si>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</si>
  <si>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</si>
  <si>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</si>
  <si>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</si>
  <si>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</si>
  <si>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</si>
  <si>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</si>
  <si>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</si>
  <si>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</si>
  <si>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</si>
  <si>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</si>
  <si>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</si>
  <si>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</si>
  <si>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</si>
  <si>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</si>
  <si>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</si>
  <si>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</si>
  <si>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</si>
  <si>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</si>
  <si>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</si>
  <si>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</si>
  <si>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</si>
  <si>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</si>
  <si>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</si>
  <si>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</si>
  <si>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</si>
  <si>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</si>
  <si>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</si>
  <si>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</si>
  <si>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</si>
  <si>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</si>
  <si>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</si>
  <si>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</si>
  <si>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</si>
  <si>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</si>
  <si>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</si>
  <si>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</si>
  <si>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</si>
  <si>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</si>
  <si>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</si>
  <si>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</si>
  <si>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</si>
  <si>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</si>
  <si>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</si>
  <si>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</si>
  <si>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</si>
  <si>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</si>
  <si>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</si>
  <si>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</si>
  <si>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</si>
  <si>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</si>
  <si>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</si>
  <si>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</si>
  <si>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</si>
  <si>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</si>
  <si>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</si>
  <si>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</si>
  <si>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</si>
  <si>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</si>
  <si>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</si>
  <si>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</si>
  <si>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</si>
  <si>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</si>
  <si>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</si>
  <si>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</si>
  <si>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</si>
  <si>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</si>
  <si>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</si>
  <si>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</si>
  <si>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</si>
  <si>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</si>
  <si>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</si>
  <si>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</si>
  <si>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</si>
  <si>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</si>
  <si>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</si>
  <si>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</si>
  <si>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</si>
  <si>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</si>
  <si>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</si>
  <si>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</si>
  <si>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</si>
  <si>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</si>
  <si>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</si>
  <si>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</si>
  <si>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</si>
  <si>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</si>
  <si>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</si>
  <si>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</si>
  <si>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</si>
  <si>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</si>
  <si>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</si>
  <si>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</si>
  <si>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</si>
  <si>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</si>
  <si>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</si>
  <si>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</si>
  <si>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</si>
  <si>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</si>
  <si>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</si>
  <si>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</si>
  <si>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</si>
  <si>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</si>
  <si>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</si>
  <si>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</si>
  <si>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</si>
  <si>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</si>
  <si>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</si>
  <si>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</si>
  <si>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</si>
  <si>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</si>
  <si>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</si>
  <si>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</si>
  <si>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</si>
  <si>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</si>
  <si>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</si>
  <si>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</si>
  <si>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</si>
  <si>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</si>
  <si>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</si>
  <si>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</si>
  <si>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</si>
  <si>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</si>
  <si>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</si>
  <si>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</si>
  <si>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</si>
  <si>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</si>
  <si>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</si>
  <si>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</si>
  <si>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</si>
  <si>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</si>
  <si>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</si>
  <si>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</si>
  <si>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</si>
  <si>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</si>
  <si>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</si>
  <si>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</si>
  <si>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</si>
  <si>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</si>
  <si>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</si>
  <si>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</si>
  <si>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</si>
  <si>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</si>
  <si>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</si>
  <si>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</si>
  <si>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</si>
  <si>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</si>
  <si>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</si>
  <si>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</si>
  <si>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</si>
  <si>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</si>
  <si>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</si>
  <si>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</si>
  <si>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</si>
  <si>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</si>
  <si>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</si>
  <si>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</si>
  <si>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</si>
  <si>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</si>
  <si>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</si>
  <si>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</si>
  <si>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</si>
  <si>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</si>
  <si>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</si>
  <si>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</si>
  <si>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</si>
  <si>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</si>
  <si>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</si>
  <si>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</si>
  <si>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</si>
  <si>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</si>
  <si>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</si>
  <si>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</si>
  <si>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</si>
  <si>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</si>
  <si>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</si>
  <si>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</si>
  <si>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</si>
  <si>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</si>
  <si>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</si>
  <si>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</si>
  <si>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</si>
  <si>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</si>
  <si>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</si>
  <si>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</si>
  <si>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</si>
  <si>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</si>
  <si>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</si>
  <si>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</si>
  <si>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</si>
  <si>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</si>
  <si>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</si>
  <si>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</si>
  <si>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</si>
  <si>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</si>
  <si>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</si>
  <si>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</si>
  <si>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</si>
  <si>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</si>
  <si>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</si>
  <si>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</si>
  <si>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</si>
  <si>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</si>
  <si>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</si>
  <si>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</si>
  <si>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</si>
  <si>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</si>
  <si>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</si>
  <si>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</si>
  <si>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</si>
  <si>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</si>
  <si>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</si>
  <si>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</si>
  <si>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</si>
  <si>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</si>
  <si>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</si>
  <si>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SERTAC DOSTEL</t>
  </si>
  <si>
    <t>ORHAN YENIHAYAT</t>
  </si>
  <si>
    <t>DINCER ADILLER</t>
  </si>
  <si>
    <t>MERVE SAGLAM</t>
  </si>
  <si>
    <t>XAVI MATEU</t>
  </si>
  <si>
    <t xml:space="preserve">Excellent jiob! </t>
  </si>
  <si>
    <t>02:03</t>
  </si>
  <si>
    <t>C:\Users\xavi.mateu\OneDrive - EUROLEAGUE\Desktop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</si>
</sst>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28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28_271_IST_VIR_E2025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757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271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46065.854166666664</v>
      </c>
      <c r="C3" s="157"/>
      <c r="D3" s="39">
        <v>551</v>
      </c>
      <c r="E3" s="29"/>
      <c r="F3" s="26">
        <f>SUBTOTAL(3,I17:I106)</f>
        <v>1</v>
      </c>
      <c r="G3" s="27">
        <f>IF(OR(D3="",D3=0),"",F3/D3)</f>
        <v>1.8148820326678765E-3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Anadolu Efes Istanbul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IST</v>
      </c>
      <c r="I4" s="5"/>
      <c r="J4" s="119" t="s">
        <v>714</v>
      </c>
      <c r="K4" s="54" t="s">
        <v>743</v>
      </c>
      <c r="L4" s="5"/>
      <c r="M4" s="167" t="s">
        <v>755</v>
      </c>
      <c r="N4" s="168"/>
      <c r="O4" s="2"/>
      <c r="P4" s="2"/>
      <c r="Q4" s="84" t="s">
        <v>175</v>
      </c>
      <c r="R4" s="94">
        <f>(IF(G3="",0,G3))</f>
        <v>1.8148820326678765E-3</v>
      </c>
      <c r="S4" s="61">
        <f>SUM(I13:M13)</f>
        <v>0</v>
      </c>
      <c r="T4" s="78"/>
      <c r="U4" s="61">
        <f>AC18</f>
        <v>0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Virtus Bologna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VIR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0.18148820326678766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735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750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1.1814882032667877</v>
      </c>
      <c r="N7" s="58"/>
      <c r="O7" s="2"/>
      <c r="P7" s="2"/>
      <c r="Q7" s="86">
        <f>SUM(R5,S5,AC16)</f>
        <v>1.1814882032667877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751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1.1814882032667877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752</v>
      </c>
      <c r="E9" s="179"/>
      <c r="F9" s="179"/>
      <c r="G9" s="180"/>
      <c r="H9" s="130">
        <f>VLOOKUP($H$4,Teams!$B$3:$O$44,3,FALSE)</f>
        <v>1</v>
      </c>
      <c r="I9" s="130">
        <f>VLOOKUP($H$4,Teams!$B$3:$O$44,3,FALSE)</f>
        <v>1</v>
      </c>
      <c r="J9" s="130">
        <f>VLOOKUP($H$4,Teams!$B$3:$O$44,5,FALSE)</f>
        <v>3</v>
      </c>
      <c r="K9" s="130">
        <f>VLOOKUP($H$4,Teams!$B$3:$O$44,6,FALSE)</f>
        <v>4</v>
      </c>
      <c r="L9" s="130">
        <f>VLOOKUP($H$4,Teams!$B$3:$O$44,7,FALSE)</f>
        <v>5</v>
      </c>
      <c r="M9" s="131">
        <f>VLOOKUP($H$4,Teams!$B$3:$O$44,8,FALSE)</f>
        <v>6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753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740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271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754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</v>
      </c>
      <c r="J15" s="24">
        <f>SUBTOTAL(3,J17:J106)</f>
        <v>1</v>
      </c>
      <c r="K15" s="24">
        <f>SUBTOTAL(3,K17:K106)</f>
        <v>1</v>
      </c>
      <c r="L15" s="24">
        <f>SUBTOTAL(3,L17:L106)</f>
        <v>1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</v>
      </c>
      <c r="Z16" s="90" t="s">
        <v>110</v>
      </c>
      <c r="AA16" s="75">
        <f>SUM(AA17:AA24)</f>
        <v>1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1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271</v>
      </c>
      <c r="D17" s="32" t="s">
        <v>756</v>
      </c>
      <c r="E17" s="33">
        <v>1</v>
      </c>
      <c r="F17" s="36">
        <v>16</v>
      </c>
      <c r="G17" s="36">
        <v>15</v>
      </c>
      <c r="H17" s="38" t="str">
        <f>IF(I17="","",$I$14)</f>
        <v>SCOUTING</v>
      </c>
      <c r="I17" s="34">
        <v>96</v>
      </c>
      <c r="J17" s="13" t="s">
        <v>4</v>
      </c>
      <c r="K17" s="13" t="s">
        <v>63</v>
      </c>
      <c r="L17" s="13" t="s">
        <v>6</v>
      </c>
      <c r="M17" s="13" t="s">
        <v>9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REPORT_E2025271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"E2025271"</v>
      </c>
      <c r="F3" s="45" t="str">
        <f t="shared" ref="F3:F16" si="0">""""&amp;B3&amp;"""" &amp; " : " &amp;C3&amp;","</f>
        <v>"name" : "E2025271",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"E271"</v>
      </c>
      <c r="F4" s="45" t="str">
        <f t="shared" si="0"/>
        <v>"cod" : "E271",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271</v>
      </c>
      <c r="F6" s="45" t="str">
        <f t="shared" si="0"/>
        <v>"number" : 271,</v>
      </c>
    </row>
    <row r="7" spans="2:6" x14ac:dyDescent="0.25">
      <c r="B7" s="43" t="s">
        <v>116</v>
      </c>
      <c r="C7" s="43" t="str">
        <f ca="1">""""&amp;TEXT('SCOUT &amp; LOGISTICS'!B3,"dd/mm/aaaa")&amp;""""</f>
        <v>"12/02/Thursday"</v>
      </c>
      <c r="F7" s="45" t="str">
        <f t="shared" ca="1" si="0"/>
        <v>"date" : "12/02/Thursday",</v>
      </c>
    </row>
    <row r="8" spans="2:6" x14ac:dyDescent="0.25">
      <c r="B8" s="43" t="s">
        <v>125</v>
      </c>
      <c r="C8" s="43" t="str">
        <f>""""&amp;'SCOUT &amp; LOGISTICS'!D4 &amp;""""</f>
        <v>"Anadolu Efes Istanbul"</v>
      </c>
      <c r="F8" s="45" t="str">
        <f t="shared" si="0"/>
        <v>"home_team" : "Anadolu Efes Istanbul",</v>
      </c>
    </row>
    <row r="9" spans="2:6" x14ac:dyDescent="0.25">
      <c r="B9" s="43" t="s">
        <v>126</v>
      </c>
      <c r="C9" s="43" t="str">
        <f>""""&amp;'SCOUT &amp; LOGISTICS'!D5&amp;""""</f>
        <v>"Virtus Bologna"</v>
      </c>
      <c r="F9" s="45" t="str">
        <f t="shared" si="0"/>
        <v>"away_team" : "Virtus Bologna",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"CAN KUTLUATA"</v>
      </c>
      <c r="F10" s="45" t="str">
        <f t="shared" si="0"/>
        <v>"Data_entry" : "CAN KUTLUATA",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"SERTAC DOSTEL"</v>
      </c>
      <c r="F11" s="45" t="str">
        <f t="shared" si="0"/>
        <v>"Caller_1" : "SERTAC DOSTEL",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"ORHAN YENIHAYAT"</v>
      </c>
      <c r="F12" s="45" t="str">
        <f t="shared" si="0"/>
        <v>"Caller_2" : "ORHAN YENIHAYAT",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"DINCER ADILLER"</v>
      </c>
      <c r="F13" s="45" t="str">
        <f t="shared" si="0"/>
        <v>"Timerkeeper" : "DINCER ADILLER",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"MERVE SAGLAM"</v>
      </c>
      <c r="F14" s="45" t="str">
        <f t="shared" si="0"/>
        <v>"Shotclock" : "MERVE SAGLAM",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"MURAT KUS"</v>
      </c>
      <c r="F15" s="45" t="str">
        <f t="shared" si="0"/>
        <v>"IRS" : "MURAT KUS",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"XAVI MATEU"</v>
      </c>
      <c r="F16" s="45" t="str">
        <f t="shared" si="0"/>
        <v>"Live_Game_Manager" : "XAVI MATEU",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551</v>
      </c>
      <c r="F25" s="45" t="str">
        <f t="shared" ref="F25:F48" si="1">""""&amp;C25&amp;"""" &amp; " : " &amp;D25&amp;","</f>
        <v>"total_actions" : 551,</v>
      </c>
    </row>
    <row r="26" spans="2:6" x14ac:dyDescent="0.25">
      <c r="C26" s="43" t="s">
        <v>132</v>
      </c>
      <c r="D26" s="43">
        <f>'SCOUT &amp; LOGISTICS'!F3</f>
        <v>1</v>
      </c>
      <c r="F26" s="45" t="str">
        <f t="shared" si="1"/>
        <v>"total_correcions" : 1,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1</v>
      </c>
      <c r="F37" s="45" t="str">
        <f t="shared" si="1"/>
        <v>"scoresheet_corrections" : 1,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"Excellent jiob! "</v>
      </c>
      <c r="F51" s="45" t="str">
        <f>""""&amp;B51&amp;"""" &amp; " : " &amp;C51&amp;","</f>
        <v>"comments" : "Excellent jiob! ",</v>
      </c>
    </row>
    <row r="52" spans="2:6" x14ac:dyDescent="0.25">
      <c r="B52" s="43" t="s">
        <v>153</v>
      </c>
      <c r="C52" s="43" t="str">
        <f>TEXT('SCOUT &amp; LOGISTICS'!F1,"0,0")</f>
        <v>28_271_IST_VIR_E2025</v>
      </c>
      <c r="F52" s="45" t="str">
        <f>""""&amp;B52&amp;"""" &amp; " : " &amp;C52</f>
        <v>"result" : 28_271_IST_VIR_E2025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E271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12/02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Anadolu Efes Istanbul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Virtus Bologna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CAN KUTLUATA</v>
      </c>
      <c r="C8" s="206"/>
      <c r="D8" s="206"/>
      <c r="E8" s="206"/>
      <c r="F8" s="206"/>
      <c r="G8" s="206" t="str">
        <f>IF('SCOUT &amp; LOGISTICS'!D7="","",'SCOUT &amp; LOGISTICS'!D7)</f>
        <v>SERTAC DOSTEL</v>
      </c>
      <c r="H8" s="206"/>
      <c r="I8" s="206"/>
      <c r="J8" s="206"/>
      <c r="K8" s="206"/>
      <c r="L8" s="206" t="str">
        <f>IF('SCOUT &amp; LOGISTICS'!D8="","",'SCOUT &amp; LOGISTICS'!D8)</f>
        <v>ORHAN YENIHAYAT</v>
      </c>
      <c r="M8" s="206"/>
      <c r="N8" s="206"/>
      <c r="O8" s="206"/>
      <c r="P8" s="206"/>
      <c r="Q8" s="206" t="str">
        <f>IF('SCOUT &amp; LOGISTICS'!D9="","",'SCOUT &amp; LOGISTICS'!D9)</f>
        <v>DINCER ADILLER</v>
      </c>
      <c r="R8" s="206"/>
      <c r="S8" s="206"/>
      <c r="T8" s="206"/>
      <c r="U8" s="206"/>
      <c r="V8" s="206" t="str">
        <f>IF('SCOUT &amp; LOGISTICS'!D10="","",'SCOUT &amp; LOGISTICS'!D10)</f>
        <v>MERVE SAGLAM</v>
      </c>
      <c r="W8" s="206"/>
      <c r="X8" s="206"/>
      <c r="Y8" s="206"/>
      <c r="Z8" s="206"/>
      <c r="AA8" s="206" t="str">
        <f>IF('SCOUT &amp; LOGISTICS'!D11="","",'SCOUT &amp; LOGISTICS'!D11)</f>
        <v>MURAT KUS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XAVI MATEU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551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1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1.8148820326678765E-3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1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1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0</v>
      </c>
      <c r="C27" s="197"/>
      <c r="D27" s="197"/>
      <c r="E27" s="197"/>
      <c r="F27" s="197"/>
      <c r="G27" s="197">
        <f>'SCOUT &amp; LOGISTICS'!AC22</f>
        <v>1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 xml:space="preserve">Excellent jiob! 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1.1814882032667877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FF04CDC-DD3A-4E38-A235-B7DB9B105F2F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2026-02-13T16:55:10Z</cp:lastPrinted>
  <dcterms:created xsi:type="dcterms:W3CDTF">2023-09-19T19:50:35Z</dcterms:created>
  <dcterms:modified xsi:type="dcterms:W3CDTF">2026-02-13T16:55:11Z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