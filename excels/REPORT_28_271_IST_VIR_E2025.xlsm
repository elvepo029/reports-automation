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7" documentId="8_{E1C6CE6C-2559-4C18-9C2B-FE62DAD54A6E}" xr6:coauthVersionLast="47" xr6:coauthVersionMax="47" xr10:uidLastSave="{7C340956-0F3C-4577-ACF6-191EABCAF30F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<sst xmlns="http://schemas.openxmlformats.org/spreadsheetml/2006/main" count="3250" uniqueCount="758">
  <si>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</si>
  <si>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</si>
  <si>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</si>
  <si>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</si>
  <si>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</si>
  <si>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</si>
  <si>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</si>
  <si>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</si>
  <si>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</si>
  <si>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</si>
  <si>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</si>
  <si>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</si>
  <si>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</si>
  <si>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</si>
  <si>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</si>
  <si>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</si>
  <si>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</si>
  <si>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</si>
  <si>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</si>
  <si>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</si>
  <si>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</si>
  <si>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</si>
  <si>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</si>
  <si>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</si>
  <si>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</si>
  <si>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</si>
  <si>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</si>
  <si>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</si>
  <si>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</si>
  <si>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</si>
  <si>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</si>
  <si>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</si>
  <si>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</si>
  <si>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</si>
  <si>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</si>
  <si>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</si>
  <si>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</si>
  <si>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</si>
  <si>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</si>
  <si>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</si>
  <si>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</si>
  <si>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</si>
  <si>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</si>
  <si>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</si>
  <si>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</si>
  <si>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</si>
  <si>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</si>
  <si>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</si>
  <si>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</si>
  <si>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</si>
  <si>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</si>
  <si>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</si>
  <si>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</si>
  <si>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</si>
  <si>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</si>
  <si>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</si>
  <si>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</si>
  <si>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</si>
  <si>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</si>
  <si>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</si>
  <si>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</si>
  <si>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</si>
  <si>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</si>
  <si>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</si>
  <si>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</si>
  <si>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</si>
  <si>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</si>
  <si>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</si>
  <si>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</si>
  <si>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</si>
  <si>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</si>
  <si>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</si>
  <si>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</si>
  <si>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</si>
  <si>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</si>
  <si>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</si>
  <si>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</si>
  <si>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</si>
  <si>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</si>
  <si>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</si>
  <si>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</si>
  <si>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</si>
  <si>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</si>
  <si>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</si>
  <si>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</si>
  <si>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</si>
  <si>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</si>
  <si>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</si>
  <si>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</si>
  <si>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</si>
  <si>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</si>
  <si>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</si>
  <si>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</si>
  <si>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</si>
  <si>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</si>
  <si>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</si>
  <si>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</si>
  <si>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</si>
  <si>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</si>
  <si>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</si>
  <si>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</si>
  <si>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</si>
  <si>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</si>
  <si>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</si>
  <si>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</si>
  <si>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</si>
  <si>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</si>
  <si>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</si>
  <si>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</si>
  <si>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</si>
  <si>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</si>
  <si>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</si>
  <si>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</si>
  <si>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</si>
  <si>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</si>
  <si>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</si>
  <si>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</si>
  <si>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</si>
  <si>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</si>
  <si>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</si>
  <si>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</si>
  <si>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</si>
  <si>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</si>
  <si>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</si>
  <si>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</si>
  <si>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</si>
  <si>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</si>
  <si>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</si>
  <si>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</si>
  <si>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</si>
  <si>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</si>
  <si>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</si>
  <si>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</si>
  <si>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</si>
  <si>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</si>
  <si>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</si>
  <si>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</si>
  <si>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</si>
  <si>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</si>
  <si>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</si>
  <si>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</si>
  <si>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</si>
  <si>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</si>
  <si>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</si>
  <si>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</si>
  <si>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</si>
  <si>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</si>
  <si>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</si>
  <si>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</si>
  <si>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</si>
  <si>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</si>
  <si>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</si>
  <si>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</si>
  <si>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</si>
  <si>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</si>
  <si>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</si>
  <si>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</si>
  <si>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</si>
  <si>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</si>
  <si>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</si>
  <si>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</si>
  <si>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</si>
  <si>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</si>
  <si>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</si>
  <si>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</si>
  <si>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</si>
  <si>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</si>
  <si>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</si>
  <si>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</si>
  <si>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</si>
  <si>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</si>
  <si>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</si>
  <si>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</si>
  <si>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</si>
  <si>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</si>
  <si>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</si>
  <si>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</si>
  <si>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</si>
  <si>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</si>
  <si>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</si>
  <si>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</si>
  <si>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</si>
  <si>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</si>
  <si>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</si>
  <si>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</si>
  <si>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</si>
  <si>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</si>
  <si>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</si>
  <si>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</si>
  <si>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</si>
  <si>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</si>
  <si>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</si>
  <si>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</si>
  <si>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</si>
  <si>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</si>
  <si>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</si>
  <si>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</si>
  <si>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</si>
  <si>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</si>
  <si>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</si>
  <si>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</si>
  <si>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</si>
  <si>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</si>
  <si>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</si>
  <si>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</si>
  <si>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</si>
  <si>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</si>
  <si>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</si>
  <si>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</si>
  <si>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</si>
  <si>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</si>
  <si>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</si>
  <si>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</si>
  <si>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</si>
  <si>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</si>
  <si>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</si>
  <si>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</si>
  <si>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</si>
  <si>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</si>
  <si>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</si>
  <si>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</si>
  <si>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</si>
  <si>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</si>
  <si>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</si>
  <si>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</si>
  <si>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</si>
  <si>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</si>
  <si>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</si>
  <si>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</si>
  <si>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</si>
  <si>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</si>
  <si>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</si>
  <si>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</si>
  <si>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</si>
  <si>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</si>
  <si>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</si>
  <si>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</si>
  <si>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</si>
  <si>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</si>
  <si>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</si>
  <si>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</si>
  <si>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</si>
  <si>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</si>
  <si>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</si>
  <si>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</si>
  <si>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</si>
  <si>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</si>
  <si>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</si>
  <si>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</si>
  <si>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</si>
  <si>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</si>
  <si>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</si>
  <si>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</si>
  <si>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</si>
  <si>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</si>
  <si>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</si>
  <si>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</si>
  <si>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</si>
  <si>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</si>
  <si>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</si>
  <si>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</si>
  <si>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</si>
  <si>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</si>
  <si>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</si>
  <si>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</si>
  <si>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</si>
  <si>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</si>
  <si>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</si>
  <si>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</si>
  <si>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</si>
  <si>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</si>
  <si>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</si>
  <si>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</si>
  <si>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</si>
  <si>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</si>
  <si>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</si>
  <si>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</si>
  <si>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</si>
  <si>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</si>
  <si>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</si>
  <si>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</si>
  <si>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</si>
  <si>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</si>
  <si>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</si>
  <si>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</si>
  <si>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</si>
  <si>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</si>
  <si>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</si>
  <si>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</si>
  <si>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</si>
  <si>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</si>
  <si>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</si>
  <si>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</si>
  <si>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</si>
  <si>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</si>
  <si>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</si>
  <si>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</si>
  <si>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</si>
  <si>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</si>
  <si>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</si>
  <si>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</si>
  <si>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</si>
  <si>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</si>
  <si>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</si>
  <si>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</si>
  <si>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</si>
  <si>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</si>
  <si>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</si>
  <si>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</si>
  <si>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</si>
  <si>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</si>
  <si>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</si>
  <si>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</si>
  <si>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</si>
  <si>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</si>
  <si>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</si>
  <si>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</si>
  <si>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</si>
  <si>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</si>
  <si>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</si>
  <si>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</si>
  <si>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</si>
  <si>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</si>
  <si>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</si>
  <si>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</si>
  <si>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</si>
  <si>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</si>
  <si>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</si>
  <si>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</si>
  <si>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</si>
  <si>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</si>
  <si>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</si>
  <si>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</si>
  <si>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</si>
  <si>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</si>
  <si>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</si>
  <si>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</si>
  <si>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</si>
  <si>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</si>
  <si>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</si>
  <si>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</si>
  <si>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</si>
  <si>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</si>
  <si>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</si>
  <si>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</si>
  <si>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</si>
  <si>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</si>
  <si>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</si>
  <si>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</si>
  <si>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</si>
  <si>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</si>
  <si>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</si>
  <si>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</si>
  <si>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</si>
  <si>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</si>
  <si>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</si>
  <si>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</si>
  <si>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</si>
  <si>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</si>
  <si>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</si>
  <si>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</si>
  <si>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</si>
  <si>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</si>
  <si>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</si>
  <si>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</si>
  <si>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</si>
  <si>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</si>
  <si>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</si>
  <si>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</si>
  <si>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</si>
  <si>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</si>
  <si>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</si>
  <si>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</si>
  <si>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</si>
  <si>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</si>
  <si>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</si>
  <si>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</si>
  <si>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</si>
  <si>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</si>
  <si>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</si>
  <si>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</si>
  <si>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</si>
  <si>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</si>
  <si>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</si>
  <si>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</si>
  <si>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</si>
  <si>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</si>
  <si>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</si>
  <si>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</si>
  <si>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</si>
  <si>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</si>
  <si>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</si>
  <si>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</si>
  <si>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</si>
  <si>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</si>
  <si>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</si>
  <si>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</si>
  <si>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</si>
  <si>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</si>
  <si>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</si>
  <si>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</si>
  <si>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</si>
  <si>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</si>
  <si>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</si>
  <si>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</si>
  <si>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</si>
  <si>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</si>
  <si>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</si>
  <si>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</si>
  <si>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</si>
  <si>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</si>
  <si>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</si>
  <si>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</si>
  <si>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</si>
  <si>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</si>
  <si>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</si>
  <si>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</si>
  <si>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</si>
  <si>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</si>
  <si>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</si>
  <si>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</si>
  <si>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</si>
  <si>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</si>
  <si>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</si>
  <si>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</si>
  <si>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</si>
  <si>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</si>
  <si>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</si>
  <si>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</si>
  <si>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</si>
  <si>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</si>
  <si>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</si>
  <si>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</si>
  <si>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</si>
  <si>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</si>
  <si>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</si>
  <si>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</si>
  <si>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</si>
  <si>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</si>
  <si>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</si>
  <si>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</si>
  <si>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</si>
  <si>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</si>
  <si>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</si>
  <si>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</si>
  <si>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</si>
  <si>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</si>
  <si>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</si>
  <si>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</si>
  <si>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</si>
  <si>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</si>
  <si>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</si>
  <si>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</si>
  <si>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</si>
  <si>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</si>
  <si>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</si>
  <si>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</si>
  <si>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</si>
  <si>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</si>
  <si>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</si>
  <si>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</si>
  <si>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</si>
  <si>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</si>
  <si>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</si>
  <si>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</si>
  <si>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</si>
  <si>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</si>
  <si>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</si>
  <si>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</si>
  <si>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</si>
  <si>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</si>
  <si>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</si>
  <si>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</si>
  <si>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</si>
  <si>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</si>
  <si>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</si>
  <si>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</si>
  <si>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</si>
  <si>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</si>
  <si>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</si>
  <si>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</si>
  <si>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</si>
  <si>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</si>
  <si>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</si>
  <si>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</si>
  <si>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</si>
  <si>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</si>
  <si>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</si>
  <si>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</si>
  <si>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</si>
  <si>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</si>
  <si>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</si>
  <si>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</si>
  <si>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</si>
  <si>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</si>
  <si>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</si>
  <si>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</si>
  <si>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</si>
  <si>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</si>
  <si>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</si>
  <si>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</si>
  <si>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</si>
  <si>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</si>
  <si>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</si>
  <si>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</si>
  <si>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</si>
  <si>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</si>
  <si>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</si>
  <si>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</si>
  <si>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</si>
  <si>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</si>
  <si>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</si>
  <si>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</si>
  <si>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</si>
  <si>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</si>
  <si>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</si>
  <si>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</si>
  <si>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</si>
  <si>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</si>
  <si>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</si>
  <si>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</si>
  <si>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</si>
  <si>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</si>
  <si>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</si>
  <si>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</si>
  <si>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</si>
  <si>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</si>
  <si>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</si>
  <si>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</si>
  <si>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</si>
  <si>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</si>
  <si>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</si>
  <si>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</si>
  <si>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</si>
  <si>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</si>
  <si>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</si>
  <si>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</si>
  <si>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</si>
  <si>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</si>
  <si>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</si>
  <si>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</si>
  <si>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</si>
  <si>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</si>
  <si>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</si>
  <si>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</si>
  <si>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</si>
  <si>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</si>
  <si>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</si>
  <si>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</si>
  <si>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</si>
  <si>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</si>
  <si>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</si>
  <si>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</si>
  <si>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</si>
  <si>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</si>
  <si>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</si>
  <si>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</si>
  <si>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</si>
  <si>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</si>
  <si>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</si>
  <si>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</si>
  <si>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</si>
  <si>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</si>
  <si>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</si>
  <si>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</si>
  <si>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</si>
  <si>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</si>
  <si>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</si>
  <si>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</si>
  <si>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</si>
  <si>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</si>
  <si>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</si>
  <si>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</si>
  <si>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</si>
  <si>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</si>
  <si>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</si>
  <si>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</si>
  <si>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</si>
  <si>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</si>
  <si>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</si>
  <si>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</si>
  <si>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</si>
  <si>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</si>
  <si>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</si>
  <si>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</si>
  <si>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</si>
  <si>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</si>
  <si>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</si>
  <si>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</si>
  <si>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</si>
  <si>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</si>
  <si>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</si>
  <si>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</si>
  <si>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</si>
  <si>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</si>
  <si>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</si>
  <si>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</si>
  <si>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</si>
  <si>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</si>
  <si>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</si>
  <si>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</si>
  <si>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</si>
  <si>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</si>
  <si>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</si>
  <si>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</si>
  <si>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</si>
  <si>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</si>
  <si>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</si>
  <si>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</si>
  <si>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</si>
  <si>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</si>
  <si>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</si>
  <si>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</si>
  <si>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</si>
  <si>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</si>
  <si>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</si>
  <si>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</si>
  <si>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</si>
  <si>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</si>
  <si>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</si>
  <si>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</si>
  <si>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</si>
  <si>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</si>
  <si>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</si>
  <si>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</si>
  <si>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</si>
  <si>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</si>
  <si>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</si>
  <si>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</si>
  <si>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</si>
  <si>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</si>
  <si>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</si>
  <si>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</si>
  <si>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</si>
  <si>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</si>
  <si>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</si>
  <si>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</si>
  <si>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</si>
  <si>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</si>
  <si>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</si>
  <si>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</si>
  <si>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</si>
  <si>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</si>
  <si>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</si>
  <si>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</si>
  <si>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</si>
  <si>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</si>
  <si>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</si>
  <si>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</si>
  <si>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</si>
  <si>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</si>
  <si>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</si>
  <si>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</si>
  <si>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</si>
  <si>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</si>
  <si>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</si>
  <si>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</si>
  <si>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</si>
  <si>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</si>
  <si>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</si>
  <si>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</si>
  <si>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</si>
  <si>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</si>
  <si>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</si>
  <si>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</si>
  <si>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</si>
  <si>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</si>
  <si>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</si>
  <si>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</si>
  <si>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</si>
  <si>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</si>
  <si>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</si>
  <si>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</si>
  <si>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</si>
  <si>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</si>
  <si>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</si>
  <si>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</si>
  <si>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</si>
  <si>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</si>
  <si>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</si>
  <si>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</si>
  <si>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</si>
  <si>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</si>
  <si>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</si>
  <si>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</si>
  <si>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</si>
  <si>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</si>
  <si>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</si>
  <si>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</si>
  <si>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</si>
  <si>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</si>
  <si>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</si>
  <si>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</si>
  <si>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</si>
  <si>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</si>
  <si>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</si>
  <si>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</si>
  <si>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</si>
  <si>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</si>
  <si>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</si>
  <si>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</si>
  <si>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</si>
  <si>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</si>
  <si>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</si>
  <si>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</si>
  <si>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</si>
  <si>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</si>
  <si>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</si>
  <si>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</si>
  <si>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</si>
  <si>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</si>
  <si>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</si>
  <si>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</si>
  <si>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</si>
  <si>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</si>
  <si>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</si>
  <si>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</si>
  <si>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</si>
  <si>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</si>
  <si>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</si>
  <si>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</si>
  <si>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</si>
  <si>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</si>
  <si>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</si>
  <si>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</si>
  <si>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</si>
  <si>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</si>
  <si>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</si>
  <si>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</si>
  <si>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</si>
  <si>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</si>
  <si>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</si>
  <si>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</si>
  <si>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</si>
  <si>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</si>
  <si>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</si>
  <si>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</si>
  <si>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</si>
  <si>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</si>
  <si>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</si>
  <si>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</si>
  <si>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</si>
  <si>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</si>
  <si>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</si>
  <si>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</si>
  <si>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</si>
  <si>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</si>
  <si>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</si>
  <si>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</si>
  <si>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</si>
  <si>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SERTAC DOSTEL</t>
  </si>
  <si>
    <t>ORHAN YENIHAYAT</t>
  </si>
  <si>
    <t>DINCER ADILLER</t>
  </si>
  <si>
    <t>MERVE SAGLAM</t>
  </si>
  <si>
    <t>XAVI MATEU</t>
  </si>
  <si>
    <t xml:space="preserve">Excellent jiob! </t>
  </si>
  <si>
    <t>02:03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</si>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</sst>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28_271_IST_VIR_E2025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46065.854166666664</v>
      </c>
      <c r="C3" s="157"/>
      <c r="D3" s="39">
        <v>551</v>
      </c>
      <c r="E3" s="29"/>
      <c r="F3" s="26">
        <f>SUBTOTAL(3,I17:I106)</f>
        <v>1</v>
      </c>
      <c r="G3" s="27">
        <f>IF(OR(D3="",D3=0),"",F3/D3)</f>
        <v>1.8148820326678765E-3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1.8148820326678765E-3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0.18148820326678766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1.1814882032667877</v>
      </c>
      <c r="N7" s="58"/>
      <c r="O7" s="2"/>
      <c r="P7" s="2"/>
      <c r="Q7" s="86">
        <f>SUM(R5,S5,AC16)</f>
        <v>1.1814882032667877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1.1814882032667877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271</v>
      </c>
      <c r="D17" s="32" t="s">
        <v>756</v>
      </c>
      <c r="E17" s="33">
        <v>1</v>
      </c>
      <c r="F17" s="36">
        <v>16</v>
      </c>
      <c r="G17" s="36">
        <v>15</v>
      </c>
      <c r="H17" s="38" t="str">
        <f>IF(I17="","",$I$14)</f>
        <v>SCOUTING</v>
      </c>
      <c r="I17" s="34">
        <v>96</v>
      </c>
      <c r="J17" s="13" t="s">
        <v>4</v>
      </c>
      <c r="K17" s="13" t="s">
        <v>63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"E2025271"</v>
      </c>
      <c r="F3" s="45" t="str">
        <f t="shared" ref="F3:F16" si="0">""""&amp;B3&amp;"""" &amp; " : " &amp;C3&amp;","</f>
        <v>"name" : "E2025271",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"E271"</v>
      </c>
      <c r="F4" s="45" t="str">
        <f t="shared" si="0"/>
        <v>"cod" : "E271",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271</v>
      </c>
      <c r="F6" s="45" t="str">
        <f t="shared" si="0"/>
        <v>"number" : 271,</v>
      </c>
    </row>
    <row r="7" spans="2:6" x14ac:dyDescent="0.25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"DINCER ADILLER"</v>
      </c>
      <c r="F13" s="45" t="str">
        <f t="shared" si="0"/>
        <v>"Timerkeeper" : "DINCER ADILLER",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"MERVE SAGLAM"</v>
      </c>
      <c r="F14" s="45" t="str">
        <f t="shared" si="0"/>
        <v>"Shotclock" : "MERVE SAGLAM",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551</v>
      </c>
      <c r="F25" s="45" t="str">
        <f t="shared" ref="F25:F48" si="1">""""&amp;C25&amp;"""" &amp; " : " &amp;D25&amp;","</f>
        <v>"total_actions" : 551,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jiob! "</v>
      </c>
      <c r="F51" s="45" t="str">
        <f>""""&amp;B51&amp;"""" &amp; " : " &amp;C51&amp;","</f>
        <v>"comments" : "Excellent jiob! ",</v>
      </c>
    </row>
    <row r="52" spans="2:6" x14ac:dyDescent="0.25">
      <c r="B52" s="43" t="s">
        <v>153</v>
      </c>
      <c r="C52" s="43" t="str">
        <f>TEXT('SCOUT &amp; LOGISTICS'!F1,"0,0")</f>
        <v>28_271_IST_VIR_E2025</v>
      </c>
      <c r="F52" s="45" t="str">
        <f>""""&amp;B52&amp;"""" &amp; " : " &amp;C52</f>
        <v>"result" : 28_271_IST_VIR_E2025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DINCER ADILLER</v>
      </c>
      <c r="R8" s="206"/>
      <c r="S8" s="206"/>
      <c r="T8" s="206"/>
      <c r="U8" s="206"/>
      <c r="V8" s="206" t="str">
        <f>IF('SCOUT &amp; LOGISTICS'!D10="","",'SCOUT &amp; LOGISTICS'!D10)</f>
        <v>MERVE SAGLAM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1.8148820326678765E-3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jiob!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1.1814882032667877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484F51-7611-4639-AFA7-219A7690E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2026-02-13T16:55:10Z</cp:lastPrinted>
  <dcterms:created xsi:type="dcterms:W3CDTF">2023-09-19T19:50:35Z</dcterms:created>
  <dcterms:modified xsi:type="dcterms:W3CDTF">2026-02-13T16:55:11Z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