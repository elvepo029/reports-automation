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73" documentId="8_{E458864A-72D6-4411-B83A-967A98424ADA}" xr6:coauthVersionLast="47" xr6:coauthVersionMax="47" xr10:uidLastSave="{34EFC42E-5552-46D7-9C2B-497A29AB19F4}"/>
  <bookViews>
    <workbookView xWindow="-28920" yWindow="63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<sst xmlns="http://schemas.openxmlformats.org/spreadsheetml/2006/main" count="3275" uniqueCount="764">
  <si>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</si>
  <si>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</si>
  <si>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</si>
  <si>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</si>
  <si>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</si>
  <si>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</si>
  <si>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</si>
  <si>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</si>
  <si>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</si>
  <si>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</si>
  <si>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</si>
  <si>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</si>
  <si>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</si>
  <si>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</si>
  <si>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</si>
  <si>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</si>
  <si>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</si>
  <si>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</si>
  <si>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</si>
  <si>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</si>
  <si>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</si>
  <si>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</si>
  <si>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</si>
  <si>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</si>
  <si>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</si>
  <si>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</si>
  <si>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</si>
  <si>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</si>
  <si>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</si>
  <si>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</si>
  <si>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</si>
  <si>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</si>
  <si>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</si>
  <si>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</si>
  <si>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</si>
  <si>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</si>
  <si>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</si>
  <si>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</si>
  <si>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</si>
  <si>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</si>
  <si>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</si>
  <si>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</si>
  <si>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</si>
  <si>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</si>
  <si>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</si>
  <si>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</si>
  <si>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</si>
  <si>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</si>
  <si>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</si>
  <si>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</si>
  <si>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</si>
  <si>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</si>
  <si>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</si>
  <si>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</si>
  <si>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</si>
  <si>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</si>
  <si>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</si>
  <si>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</si>
  <si>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</si>
  <si>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</si>
  <si>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</si>
  <si>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</si>
  <si>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</si>
  <si>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</si>
  <si>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</si>
  <si>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</si>
  <si>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</si>
  <si>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</si>
  <si>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</si>
  <si>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</si>
  <si>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</si>
  <si>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</si>
  <si>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</si>
  <si>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</si>
  <si>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</si>
  <si>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</si>
  <si>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</si>
  <si>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</si>
  <si>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</si>
  <si>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</si>
  <si>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</si>
  <si>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</si>
  <si>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</si>
  <si>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</si>
  <si>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</si>
  <si>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</si>
  <si>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</si>
  <si>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</si>
  <si>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</si>
  <si>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</si>
  <si>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</si>
  <si>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</si>
  <si>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</si>
  <si>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</si>
  <si>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</si>
  <si>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</si>
  <si>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</si>
  <si>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</si>
  <si>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</si>
  <si>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</si>
  <si>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</si>
  <si>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</si>
  <si>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</si>
  <si>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</si>
  <si>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</si>
  <si>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</si>
  <si>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</si>
  <si>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</si>
  <si>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</si>
  <si>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</si>
  <si>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</si>
  <si>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</si>
  <si>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</si>
  <si>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</si>
  <si>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</si>
  <si>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</si>
  <si>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</si>
  <si>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</si>
  <si>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</si>
  <si>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</si>
  <si>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</si>
  <si>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</si>
  <si>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</si>
  <si>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</si>
  <si>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</si>
  <si>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</si>
  <si>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</si>
  <si>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</si>
  <si>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</si>
  <si>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</si>
  <si>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</si>
  <si>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</si>
  <si>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</si>
  <si>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</si>
  <si>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</si>
  <si>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</si>
  <si>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</si>
  <si>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</si>
  <si>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</si>
  <si>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</si>
  <si>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</si>
  <si>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</si>
  <si>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</si>
  <si>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</si>
  <si>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</si>
  <si>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</si>
  <si>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</si>
  <si>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</si>
  <si>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</si>
  <si>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</si>
  <si>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</si>
  <si>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</si>
  <si>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</si>
  <si>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</si>
  <si>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</si>
  <si>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</si>
  <si>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</si>
  <si>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</si>
  <si>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</si>
  <si>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</si>
  <si>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</si>
  <si>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</si>
  <si>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</si>
  <si>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</si>
  <si>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</si>
  <si>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</si>
  <si>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</si>
  <si>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</si>
  <si>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</si>
  <si>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</si>
  <si>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</si>
  <si>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</si>
  <si>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</si>
  <si>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</si>
  <si>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</si>
  <si>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</si>
  <si>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</si>
  <si>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</si>
  <si>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</si>
  <si>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</si>
  <si>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</si>
  <si>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</si>
  <si>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</si>
  <si>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</si>
  <si>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</si>
  <si>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</si>
  <si>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</si>
  <si>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</si>
  <si>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</si>
  <si>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</si>
  <si>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</si>
  <si>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</si>
  <si>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</si>
  <si>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</si>
  <si>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</si>
  <si>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</si>
  <si>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</si>
  <si>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</si>
  <si>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</si>
  <si>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</si>
  <si>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</si>
  <si>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</si>
  <si>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</si>
  <si>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</si>
  <si>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</si>
  <si>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</si>
  <si>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</si>
  <si>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</si>
  <si>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</si>
  <si>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</si>
  <si>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</si>
  <si>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</si>
  <si>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</si>
  <si>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</si>
  <si>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</si>
  <si>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</si>
  <si>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</si>
  <si>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</si>
  <si>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</si>
  <si>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</si>
  <si>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</si>
  <si>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</si>
  <si>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</si>
  <si>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</si>
  <si>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</si>
  <si>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</si>
  <si>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</si>
  <si>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</si>
  <si>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</si>
  <si>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</si>
  <si>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</si>
  <si>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</si>
  <si>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</si>
  <si>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</si>
  <si>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</si>
  <si>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</si>
  <si>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</si>
  <si>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</si>
  <si>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</si>
  <si>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</si>
  <si>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</si>
  <si>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</si>
  <si>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</si>
  <si>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</si>
  <si>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</si>
  <si>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</si>
  <si>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</si>
  <si>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</si>
  <si>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</si>
  <si>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</si>
  <si>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</si>
  <si>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</si>
  <si>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</si>
  <si>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</si>
  <si>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</si>
  <si>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</si>
  <si>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</si>
  <si>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</si>
  <si>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</si>
  <si>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</si>
  <si>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</si>
  <si>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</si>
  <si>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</si>
  <si>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</si>
  <si>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</si>
  <si>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</si>
  <si>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</si>
  <si>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</si>
  <si>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</si>
  <si>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</si>
  <si>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</si>
  <si>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</si>
  <si>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</si>
  <si>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</si>
  <si>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</si>
  <si>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</si>
  <si>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</si>
  <si>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</si>
  <si>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</si>
  <si>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</si>
  <si>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</si>
  <si>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</si>
  <si>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</si>
  <si>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</si>
  <si>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</si>
  <si>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</si>
  <si>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</si>
  <si>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</si>
  <si>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</si>
  <si>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</si>
  <si>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</si>
  <si>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</si>
  <si>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</si>
  <si>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</si>
  <si>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</si>
  <si>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</si>
  <si>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</si>
  <si>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</si>
  <si>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</si>
  <si>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</si>
  <si>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</si>
  <si>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</si>
  <si>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</si>
  <si>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</si>
  <si>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</si>
  <si>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</si>
  <si>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</si>
  <si>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</si>
  <si>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</si>
  <si>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</si>
  <si>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</si>
  <si>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</si>
  <si>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</si>
  <si>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</si>
  <si>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</si>
  <si>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</si>
  <si>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</si>
  <si>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</si>
  <si>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</si>
  <si>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</si>
  <si>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</si>
  <si>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</si>
  <si>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</si>
  <si>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</si>
  <si>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</si>
  <si>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</si>
  <si>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</si>
  <si>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</si>
  <si>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</si>
  <si>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</si>
  <si>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</si>
  <si>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</si>
  <si>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</si>
  <si>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</si>
  <si>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</si>
  <si>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</si>
  <si>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</si>
  <si>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</si>
  <si>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</si>
  <si>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</si>
  <si>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</si>
  <si>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</si>
  <si>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</si>
  <si>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</si>
  <si>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</si>
  <si>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</si>
  <si>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</si>
  <si>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</si>
  <si>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</si>
  <si>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</si>
  <si>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</si>
  <si>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</si>
  <si>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</si>
  <si>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</si>
  <si>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</si>
  <si>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</si>
  <si>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</si>
  <si>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</si>
  <si>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</si>
  <si>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</si>
  <si>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</si>
  <si>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</si>
  <si>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</si>
  <si>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</si>
  <si>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</si>
  <si>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</si>
  <si>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</si>
  <si>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</si>
  <si>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</si>
  <si>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</si>
  <si>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</si>
  <si>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</si>
  <si>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</si>
  <si>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</si>
  <si>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</si>
  <si>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</si>
  <si>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</si>
  <si>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</si>
  <si>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</si>
  <si>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</si>
  <si>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</si>
  <si>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</si>
  <si>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</si>
  <si>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</si>
  <si>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</si>
  <si>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</si>
  <si>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</si>
  <si>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</si>
  <si>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</si>
  <si>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</si>
  <si>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</si>
  <si>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</si>
  <si>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</si>
  <si>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</si>
  <si>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</si>
  <si>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</si>
  <si>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</si>
  <si>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</si>
  <si>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</si>
  <si>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</si>
  <si>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</si>
  <si>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</si>
  <si>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</si>
  <si>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</si>
  <si>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</si>
  <si>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</si>
  <si>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</si>
  <si>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</si>
  <si>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</si>
  <si>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</si>
  <si>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</si>
  <si>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</si>
  <si>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</si>
  <si>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</si>
  <si>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</si>
  <si>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</si>
  <si>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</si>
  <si>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</si>
  <si>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</si>
  <si>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</si>
  <si>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</si>
  <si>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</si>
  <si>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</si>
  <si>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</si>
  <si>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</si>
  <si>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</si>
  <si>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</si>
  <si>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</si>
  <si>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</si>
  <si>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</si>
  <si>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</si>
  <si>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</si>
  <si>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</si>
  <si>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</si>
  <si>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</si>
  <si>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</si>
  <si>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</si>
  <si>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</si>
  <si>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</si>
  <si>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</si>
  <si>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</si>
  <si>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</si>
  <si>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</si>
  <si>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</si>
  <si>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</si>
  <si>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</si>
  <si>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</si>
  <si>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</si>
  <si>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</si>
  <si>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</si>
  <si>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</si>
  <si>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</si>
  <si>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</si>
  <si>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</si>
  <si>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</si>
  <si>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</si>
  <si>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</si>
  <si>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</si>
  <si>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</si>
  <si>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</si>
  <si>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</si>
  <si>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</si>
  <si>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</si>
  <si>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</si>
  <si>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</si>
  <si>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</si>
  <si>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</si>
  <si>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</si>
  <si>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</si>
  <si>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</si>
  <si>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</si>
  <si>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</si>
  <si>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</si>
  <si>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</si>
  <si>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</si>
  <si>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</si>
  <si>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</si>
  <si>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</si>
  <si>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</si>
  <si>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</si>
  <si>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</si>
  <si>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</si>
  <si>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</si>
  <si>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</si>
  <si>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</si>
  <si>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</si>
  <si>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</si>
  <si>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</si>
  <si>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</si>
  <si>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</si>
  <si>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</si>
  <si>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</si>
  <si>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</si>
  <si>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</si>
  <si>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</si>
  <si>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</si>
  <si>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</si>
  <si>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</si>
  <si>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</si>
  <si>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</si>
  <si>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</si>
  <si>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</si>
  <si>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</si>
  <si>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</si>
  <si>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</si>
  <si>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</si>
  <si>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</si>
  <si>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</si>
  <si>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</si>
  <si>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</si>
  <si>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</si>
  <si>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</si>
  <si>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</si>
  <si>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</si>
  <si>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</si>
  <si>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</si>
  <si>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</si>
  <si>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</si>
  <si>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</si>
  <si>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</si>
  <si>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</si>
  <si>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</si>
  <si>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</si>
  <si>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</si>
  <si>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</si>
  <si>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</si>
  <si>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</si>
  <si>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</si>
  <si>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</si>
  <si>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</si>
  <si>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</si>
  <si>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</si>
  <si>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</si>
  <si>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</si>
  <si>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</si>
  <si>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</si>
  <si>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</si>
  <si>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</si>
  <si>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</si>
  <si>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</si>
  <si>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</si>
  <si>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</si>
  <si>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</si>
  <si>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</si>
  <si>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</si>
  <si>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</si>
  <si>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</si>
  <si>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</si>
  <si>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</si>
  <si>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</si>
  <si>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</si>
  <si>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</si>
  <si>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</si>
  <si>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</si>
  <si>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</si>
  <si>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</si>
  <si>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</si>
  <si>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</si>
  <si>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</si>
  <si>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</si>
  <si>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</si>
  <si>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</si>
  <si>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</si>
  <si>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</si>
  <si>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</si>
  <si>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</si>
  <si>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</si>
  <si>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</si>
  <si>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</si>
  <si>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</si>
  <si>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</si>
  <si>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</si>
  <si>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</si>
  <si>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</si>
  <si>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</si>
  <si>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</si>
  <si>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</si>
  <si>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</si>
  <si>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</si>
  <si>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</si>
  <si>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</si>
  <si>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</si>
  <si>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</si>
  <si>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</si>
  <si>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</si>
  <si>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</si>
  <si>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</si>
  <si>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</si>
  <si>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</si>
  <si>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</si>
  <si>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</si>
  <si>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</si>
  <si>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</si>
  <si>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</si>
  <si>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</si>
  <si>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</si>
  <si>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</si>
  <si>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</si>
  <si>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</si>
  <si>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</si>
  <si>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</si>
  <si>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</si>
  <si>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</si>
  <si>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</si>
  <si>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</si>
  <si>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</si>
  <si>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</si>
  <si>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</si>
  <si>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</si>
  <si>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</si>
  <si>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</si>
  <si>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</si>
  <si>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</si>
  <si>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</si>
  <si>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</si>
  <si>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</si>
  <si>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</si>
  <si>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</si>
  <si>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</si>
  <si>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</si>
  <si>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</si>
  <si>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</si>
  <si>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</si>
  <si>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</si>
  <si>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</si>
  <si>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</si>
  <si>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</si>
  <si>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</si>
  <si>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</si>
  <si>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</si>
  <si>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</si>
  <si>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</si>
  <si>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</si>
  <si>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</si>
  <si>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</si>
  <si>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</si>
  <si>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</si>
  <si>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</si>
  <si>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</si>
  <si>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</si>
  <si>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</si>
  <si>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</si>
  <si>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</si>
  <si>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</si>
  <si>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</si>
  <si>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</si>
  <si>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</si>
  <si>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</si>
  <si>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</si>
  <si>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</si>
  <si>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</si>
  <si>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</si>
  <si>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</si>
  <si>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</si>
  <si>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</si>
  <si>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</si>
  <si>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</si>
  <si>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</si>
  <si>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</si>
  <si>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</si>
  <si>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</si>
  <si>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</si>
  <si>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</si>
  <si>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</si>
  <si>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</si>
  <si>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</si>
  <si>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</si>
  <si>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</si>
  <si>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</si>
  <si>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</si>
  <si>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</si>
  <si>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</si>
  <si>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</si>
  <si>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</si>
  <si>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</si>
  <si>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</si>
  <si>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</si>
  <si>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</si>
  <si>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</si>
  <si>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</si>
  <si>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</si>
  <si>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</si>
  <si>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</si>
  <si>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</si>
  <si>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</si>
  <si>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</si>
  <si>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</si>
  <si>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</si>
  <si>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</si>
  <si>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</si>
  <si>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</si>
  <si>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</si>
  <si>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</si>
  <si>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</si>
  <si>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</si>
  <si>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</si>
  <si>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</si>
  <si>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</si>
  <si>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</si>
  <si>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</si>
  <si>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</si>
  <si>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</si>
  <si>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</si>
  <si>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</si>
  <si>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</si>
  <si>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</si>
  <si>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</si>
  <si>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</si>
  <si>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</si>
  <si>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</si>
  <si>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</si>
  <si>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</si>
  <si>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</si>
  <si>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</si>
  <si>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</si>
  <si>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</si>
  <si>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</si>
  <si>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</si>
  <si>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</si>
  <si>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</si>
  <si>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</si>
  <si>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</si>
  <si>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</si>
  <si>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</si>
  <si>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</si>
  <si>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</si>
  <si>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</si>
  <si>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</si>
  <si>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</si>
  <si>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</si>
  <si>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</si>
  <si>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</si>
  <si>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</si>
  <si>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</si>
  <si>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</si>
  <si>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</si>
  <si>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</si>
  <si>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</si>
  <si>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</si>
  <si>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</si>
  <si>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</si>
  <si>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</si>
  <si>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</si>
  <si>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</si>
  <si>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</si>
  <si>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</si>
  <si>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</si>
  <si>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</si>
  <si>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</si>
  <si>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</si>
  <si>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KONSTANTINOS KRANIOTIS</t>
  </si>
  <si>
    <t>ANASTASIOS KARIOFYLIS</t>
  </si>
  <si>
    <t>ATHINA KAROUMPALOU</t>
  </si>
  <si>
    <t>SPYRIDOULA KOURTI</t>
  </si>
  <si>
    <t>VASILEIOS KARAGKIOULES</t>
  </si>
  <si>
    <t>ORIOL GARCIA</t>
  </si>
  <si>
    <t>08:52</t>
  </si>
  <si>
    <t>01:16</t>
  </si>
  <si>
    <t>06:03</t>
  </si>
  <si>
    <t>09:23</t>
  </si>
  <si>
    <t>08:18</t>
  </si>
  <si>
    <t>06:57</t>
  </si>
  <si>
    <t>Very good procedures and communication. Good general criteria, difficult AS corrected.</t>
  </si>
  <si>
    <t>C:\Users\oriol.garcia\OneDrive - EUROLEAGUE\Documents\Season 25-26\Reports\Euroleague\Olympiacos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</si>
</sst>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42" sqref="N42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28_272_OLY_RED_E2025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763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272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46065.885416666664</v>
      </c>
      <c r="C3" s="157"/>
      <c r="D3" s="39">
        <v>568</v>
      </c>
      <c r="E3" s="29"/>
      <c r="F3" s="26">
        <f>SUBTOTAL(3,I17:I106)</f>
        <v>6</v>
      </c>
      <c r="G3" s="27">
        <f>IF(OR(D3="",D3=0),"",F3/D3)</f>
        <v>1.0563380281690141E-2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Olympiacos Piraeus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OLY</v>
      </c>
      <c r="I4" s="5"/>
      <c r="J4" s="119" t="s">
        <v>714</v>
      </c>
      <c r="K4" s="54" t="s">
        <v>743</v>
      </c>
      <c r="L4" s="5"/>
      <c r="M4" s="167" t="s">
        <v>762</v>
      </c>
      <c r="N4" s="168"/>
      <c r="O4" s="2"/>
      <c r="P4" s="2"/>
      <c r="Q4" s="84" t="s">
        <v>175</v>
      </c>
      <c r="R4" s="94">
        <f>(IF(G3="",0,G3))</f>
        <v>1.0563380281690141E-2</v>
      </c>
      <c r="S4" s="61">
        <f>SUM(I13:M13)</f>
        <v>0</v>
      </c>
      <c r="T4" s="78"/>
      <c r="U4" s="61">
        <f>AC18</f>
        <v>3</v>
      </c>
      <c r="V4" s="61">
        <f>+AC22</f>
        <v>2</v>
      </c>
      <c r="W4" s="61">
        <f>AC24</f>
        <v>0</v>
      </c>
      <c r="X4" s="61">
        <f>AC29</f>
        <v>1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Crvena Zvezda Meridianbet Belgrade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RED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1.056338028169014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2</v>
      </c>
      <c r="W5" s="70">
        <f t="shared" si="1"/>
        <v>0</v>
      </c>
      <c r="X5" s="70">
        <f t="shared" si="1"/>
        <v>1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5.556338028169014</v>
      </c>
      <c r="N7" s="58"/>
      <c r="O7" s="2"/>
      <c r="P7" s="2"/>
      <c r="Q7" s="86">
        <f>SUM(R5,S5,AC16)</f>
        <v>5.556338028169014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5.556338028169014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734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272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755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6</v>
      </c>
      <c r="J15" s="24">
        <f>SUBTOTAL(3,J17:J106)</f>
        <v>6</v>
      </c>
      <c r="K15" s="24">
        <f>SUBTOTAL(3,K17:K106)</f>
        <v>6</v>
      </c>
      <c r="L15" s="24">
        <f>SUBTOTAL(3,L17:L106)</f>
        <v>6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6</v>
      </c>
      <c r="Z16" s="90" t="s">
        <v>110</v>
      </c>
      <c r="AA16" s="75">
        <f>SUM(AA17:AA24)</f>
        <v>6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4.5</v>
      </c>
      <c r="AD16" s="75">
        <f>SUM(AD17:AD24)</f>
        <v>45</v>
      </c>
      <c r="AE16" s="76" t="s">
        <v>42</v>
      </c>
      <c r="AF16" s="75">
        <f>SUM(AF17:AF24)</f>
        <v>4</v>
      </c>
      <c r="AG16" s="75">
        <f>SUM(AG17:AG21)</f>
        <v>6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272</v>
      </c>
      <c r="D17" s="32" t="s">
        <v>756</v>
      </c>
      <c r="E17" s="33">
        <v>1</v>
      </c>
      <c r="F17" s="36">
        <v>2</v>
      </c>
      <c r="G17" s="36">
        <v>2</v>
      </c>
      <c r="H17" s="38" t="str">
        <f>IF(I17="","",$I$14)</f>
        <v>SCOUTING</v>
      </c>
      <c r="I17" s="34">
        <v>13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6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1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272</v>
      </c>
      <c r="D18" s="32" t="s">
        <v>757</v>
      </c>
      <c r="E18" s="33">
        <v>1</v>
      </c>
      <c r="F18" s="36">
        <v>21</v>
      </c>
      <c r="G18" s="36">
        <v>16</v>
      </c>
      <c r="H18" s="38" t="str">
        <f t="shared" ref="H18:H81" si="8">IF(I18="","",$I$14)</f>
        <v>SCOUTING</v>
      </c>
      <c r="I18" s="34">
        <v>106</v>
      </c>
      <c r="J18" s="13" t="s">
        <v>4</v>
      </c>
      <c r="K18" s="13" t="s">
        <v>62</v>
      </c>
      <c r="L18" s="13" t="s">
        <v>6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272</v>
      </c>
      <c r="D19" s="32" t="s">
        <v>758</v>
      </c>
      <c r="E19" s="33">
        <v>2</v>
      </c>
      <c r="F19" s="36">
        <v>38</v>
      </c>
      <c r="G19" s="36">
        <v>26</v>
      </c>
      <c r="H19" s="38" t="str">
        <f t="shared" si="8"/>
        <v>SCOUTING</v>
      </c>
      <c r="I19" s="34">
        <v>170</v>
      </c>
      <c r="J19" s="13" t="s">
        <v>4</v>
      </c>
      <c r="K19" s="13" t="s">
        <v>61</v>
      </c>
      <c r="L19" s="13" t="s">
        <v>75</v>
      </c>
      <c r="M19" s="13" t="s">
        <v>34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3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272</v>
      </c>
      <c r="D20" s="32" t="s">
        <v>759</v>
      </c>
      <c r="E20" s="33">
        <v>3</v>
      </c>
      <c r="F20" s="36">
        <v>49</v>
      </c>
      <c r="G20" s="36">
        <v>45</v>
      </c>
      <c r="H20" s="38" t="str">
        <f t="shared" si="8"/>
        <v>SCOUTING</v>
      </c>
      <c r="I20" s="34">
        <v>278</v>
      </c>
      <c r="J20" s="13" t="s">
        <v>4</v>
      </c>
      <c r="K20" s="13" t="s">
        <v>63</v>
      </c>
      <c r="L20" s="13" t="s">
        <v>6</v>
      </c>
      <c r="M20" s="13" t="s">
        <v>168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272</v>
      </c>
      <c r="D21" s="32" t="s">
        <v>760</v>
      </c>
      <c r="E21" s="33">
        <v>3</v>
      </c>
      <c r="F21" s="36">
        <v>75</v>
      </c>
      <c r="G21" s="36">
        <v>70</v>
      </c>
      <c r="H21" s="38" t="str">
        <f t="shared" si="8"/>
        <v>SCOUTING</v>
      </c>
      <c r="I21" s="34">
        <v>421</v>
      </c>
      <c r="J21" s="13" t="s">
        <v>4</v>
      </c>
      <c r="K21" s="13" t="s">
        <v>63</v>
      </c>
      <c r="L21" s="13" t="s">
        <v>5</v>
      </c>
      <c r="M21" s="13" t="s">
        <v>28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272</v>
      </c>
      <c r="D22" s="32" t="s">
        <v>761</v>
      </c>
      <c r="E22" s="33">
        <v>3</v>
      </c>
      <c r="F22" s="36">
        <v>79</v>
      </c>
      <c r="G22" s="36">
        <v>70</v>
      </c>
      <c r="H22" s="38" t="str">
        <f t="shared" si="8"/>
        <v>SCOUTING</v>
      </c>
      <c r="I22" s="34">
        <v>445</v>
      </c>
      <c r="J22" s="13" t="s">
        <v>4</v>
      </c>
      <c r="K22" s="13" t="s">
        <v>62</v>
      </c>
      <c r="L22" s="13" t="s">
        <v>5</v>
      </c>
      <c r="M22" s="13" t="s">
        <v>11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1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1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REPORT_E2025272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"E2025272"</v>
      </c>
      <c r="F3" s="45" t="str">
        <f t="shared" ref="F3:F16" si="0">""""&amp;B3&amp;"""" &amp; " : " &amp;C3&amp;","</f>
        <v>"name" : "E2025272",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"E272"</v>
      </c>
      <c r="F4" s="45" t="str">
        <f t="shared" si="0"/>
        <v>"cod" : "E272",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272</v>
      </c>
      <c r="F6" s="45" t="str">
        <f t="shared" si="0"/>
        <v>"number" : 272,</v>
      </c>
    </row>
    <row r="7" spans="2:6" x14ac:dyDescent="0.25">
      <c r="B7" s="43" t="s">
        <v>116</v>
      </c>
      <c r="C7" s="43" t="str">
        <f ca="1">""""&amp;TEXT('SCOUT &amp; LOGISTICS'!B3,"dd/mm/aaaa")&amp;""""</f>
        <v>"12/02/Thursday"</v>
      </c>
      <c r="F7" s="45" t="str">
        <f t="shared" ca="1" si="0"/>
        <v>"date" : "12/02/Thursday",</v>
      </c>
    </row>
    <row r="8" spans="2:6" x14ac:dyDescent="0.25">
      <c r="B8" s="43" t="s">
        <v>125</v>
      </c>
      <c r="C8" s="43" t="str">
        <f>""""&amp;'SCOUT &amp; LOGISTICS'!D4 &amp;""""</f>
        <v>"Olympiacos Piraeus"</v>
      </c>
      <c r="F8" s="45" t="str">
        <f t="shared" si="0"/>
        <v>"home_team" : "Olympiacos Piraeus",</v>
      </c>
    </row>
    <row r="9" spans="2:6" x14ac:dyDescent="0.25">
      <c r="B9" s="43" t="s">
        <v>126</v>
      </c>
      <c r="C9" s="43" t="str">
        <f>""""&amp;'SCOUT &amp; LOGISTICS'!D5&amp;""""</f>
        <v>"Crvena Zvezda Meridianbet Belgrade"</v>
      </c>
      <c r="F9" s="45" t="str">
        <f t="shared" si="0"/>
        <v>"away_team" : "Crvena Zvezda Meridianbet Belgrade",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"KONSTANTINOS KRANIOTIS"</v>
      </c>
      <c r="F10" s="45" t="str">
        <f t="shared" si="0"/>
        <v>"Data_entry" : "KONSTANTINOS KRANIOTIS",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"ANASTASIOS KARIOFYLIS"</v>
      </c>
      <c r="F11" s="45" t="str">
        <f t="shared" si="0"/>
        <v>"Caller_1" : "ANASTASIOS KARIOFYLIS",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"ATHINA KAROUMPALOU"</v>
      </c>
      <c r="F12" s="45" t="str">
        <f t="shared" si="0"/>
        <v>"Caller_2" : "ATHINA KAROUMPALOU",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"SPYRIDOULA KOURTI"</v>
      </c>
      <c r="F13" s="45" t="str">
        <f t="shared" si="0"/>
        <v>"Timerkeeper" : "SPYRIDOULA KOURTI",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"VASILEIOS KARAGKIOULES"</v>
      </c>
      <c r="F14" s="45" t="str">
        <f t="shared" si="0"/>
        <v>"Shotclock" : "VASILEIOS KARAGKIOULES",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"KONSTANTINOS TROUPIS"</v>
      </c>
      <c r="F15" s="45" t="str">
        <f t="shared" si="0"/>
        <v>"IRS" : "KONSTANTINOS TROUPIS",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"ORIOL GARCIA"</v>
      </c>
      <c r="F16" s="45" t="str">
        <f t="shared" si="0"/>
        <v>"Live_Game_Manager" : "ORIOL GARCIA",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568</v>
      </c>
      <c r="F25" s="45" t="str">
        <f t="shared" ref="F25:F48" si="1">""""&amp;C25&amp;"""" &amp; " : " &amp;D25&amp;","</f>
        <v>"total_actions" : 568,</v>
      </c>
    </row>
    <row r="26" spans="2:6" x14ac:dyDescent="0.25">
      <c r="C26" s="43" t="s">
        <v>132</v>
      </c>
      <c r="D26" s="43">
        <f>'SCOUT &amp; LOGISTICS'!F3</f>
        <v>6</v>
      </c>
      <c r="F26" s="45" t="str">
        <f t="shared" si="1"/>
        <v>"total_correcions" : 6,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3</v>
      </c>
      <c r="F33" s="45" t="str">
        <f t="shared" si="1"/>
        <v>"q3" : 3,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6</v>
      </c>
      <c r="F37" s="45" t="str">
        <f t="shared" si="1"/>
        <v>"scoresheet_corrections" : 6,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procedures and communication. Good general criteria, difficult AS corrected."</v>
      </c>
      <c r="F51" s="45" t="str">
        <f>""""&amp;B51&amp;"""" &amp; " : " &amp;C51&amp;","</f>
        <v>"comments" : "Very good procedures and communication. Good general criteria, difficult AS corrected.",</v>
      </c>
    </row>
    <row r="52" spans="2:6" x14ac:dyDescent="0.25">
      <c r="B52" s="43" t="s">
        <v>153</v>
      </c>
      <c r="C52" s="43" t="str">
        <f>TEXT('SCOUT &amp; LOGISTICS'!F1,"0,0")</f>
        <v>28_272_OLY_RED_E2025</v>
      </c>
      <c r="F52" s="45" t="str">
        <f>""""&amp;B52&amp;"""" &amp; " : " &amp;C52</f>
        <v>"result" : 28_272_OLY_RED_E2025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E272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12/02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Olympiacos Piraeus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Crvena Zvezda Meridianbet Belgrade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KONSTANTINOS KRANIOTIS</v>
      </c>
      <c r="C8" s="206"/>
      <c r="D8" s="206"/>
      <c r="E8" s="206"/>
      <c r="F8" s="206"/>
      <c r="G8" s="206" t="str">
        <f>IF('SCOUT &amp; LOGISTICS'!D7="","",'SCOUT &amp; LOGISTICS'!D7)</f>
        <v>ANASTASIOS KARIOFYLIS</v>
      </c>
      <c r="H8" s="206"/>
      <c r="I8" s="206"/>
      <c r="J8" s="206"/>
      <c r="K8" s="206"/>
      <c r="L8" s="206" t="str">
        <f>IF('SCOUT &amp; LOGISTICS'!D8="","",'SCOUT &amp; LOGISTICS'!D8)</f>
        <v>ATHINA KAROUMPALOU</v>
      </c>
      <c r="M8" s="206"/>
      <c r="N8" s="206"/>
      <c r="O8" s="206"/>
      <c r="P8" s="206"/>
      <c r="Q8" s="206" t="str">
        <f>IF('SCOUT &amp; LOGISTICS'!D9="","",'SCOUT &amp; LOGISTICS'!D9)</f>
        <v>SPYRIDOULA KOURTI</v>
      </c>
      <c r="R8" s="206"/>
      <c r="S8" s="206"/>
      <c r="T8" s="206"/>
      <c r="U8" s="206"/>
      <c r="V8" s="206" t="str">
        <f>IF('SCOUT &amp; LOGISTICS'!D10="","",'SCOUT &amp; LOGISTICS'!D10)</f>
        <v>VASILEIOS KARAGKIOULES</v>
      </c>
      <c r="W8" s="206"/>
      <c r="X8" s="206"/>
      <c r="Y8" s="206"/>
      <c r="Z8" s="206"/>
      <c r="AA8" s="206" t="str">
        <f>IF('SCOUT &amp; LOGISTICS'!D11="","",'SCOUT &amp; LOGISTICS'!D11)</f>
        <v>KONSTANTINOS TROUPIS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ORIOL GARCIA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568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6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1.0563380281690141E-2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1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3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6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2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1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procedures and communication. Good general criteria, difficult AS corrected.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5.556338028169014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1E83D82-EBE0-448E-A706-888CFF4DCA6C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2025-10-09T17:11:09Z</cp:lastPrinted>
  <dcterms:created xsi:type="dcterms:W3CDTF">2023-09-19T19:50:35Z</dcterms:created>
  <dcterms:modified xsi:type="dcterms:W3CDTF">2026-02-16T09:29:21Z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