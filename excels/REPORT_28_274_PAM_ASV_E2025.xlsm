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687282CA-8076-4A3D-B722-6A400A675FED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<sst xmlns="http://schemas.openxmlformats.org/spreadsheetml/2006/main" count="3283" uniqueCount="768">
  <si>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</si>
  <si>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</si>
  <si>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</si>
  <si>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</si>
  <si>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</si>
  <si>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</si>
  <si>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</si>
  <si>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</si>
  <si>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</si>
  <si>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</si>
  <si>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</si>
  <si>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</si>
  <si>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</si>
  <si>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</si>
  <si>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</si>
  <si>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</si>
  <si>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</si>
  <si>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</si>
  <si>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</si>
  <si>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</si>
  <si>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</si>
  <si>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</si>
  <si>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</si>
  <si>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</si>
  <si>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</si>
  <si>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</si>
  <si>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</si>
  <si>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</si>
  <si>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</si>
  <si>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</si>
  <si>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</si>
  <si>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</si>
  <si>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</si>
  <si>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</si>
  <si>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</si>
  <si>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</si>
  <si>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</si>
  <si>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</si>
  <si>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</si>
  <si>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</si>
  <si>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</si>
  <si>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</si>
  <si>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</si>
  <si>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</si>
  <si>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</si>
  <si>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</si>
  <si>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</si>
  <si>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</si>
  <si>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</si>
  <si>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</si>
  <si>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</si>
  <si>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</si>
  <si>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</si>
  <si>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</si>
  <si>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</si>
  <si>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</si>
  <si>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</si>
  <si>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</si>
  <si>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</si>
  <si>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</si>
  <si>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</si>
  <si>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</si>
  <si>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</si>
  <si>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</si>
  <si>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</si>
  <si>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</si>
  <si>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</si>
  <si>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</si>
  <si>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</si>
  <si>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</si>
  <si>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</si>
  <si>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</si>
  <si>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</si>
  <si>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</si>
  <si>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</si>
  <si>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</si>
  <si>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</si>
  <si>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</si>
  <si>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</si>
  <si>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</si>
  <si>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</si>
  <si>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</si>
  <si>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</si>
  <si>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</si>
  <si>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</si>
  <si>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</si>
  <si>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</si>
  <si>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</si>
  <si>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</si>
  <si>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</si>
  <si>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</si>
  <si>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</si>
  <si>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</si>
  <si>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</si>
  <si>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</si>
  <si>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</si>
  <si>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</si>
  <si>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</si>
  <si>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</si>
  <si>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</si>
  <si>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</si>
  <si>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</si>
  <si>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</si>
  <si>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</si>
  <si>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</si>
  <si>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</si>
  <si>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</si>
  <si>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</si>
  <si>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</si>
  <si>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</si>
  <si>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</si>
  <si>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</si>
  <si>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</si>
  <si>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</si>
  <si>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</si>
  <si>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</si>
  <si>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</si>
  <si>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</si>
  <si>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</si>
  <si>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</si>
  <si>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</si>
  <si>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</si>
  <si>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</si>
  <si>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</si>
  <si>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</si>
  <si>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</si>
  <si>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</si>
  <si>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</si>
  <si>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</si>
  <si>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</si>
  <si>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</si>
  <si>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</si>
  <si>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</si>
  <si>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</si>
  <si>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</si>
  <si>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</si>
  <si>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</si>
  <si>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</si>
  <si>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</si>
  <si>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</si>
  <si>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</si>
  <si>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</si>
  <si>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</si>
  <si>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</si>
  <si>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</si>
  <si>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</si>
  <si>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</si>
  <si>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</si>
  <si>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</si>
  <si>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</si>
  <si>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</si>
  <si>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</si>
  <si>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</si>
  <si>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</si>
  <si>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</si>
  <si>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</si>
  <si>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</si>
  <si>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</si>
  <si>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</si>
  <si>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</si>
  <si>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</si>
  <si>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</si>
  <si>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</si>
  <si>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</si>
  <si>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</si>
  <si>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</si>
  <si>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</si>
  <si>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</si>
  <si>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</si>
  <si>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</si>
  <si>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</si>
  <si>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</si>
  <si>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</si>
  <si>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</si>
  <si>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</si>
  <si>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</si>
  <si>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</si>
  <si>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</si>
  <si>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</si>
  <si>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</si>
  <si>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</si>
  <si>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</si>
  <si>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</si>
  <si>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</si>
  <si>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</si>
  <si>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</si>
  <si>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</si>
  <si>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</si>
  <si>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</si>
  <si>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</si>
  <si>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</si>
  <si>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</si>
  <si>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</si>
  <si>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</si>
  <si>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</si>
  <si>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</si>
  <si>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</si>
  <si>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</si>
  <si>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</si>
  <si>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</si>
  <si>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</si>
  <si>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</si>
  <si>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</si>
  <si>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</si>
  <si>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</si>
  <si>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</si>
  <si>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</si>
  <si>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</si>
  <si>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</si>
  <si>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</si>
  <si>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</si>
  <si>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</si>
  <si>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</si>
  <si>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</si>
  <si>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</si>
  <si>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</si>
  <si>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</si>
  <si>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</si>
  <si>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</si>
  <si>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</si>
  <si>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</si>
  <si>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</si>
  <si>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</si>
  <si>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</si>
  <si>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</si>
  <si>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</si>
  <si>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</si>
  <si>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</si>
  <si>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</si>
  <si>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</si>
  <si>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</si>
  <si>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</si>
  <si>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</si>
  <si>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</si>
  <si>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</si>
  <si>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</si>
  <si>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</si>
  <si>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</si>
  <si>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</si>
  <si>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</si>
  <si>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</si>
  <si>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</si>
  <si>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</si>
  <si>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</si>
  <si>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</si>
  <si>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</si>
  <si>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</si>
  <si>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</si>
  <si>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</si>
  <si>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</si>
  <si>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</si>
  <si>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</si>
  <si>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</si>
  <si>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</si>
  <si>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</si>
  <si>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</si>
  <si>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</si>
  <si>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</si>
  <si>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</si>
  <si>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</si>
  <si>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</si>
  <si>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</si>
  <si>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</si>
  <si>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</si>
  <si>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</si>
  <si>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</si>
  <si>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</si>
  <si>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</si>
  <si>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</si>
  <si>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</si>
  <si>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</si>
  <si>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</si>
  <si>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</si>
  <si>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</si>
  <si>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</si>
  <si>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</si>
  <si>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</si>
  <si>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</si>
  <si>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</si>
  <si>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</si>
  <si>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</si>
  <si>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</si>
  <si>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</si>
  <si>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</si>
  <si>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</si>
  <si>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</si>
  <si>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</si>
  <si>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</si>
  <si>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</si>
  <si>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</si>
  <si>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</si>
  <si>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</si>
  <si>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</si>
  <si>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</si>
  <si>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</si>
  <si>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</si>
  <si>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</si>
  <si>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</si>
  <si>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</si>
  <si>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</si>
  <si>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</si>
  <si>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</si>
  <si>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</si>
  <si>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</si>
  <si>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</si>
  <si>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</si>
  <si>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</si>
  <si>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</si>
  <si>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</si>
  <si>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</si>
  <si>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</si>
  <si>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</si>
  <si>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</si>
  <si>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</si>
  <si>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</si>
  <si>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</si>
  <si>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</si>
  <si>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</si>
  <si>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</si>
  <si>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</si>
  <si>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</si>
  <si>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</si>
  <si>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</si>
  <si>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</si>
  <si>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</si>
  <si>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</si>
  <si>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</si>
  <si>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</si>
  <si>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</si>
  <si>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</si>
  <si>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</si>
  <si>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</si>
  <si>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</si>
  <si>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</si>
  <si>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</si>
  <si>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</si>
  <si>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</si>
  <si>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</si>
  <si>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</si>
  <si>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</si>
  <si>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</si>
  <si>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</si>
  <si>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</si>
  <si>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</si>
  <si>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</si>
  <si>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</si>
  <si>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</si>
  <si>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</si>
  <si>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</si>
  <si>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</si>
  <si>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</si>
  <si>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</si>
  <si>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</si>
  <si>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</si>
  <si>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</si>
  <si>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</si>
  <si>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</si>
  <si>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</si>
  <si>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</si>
  <si>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</si>
  <si>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</si>
  <si>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</si>
  <si>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</si>
  <si>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</si>
  <si>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</si>
  <si>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</si>
  <si>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</si>
  <si>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</si>
  <si>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</si>
  <si>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</si>
  <si>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</si>
  <si>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</si>
  <si>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</si>
  <si>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</si>
  <si>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</si>
  <si>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</si>
  <si>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</si>
  <si>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</si>
  <si>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</si>
  <si>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</si>
  <si>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</si>
  <si>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</si>
  <si>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</si>
  <si>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</si>
  <si>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</si>
  <si>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</si>
  <si>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</si>
  <si>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</si>
  <si>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</si>
  <si>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</si>
  <si>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</si>
  <si>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</si>
  <si>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</si>
  <si>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</si>
  <si>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</si>
  <si>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</si>
  <si>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</si>
  <si>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</si>
  <si>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</si>
  <si>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</si>
  <si>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</si>
  <si>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</si>
  <si>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</si>
  <si>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</si>
  <si>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</si>
  <si>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</si>
  <si>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</si>
  <si>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</si>
  <si>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</si>
  <si>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</si>
  <si>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</si>
  <si>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</si>
  <si>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</si>
  <si>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</si>
  <si>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</si>
  <si>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</si>
  <si>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</si>
  <si>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</si>
  <si>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</si>
  <si>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</si>
  <si>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</si>
  <si>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</si>
  <si>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</si>
  <si>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</si>
  <si>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</si>
  <si>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</si>
  <si>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</si>
  <si>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</si>
  <si>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</si>
  <si>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</si>
  <si>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</si>
  <si>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</si>
  <si>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</si>
  <si>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</si>
  <si>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</si>
  <si>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</si>
  <si>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</si>
  <si>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</si>
  <si>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</si>
  <si>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</si>
  <si>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</si>
  <si>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</si>
  <si>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</si>
  <si>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</si>
  <si>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</si>
  <si>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</si>
  <si>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</si>
  <si>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</si>
  <si>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</si>
  <si>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</si>
  <si>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</si>
  <si>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</si>
  <si>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</si>
  <si>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</si>
  <si>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</si>
  <si>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</si>
  <si>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</si>
  <si>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</si>
  <si>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</si>
  <si>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</si>
  <si>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</si>
  <si>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</si>
  <si>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</si>
  <si>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</si>
  <si>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</si>
  <si>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</si>
  <si>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</si>
  <si>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</si>
  <si>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</si>
  <si>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</si>
  <si>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</si>
  <si>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</si>
  <si>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</si>
  <si>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</si>
  <si>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</si>
  <si>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</si>
  <si>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</si>
  <si>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</si>
  <si>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</si>
  <si>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</si>
  <si>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</si>
  <si>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</si>
  <si>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</si>
  <si>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</si>
  <si>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</si>
  <si>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</si>
  <si>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</si>
  <si>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</si>
  <si>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</si>
  <si>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</si>
  <si>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</si>
  <si>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</si>
  <si>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</si>
  <si>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</si>
  <si>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</si>
  <si>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</si>
  <si>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</si>
  <si>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</si>
  <si>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</si>
  <si>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</si>
  <si>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</si>
  <si>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</si>
  <si>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</si>
  <si>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</si>
  <si>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</si>
  <si>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</si>
  <si>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</si>
  <si>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</si>
  <si>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</si>
  <si>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</si>
  <si>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</si>
  <si>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</si>
  <si>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</si>
  <si>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</si>
  <si>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</si>
  <si>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</si>
  <si>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</si>
  <si>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</si>
  <si>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</si>
  <si>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</si>
  <si>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</si>
  <si>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</si>
  <si>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</si>
  <si>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</si>
  <si>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</si>
  <si>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</si>
  <si>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</si>
  <si>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</si>
  <si>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</si>
  <si>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</si>
  <si>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</si>
  <si>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</si>
  <si>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</si>
  <si>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</si>
  <si>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</si>
  <si>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</si>
  <si>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</si>
  <si>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</si>
  <si>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</si>
  <si>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</si>
  <si>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</si>
  <si>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</si>
  <si>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</si>
  <si>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</si>
  <si>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</si>
  <si>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</si>
  <si>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</si>
  <si>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</si>
  <si>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</si>
  <si>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</si>
  <si>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</si>
  <si>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</si>
  <si>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</si>
  <si>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</si>
  <si>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</si>
  <si>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</si>
  <si>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</si>
  <si>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</si>
  <si>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</si>
  <si>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</si>
  <si>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</si>
  <si>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</si>
  <si>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</si>
  <si>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</si>
  <si>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</si>
  <si>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</si>
  <si>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</si>
  <si>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</si>
  <si>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</si>
  <si>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</si>
  <si>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</si>
  <si>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</si>
  <si>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</si>
  <si>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</si>
  <si>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</si>
  <si>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</si>
  <si>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</si>
  <si>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</si>
  <si>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</si>
  <si>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</si>
  <si>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</si>
  <si>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</si>
  <si>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</si>
  <si>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</si>
  <si>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</si>
  <si>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</si>
  <si>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</si>
  <si>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</si>
  <si>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</si>
  <si>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</si>
  <si>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</si>
  <si>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</si>
  <si>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</si>
  <si>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</si>
  <si>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</si>
  <si>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</si>
  <si>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</si>
  <si>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</si>
  <si>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</si>
  <si>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</si>
  <si>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</si>
  <si>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</si>
  <si>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</si>
  <si>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</si>
  <si>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</si>
  <si>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</si>
  <si>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</si>
  <si>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</si>
  <si>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</si>
  <si>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</si>
  <si>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</si>
  <si>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</si>
  <si>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</si>
  <si>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</si>
  <si>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</si>
  <si>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</si>
  <si>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</si>
  <si>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</si>
  <si>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</si>
  <si>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</si>
  <si>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</si>
  <si>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</si>
  <si>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</si>
  <si>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</si>
  <si>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</si>
  <si>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</si>
  <si>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</si>
  <si>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</si>
  <si>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</si>
  <si>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</si>
  <si>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</si>
  <si>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</si>
  <si>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</si>
  <si>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</si>
  <si>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</si>
  <si>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</si>
  <si>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</si>
  <si>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</si>
  <si>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</si>
  <si>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</si>
  <si>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</si>
  <si>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</si>
  <si>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</si>
  <si>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</si>
  <si>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</si>
  <si>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</si>
  <si>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</si>
  <si>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</si>
  <si>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</si>
  <si>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</si>
  <si>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</si>
  <si>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</si>
  <si>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</si>
  <si>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</si>
  <si>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</si>
  <si>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</si>
  <si>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</si>
  <si>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</si>
  <si>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</si>
  <si>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</si>
  <si>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</si>
  <si>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</si>
  <si>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</si>
  <si>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</si>
  <si>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</si>
  <si>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</si>
  <si>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</si>
  <si>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</si>
  <si>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</si>
  <si>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</si>
  <si>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</si>
  <si>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</si>
  <si>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</si>
  <si>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</si>
  <si>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</si>
  <si>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</si>
  <si>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</si>
  <si>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</si>
  <si>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</si>
  <si>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</si>
  <si>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</si>
  <si>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</si>
  <si>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</si>
  <si>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</si>
  <si>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</si>
  <si>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</si>
  <si>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</si>
  <si>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</si>
  <si>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</si>
  <si>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</si>
  <si>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</si>
  <si>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</si>
  <si>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</si>
  <si>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</si>
  <si>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</si>
  <si>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</si>
  <si>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</si>
  <si>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</si>
  <si>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</si>
  <si>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</si>
  <si>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</si>
  <si>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</si>
  <si>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</si>
  <si>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</si>
  <si>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</si>
  <si>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</si>
  <si>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</si>
  <si>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</si>
  <si>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</si>
  <si>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</si>
  <si>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</si>
  <si>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</si>
  <si>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</si>
  <si>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</si>
  <si>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</si>
  <si>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</si>
  <si>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</si>
  <si>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</si>
  <si>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</si>
  <si>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</si>
  <si>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</si>
  <si>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</si>
  <si>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</si>
  <si>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</si>
  <si>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</si>
  <si>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</si>
  <si>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</si>
  <si>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</si>
  <si>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</si>
  <si>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</si>
  <si>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</si>
  <si>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</si>
  <si>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</si>
  <si>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</si>
  <si>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</si>
  <si>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</si>
  <si>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</si>
  <si>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</si>
  <si>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</si>
  <si>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</si>
  <si>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</si>
  <si>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</si>
  <si>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</si>
  <si>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</si>
  <si>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</si>
  <si>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</si>
  <si>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</si>
  <si>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</si>
  <si>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</si>
  <si>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</si>
  <si>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JACOBO LAPRESTA</t>
  </si>
  <si>
    <t>JOSE VICENTE ARQUES</t>
  </si>
  <si>
    <t>JOSE ANTONIO RODIRGUEZ</t>
  </si>
  <si>
    <t>NOELIA OTERO</t>
  </si>
  <si>
    <t>MARIA DESSE</t>
  </si>
  <si>
    <t>BORJA RODRIGUEZ</t>
  </si>
  <si>
    <t>OSCAR CUESTA</t>
  </si>
  <si>
    <t>6:45</t>
  </si>
  <si>
    <t>5:45</t>
  </si>
  <si>
    <t>6:04</t>
  </si>
  <si>
    <t>5:34</t>
  </si>
  <si>
    <t>5:06</t>
  </si>
  <si>
    <t>Duplicada</t>
  </si>
  <si>
    <t>5:03</t>
  </si>
  <si>
    <t>Apuntada com a FOUL</t>
  </si>
  <si>
    <t>5:38</t>
  </si>
  <si>
    <t>Era un Missed 3P. Corregida durant partit per ells mateixos, pero un minut desprès</t>
  </si>
  <si>
    <t>Durante partido tenemos que ir más directos. La comunicación es genial, pero no nos puede despistar ;) Bien por corregir sobre el paso el error de puntos, aunque ya sabéis lo delicado que es cerciorarse de que lo que se anota está bien antes de pinchar.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</si>
</sst>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28_274_PAM_ASV_E2025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274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46065.854166666664</v>
      </c>
      <c r="C3" s="178"/>
      <c r="D3" s="39">
        <v>570</v>
      </c>
      <c r="E3" s="29"/>
      <c r="F3" s="26">
        <f>SUBTOTAL(3,I17:I106)</f>
        <v>7</v>
      </c>
      <c r="G3" s="27">
        <f>IF(OR(D3="",D3=0),"",F3/D3)</f>
        <v>1.2280701754385965E-2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767</v>
      </c>
      <c r="N4" s="186"/>
      <c r="O4" s="2"/>
      <c r="P4" s="2"/>
      <c r="Q4" s="84" t="s">
        <v>175</v>
      </c>
      <c r="R4" s="94">
        <f>(IF(G3="",0,G3))</f>
        <v>1.2280701754385965E-2</v>
      </c>
      <c r="S4" s="61">
        <f>SUM(I13:M13)</f>
        <v>1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3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1.2280701754385965</v>
      </c>
      <c r="S5" s="70">
        <f t="shared" ref="S5" si="0">S4*S3</f>
        <v>1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7.5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14.728070175438596</v>
      </c>
      <c r="N7" s="58"/>
      <c r="O7" s="2"/>
      <c r="P7" s="2"/>
      <c r="Q7" s="86">
        <f>SUM(R5,S5,AC16)</f>
        <v>14.728070175438596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14.728070175438596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3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12.5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274</v>
      </c>
      <c r="D17" s="32" t="s">
        <v>757</v>
      </c>
      <c r="E17" s="33">
        <v>1</v>
      </c>
      <c r="F17" s="36">
        <v>5</v>
      </c>
      <c r="G17" s="36">
        <v>4</v>
      </c>
      <c r="H17" s="38" t="str">
        <f>IF(I17="","",$I$14)</f>
        <v>SCOUTING</v>
      </c>
      <c r="I17" s="34">
        <v>33</v>
      </c>
      <c r="J17" s="13" t="s">
        <v>4</v>
      </c>
      <c r="K17" s="13" t="s">
        <v>63</v>
      </c>
      <c r="L17" s="13" t="s">
        <v>7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274</v>
      </c>
      <c r="D18" s="32" t="s">
        <v>758</v>
      </c>
      <c r="E18" s="33">
        <v>1</v>
      </c>
      <c r="F18" s="36">
        <v>8</v>
      </c>
      <c r="G18" s="36">
        <v>6</v>
      </c>
      <c r="H18" s="38" t="str">
        <f t="shared" ref="H18:H81" si="8">IF(I18="","",$I$14)</f>
        <v>SCOUTING</v>
      </c>
      <c r="I18" s="34">
        <v>40</v>
      </c>
      <c r="J18" s="13" t="s">
        <v>4</v>
      </c>
      <c r="K18" s="13" t="s">
        <v>63</v>
      </c>
      <c r="L18" s="13" t="s">
        <v>7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274</v>
      </c>
      <c r="D19" s="32" t="s">
        <v>759</v>
      </c>
      <c r="E19" s="33">
        <v>3</v>
      </c>
      <c r="F19" s="36">
        <v>52</v>
      </c>
      <c r="G19" s="36">
        <v>35</v>
      </c>
      <c r="H19" s="38" t="str">
        <f t="shared" si="8"/>
        <v>SCOUTING</v>
      </c>
      <c r="I19" s="34">
        <v>328</v>
      </c>
      <c r="J19" s="13" t="s">
        <v>4</v>
      </c>
      <c r="K19" s="13" t="s">
        <v>62</v>
      </c>
      <c r="L19" s="13" t="s">
        <v>7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1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274</v>
      </c>
      <c r="D20" s="32" t="s">
        <v>760</v>
      </c>
      <c r="E20" s="33">
        <v>3</v>
      </c>
      <c r="F20" s="36">
        <v>52</v>
      </c>
      <c r="G20" s="36">
        <v>35</v>
      </c>
      <c r="H20" s="38" t="str">
        <f t="shared" si="8"/>
        <v>SCOUTING</v>
      </c>
      <c r="I20" s="34">
        <v>341</v>
      </c>
      <c r="J20" s="13" t="s">
        <v>4</v>
      </c>
      <c r="K20" s="13" t="s">
        <v>62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20.399999999999999" x14ac:dyDescent="0.2">
      <c r="A21" s="20"/>
      <c r="B21" s="31" t="str">
        <f t="shared" si="2"/>
        <v>E2025</v>
      </c>
      <c r="C21" s="31">
        <f t="shared" si="3"/>
        <v>274</v>
      </c>
      <c r="D21" s="32" t="s">
        <v>765</v>
      </c>
      <c r="E21" s="33">
        <v>4</v>
      </c>
      <c r="F21" s="36">
        <v>73</v>
      </c>
      <c r="G21" s="36">
        <v>57</v>
      </c>
      <c r="H21" s="38" t="str">
        <f t="shared" si="8"/>
        <v>SCOUTING</v>
      </c>
      <c r="I21" s="34">
        <v>491</v>
      </c>
      <c r="J21" s="13" t="s">
        <v>3</v>
      </c>
      <c r="K21" s="13" t="s">
        <v>62</v>
      </c>
      <c r="L21" s="13" t="s">
        <v>48</v>
      </c>
      <c r="M21" s="13" t="s">
        <v>34</v>
      </c>
      <c r="N21" s="35" t="s">
        <v>766</v>
      </c>
      <c r="O21" s="5" t="s">
        <v>46</v>
      </c>
      <c r="P21" s="5">
        <v>5</v>
      </c>
      <c r="Q21" s="84">
        <f t="shared" si="4"/>
        <v>1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274</v>
      </c>
      <c r="D22" s="32" t="s">
        <v>761</v>
      </c>
      <c r="E22" s="33">
        <v>4</v>
      </c>
      <c r="F22" s="36">
        <v>75</v>
      </c>
      <c r="G22" s="36">
        <v>59</v>
      </c>
      <c r="H22" s="38" t="str">
        <f t="shared" si="8"/>
        <v>SCOUTING</v>
      </c>
      <c r="I22" s="34">
        <v>497</v>
      </c>
      <c r="J22" s="13" t="s">
        <v>4</v>
      </c>
      <c r="K22" s="13" t="s">
        <v>63</v>
      </c>
      <c r="L22" s="13" t="s">
        <v>48</v>
      </c>
      <c r="M22" s="13" t="s">
        <v>22</v>
      </c>
      <c r="N22" s="35" t="s">
        <v>762</v>
      </c>
      <c r="O22" s="5" t="s">
        <v>6</v>
      </c>
      <c r="P22" s="5">
        <v>1</v>
      </c>
      <c r="Q22" s="84">
        <f t="shared" si="4"/>
        <v>1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274</v>
      </c>
      <c r="D23" s="32" t="s">
        <v>763</v>
      </c>
      <c r="E23" s="33">
        <v>4</v>
      </c>
      <c r="F23" s="36">
        <v>75</v>
      </c>
      <c r="G23" s="36">
        <v>59</v>
      </c>
      <c r="H23" s="38" t="str">
        <f t="shared" si="8"/>
        <v>SCOUTING</v>
      </c>
      <c r="I23" s="34">
        <v>501</v>
      </c>
      <c r="J23" s="13" t="s">
        <v>4</v>
      </c>
      <c r="K23" s="13" t="s">
        <v>63</v>
      </c>
      <c r="L23" s="13" t="s">
        <v>5</v>
      </c>
      <c r="M23" s="13" t="s">
        <v>29</v>
      </c>
      <c r="N23" s="35" t="s">
        <v>764</v>
      </c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3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REPORT_E2025274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"E2025274"</v>
      </c>
      <c r="F3" s="45" t="str">
        <f t="shared" ref="F3:F16" si="0">""""&amp;B3&amp;"""" &amp; " : " &amp;C3&amp;","</f>
        <v>"name" : "E2025274",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"E274"</v>
      </c>
      <c r="F4" s="45" t="str">
        <f t="shared" si="0"/>
        <v>"cod" : "E274",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274</v>
      </c>
      <c r="F6" s="45" t="str">
        <f t="shared" si="0"/>
        <v>"number" : 274,</v>
      </c>
    </row>
    <row r="7" spans="2:6" x14ac:dyDescent="0.25">
      <c r="B7" s="43" t="s">
        <v>116</v>
      </c>
      <c r="C7" s="43" t="str">
        <f ca="1">""""&amp;TEXT('SCOUT &amp; LOGISTICS'!B3,"dd/mm/aaaa")&amp;""""</f>
        <v>"12/02/2026"</v>
      </c>
      <c r="F7" s="45" t="str">
        <f t="shared" ca="1" si="0"/>
        <v>"date" : "12/02/2026",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VICENTE ARQUES"</v>
      </c>
      <c r="F11" s="45" t="str">
        <f t="shared" si="0"/>
        <v>"Caller_1" : "JOSE VICENTE ARQUES",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ANTONIO RODIRGUEZ"</v>
      </c>
      <c r="F12" s="45" t="str">
        <f t="shared" si="0"/>
        <v>"Caller_2" : "JOSE ANTONIO RODIRGUEZ",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"NOELIA OTERO"</v>
      </c>
      <c r="F13" s="45" t="str">
        <f t="shared" si="0"/>
        <v>"Timerkeeper" : "NOELIA OTERO",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DESSE"</v>
      </c>
      <c r="F14" s="45" t="str">
        <f t="shared" si="0"/>
        <v>"Shotclock" : "MARIA DESSE",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570</v>
      </c>
      <c r="F25" s="45" t="str">
        <f t="shared" ref="F25:F48" si="1">""""&amp;C25&amp;"""" &amp; " : " &amp;D25&amp;","</f>
        <v>"total_actions" : 570,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"1,2%"</v>
      </c>
      <c r="F27" s="45" t="str">
        <f t="shared" si="1"/>
        <v>"%_corrections" : "1,2%",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3</v>
      </c>
      <c r="F46" s="45" t="str">
        <f t="shared" si="1"/>
        <v>"part_of_a_sequence" : 3,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3</v>
      </c>
      <c r="F49" s="45" t="str">
        <f>""""&amp;C49&amp;"""" &amp; " : " &amp;D49</f>
        <v>"points" : 3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"Durante partido tenemos que ir más directos. La comunicación es genial, pero no nos puede despistar ;) Bien por corregir sobre el paso el error de puntos, aunque ya sabéis lo delicado que es cerciorarse de que lo que se anota está bien antes de pinchar."</v>
      </c>
      <c r="F51" s="45" t="str">
        <f>""""&amp;B51&amp;"""" &amp; " : " &amp;C51&amp;","</f>
        <v>"comments" : "Durante partido tenemos que ir más directos. La comunicación es genial, pero no nos puede despistar ;) Bien por corregir sobre el paso el error de puntos, aunque ya sabéis lo delicado que es cerciorarse de que lo que se anota está bien antes de pinchar.",</v>
      </c>
    </row>
    <row r="52" spans="2:6" x14ac:dyDescent="0.25">
      <c r="B52" s="43" t="s">
        <v>153</v>
      </c>
      <c r="C52" s="43" t="str">
        <f>TEXT('SCOUT &amp; LOGISTICS'!F1,"0,0")</f>
        <v>28_274_PAM_ASV_E2025</v>
      </c>
      <c r="F52" s="45" t="str">
        <f>""""&amp;B52&amp;"""" &amp; " : " &amp;C52</f>
        <v>"result" : 28_274_PAM_ASV_E2025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E274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12/02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JACOBO LAPRESTA</v>
      </c>
      <c r="C8" s="201"/>
      <c r="D8" s="201"/>
      <c r="E8" s="201"/>
      <c r="F8" s="201"/>
      <c r="G8" s="201" t="str">
        <f>IF('SCOUT &amp; LOGISTICS'!D7="","",'SCOUT &amp; LOGISTICS'!D7)</f>
        <v>JOSE VICENTE ARQUES</v>
      </c>
      <c r="H8" s="201"/>
      <c r="I8" s="201"/>
      <c r="J8" s="201"/>
      <c r="K8" s="201"/>
      <c r="L8" s="201" t="str">
        <f>IF('SCOUT &amp; LOGISTICS'!D8="","",'SCOUT &amp; LOGISTICS'!D8)</f>
        <v>JOSE ANTONIO RODIRGUEZ</v>
      </c>
      <c r="M8" s="201"/>
      <c r="N8" s="201"/>
      <c r="O8" s="201"/>
      <c r="P8" s="201"/>
      <c r="Q8" s="201" t="str">
        <f>IF('SCOUT &amp; LOGISTICS'!D9="","",'SCOUT &amp; LOGISTICS'!D9)</f>
        <v>NOELIA OTERO</v>
      </c>
      <c r="R8" s="201"/>
      <c r="S8" s="201"/>
      <c r="T8" s="201"/>
      <c r="U8" s="201"/>
      <c r="V8" s="201" t="str">
        <f>IF('SCOUT &amp; LOGISTICS'!D10="","",'SCOUT &amp; LOGISTICS'!D10)</f>
        <v>MARIA DESSE</v>
      </c>
      <c r="W8" s="201"/>
      <c r="X8" s="201"/>
      <c r="Y8" s="201"/>
      <c r="Z8" s="201"/>
      <c r="AA8" s="201" t="str">
        <f>IF('SCOUT &amp; LOGISTICS'!D11="","",'SCOUT &amp; LOGISTICS'!D11)</f>
        <v>BORJA RODRIGUEZ</v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570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7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1.2280701754385965E-2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3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6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3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2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Durante partido tenemos que ir más directos. La comunicación es genial, pero no nos puede despistar ;) Bien por corregir sobre el paso el error de puntos, aunque ya sabéis lo delicado que es cerciorarse de que lo que se anota está bien antes de pinchar.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14.728070175438596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79834DED-ECE3-403D-91D5-F625D3636C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2026-02-13T21:53:54Z</cp:lastPrinted>
  <dcterms:created xsi:type="dcterms:W3CDTF">2023-09-19T19:50:35Z</dcterms:created>
  <dcterms:modified xsi:type="dcterms:W3CDTF">2026-02-13T21:54:14Z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