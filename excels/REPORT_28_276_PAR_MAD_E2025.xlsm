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47B068BC-480D-4052-9753-8FE75F9771A1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<sst xmlns="http://schemas.openxmlformats.org/spreadsheetml/2006/main" count="3235" uniqueCount="752">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</sst>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28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28_276_PAR_MAD_E2025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276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46066.854166666664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Partizan Mozzart Bet Belgrade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PAR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Real Madrid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MAD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 t="str">
        <f>VLOOKUP($H$4,Teams!$B$3:$O$44,3,FALSE)</f>
        <v>PETAR VASILJEVIC</v>
      </c>
      <c r="I9" s="130" t="str">
        <f>VLOOKUP($H$4,Teams!$B$3:$O$44,3,FALSE)</f>
        <v>PETAR VASILJEVIC</v>
      </c>
      <c r="J9" s="130" t="str">
        <f>VLOOKUP($H$4,Teams!$B$3:$O$44,5,FALSE)</f>
        <v>PREDAG VASILJEVIC</v>
      </c>
      <c r="K9" s="130" t="str">
        <f>VLOOKUP($H$4,Teams!$B$3:$O$44,6,FALSE)</f>
        <v>ANA KRSTIC</v>
      </c>
      <c r="L9" s="130" t="str">
        <f>VLOOKUP($H$4,Teams!$B$3:$O$44,7,FALSE)</f>
        <v>SARA PROJOVIC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REPORT_E2025276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"E2025276"</v>
      </c>
      <c r="F3" s="45" t="str">
        <f t="shared" ref="F3:F16" si="0">""""&amp;B3&amp;"""" &amp; " : " &amp;C3&amp;","</f>
        <v>"name" : "E2025276",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"E276"</v>
      </c>
      <c r="F4" s="45" t="str">
        <f t="shared" si="0"/>
        <v>"cod" : "E276",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276</v>
      </c>
      <c r="F6" s="45" t="str">
        <f t="shared" si="0"/>
        <v>"number" : 276,</v>
      </c>
    </row>
    <row r="7" spans="2:6" x14ac:dyDescent="0.2">
      <c r="B7" s="43" t="s">
        <v>116</v>
      </c>
      <c r="C7" s="43" t="str">
        <f ca="1">""""&amp;TEXT('SCOUT &amp; LOGISTICS'!B3,"dd/mm/aaaa")&amp;""""</f>
        <v>"13/02/Friday"</v>
      </c>
      <c r="F7" s="45" t="str">
        <f t="shared" ca="1" si="0"/>
        <v>"date" : "13/02/Friday",</v>
      </c>
    </row>
    <row r="8" spans="2:6" x14ac:dyDescent="0.2">
      <c r="B8" s="43" t="s">
        <v>125</v>
      </c>
      <c r="C8" s="43" t="str">
        <f>""""&amp;'SCOUT &amp; LOGISTICS'!D4 &amp;""""</f>
        <v>"Partizan Mozzart Bet Belgrade"</v>
      </c>
      <c r="F8" s="45" t="str">
        <f t="shared" si="0"/>
        <v>"home_team" : "Partizan Mozzart Bet Belgrade",</v>
      </c>
    </row>
    <row r="9" spans="2:6" x14ac:dyDescent="0.2">
      <c r="B9" s="43" t="s">
        <v>126</v>
      </c>
      <c r="C9" s="43" t="str">
        <f>""""&amp;'SCOUT &amp; LOGISTICS'!D5&amp;""""</f>
        <v>"Real Madrid"</v>
      </c>
      <c r="F9" s="45" t="str">
        <f t="shared" si="0"/>
        <v>"away_team" : "Real Madrid",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28_276_PAR_MAD_E2025</v>
      </c>
      <c r="F52" s="45" t="str">
        <f>""""&amp;B52&amp;"""" &amp; " : " &amp;C52</f>
        <v>"result" : 28_276_PAR_MAD_E2025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E276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13/02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Partizan Mozzart Bet Belgrade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Real Madrid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1DBC08D-7D55-493A-A6C0-A319C66D4416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