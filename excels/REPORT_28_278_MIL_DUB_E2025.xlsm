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7" documentId="8_{E7B6002E-6960-406F-B83A-3C5B204DCA0F}" xr6:coauthVersionLast="47" xr6:coauthVersionMax="47" xr10:uidLastSave="{0B0111F1-06C3-432A-9041-4A052F77093C}"/>
  <bookViews>
    <workbookView minimized="1" xWindow="43200" yWindow="7470" windowWidth="14400" windowHeight="727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<sst xmlns="http://schemas.openxmlformats.org/spreadsheetml/2006/main" count="3255" uniqueCount="761">
  <si>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</si>
  <si>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</si>
  <si>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</si>
  <si>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</si>
  <si>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</si>
  <si>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</si>
  <si>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</si>
  <si>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</si>
  <si>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</si>
  <si>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</si>
  <si>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</si>
  <si>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</si>
  <si>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</si>
  <si>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</si>
  <si>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</si>
  <si>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</si>
  <si>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</si>
  <si>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</si>
  <si>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</si>
  <si>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</si>
  <si>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</si>
  <si>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</si>
  <si>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</si>
  <si>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</si>
  <si>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</si>
  <si>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</si>
  <si>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</si>
  <si>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</si>
  <si>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</si>
  <si>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</si>
  <si>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</si>
  <si>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</si>
  <si>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</si>
  <si>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</si>
  <si>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</si>
  <si>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</si>
  <si>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</si>
  <si>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</si>
  <si>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</si>
  <si>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</si>
  <si>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</si>
  <si>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</si>
  <si>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</si>
  <si>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</si>
  <si>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</si>
  <si>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</si>
  <si>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</si>
  <si>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</si>
  <si>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</si>
  <si>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</si>
  <si>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</si>
  <si>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</si>
  <si>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</si>
  <si>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</si>
  <si>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</si>
  <si>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</si>
  <si>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</si>
  <si>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</si>
  <si>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</si>
  <si>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</si>
  <si>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</si>
  <si>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</si>
  <si>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</si>
  <si>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</si>
  <si>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</si>
  <si>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</si>
  <si>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</si>
  <si>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</si>
  <si>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</si>
  <si>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</si>
  <si>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</si>
  <si>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</si>
  <si>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</si>
  <si>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</si>
  <si>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</si>
  <si>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</si>
  <si>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</si>
  <si>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</si>
  <si>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</si>
  <si>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</si>
  <si>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</si>
  <si>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</si>
  <si>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</si>
  <si>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</si>
  <si>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</si>
  <si>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</si>
  <si>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</si>
  <si>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</si>
  <si>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</si>
  <si>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</si>
  <si>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</si>
  <si>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</si>
  <si>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</si>
  <si>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</si>
  <si>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</si>
  <si>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</si>
  <si>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</si>
  <si>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</si>
  <si>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</si>
  <si>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</si>
  <si>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</si>
  <si>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</si>
  <si>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</si>
  <si>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</si>
  <si>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</si>
  <si>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</si>
  <si>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</si>
  <si>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</si>
  <si>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</si>
  <si>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</si>
  <si>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</si>
  <si>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</si>
  <si>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</si>
  <si>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</si>
  <si>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</si>
  <si>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</si>
  <si>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</si>
  <si>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</si>
  <si>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</si>
  <si>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</si>
  <si>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</si>
  <si>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</si>
  <si>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</si>
  <si>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</si>
  <si>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</si>
  <si>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</si>
  <si>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</si>
  <si>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</si>
  <si>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</si>
  <si>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</si>
  <si>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</si>
  <si>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</si>
  <si>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</si>
  <si>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</si>
  <si>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</si>
  <si>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</si>
  <si>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</si>
  <si>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</si>
  <si>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</si>
  <si>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</si>
  <si>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</si>
  <si>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</si>
  <si>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</si>
  <si>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</si>
  <si>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</si>
  <si>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</si>
  <si>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</si>
  <si>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</si>
  <si>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</si>
  <si>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</si>
  <si>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</si>
  <si>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</si>
  <si>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</si>
  <si>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</si>
  <si>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</si>
  <si>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</si>
  <si>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</si>
  <si>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</si>
  <si>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</si>
  <si>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</si>
  <si>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</si>
  <si>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</si>
  <si>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</si>
  <si>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</si>
  <si>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</si>
  <si>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</si>
  <si>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</si>
  <si>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</si>
  <si>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</si>
  <si>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</si>
  <si>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</si>
  <si>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</si>
  <si>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</si>
  <si>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</si>
  <si>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</si>
  <si>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</si>
  <si>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</si>
  <si>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</si>
  <si>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</si>
  <si>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</si>
  <si>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</si>
  <si>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</si>
  <si>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</si>
  <si>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</si>
  <si>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</si>
  <si>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</si>
  <si>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</si>
  <si>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</si>
  <si>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</si>
  <si>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</si>
  <si>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</si>
  <si>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</si>
  <si>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</si>
  <si>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</si>
  <si>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</si>
  <si>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</si>
  <si>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</si>
  <si>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</si>
  <si>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</si>
  <si>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</si>
  <si>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</si>
  <si>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</si>
  <si>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</si>
  <si>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</si>
  <si>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</si>
  <si>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</si>
  <si>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</si>
  <si>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</si>
  <si>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</si>
  <si>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</si>
  <si>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</si>
  <si>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</si>
  <si>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</si>
  <si>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</si>
  <si>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</si>
  <si>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</si>
  <si>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</si>
  <si>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</si>
  <si>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</si>
  <si>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</si>
  <si>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</si>
  <si>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</si>
  <si>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</si>
  <si>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</si>
  <si>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</si>
  <si>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</si>
  <si>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</si>
  <si>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</si>
  <si>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</si>
  <si>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</si>
  <si>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</si>
  <si>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</si>
  <si>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</si>
  <si>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</si>
  <si>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</si>
  <si>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</si>
  <si>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</si>
  <si>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</si>
  <si>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</si>
  <si>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</si>
  <si>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</si>
  <si>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</si>
  <si>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</si>
  <si>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</si>
  <si>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</si>
  <si>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</si>
  <si>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</si>
  <si>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</si>
  <si>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</si>
  <si>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</si>
  <si>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</si>
  <si>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</si>
  <si>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</si>
  <si>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</si>
  <si>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</si>
  <si>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</si>
  <si>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</si>
  <si>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</si>
  <si>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</si>
  <si>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</si>
  <si>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</si>
  <si>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</si>
  <si>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</si>
  <si>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</si>
  <si>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</si>
  <si>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</si>
  <si>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</si>
  <si>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</si>
  <si>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</si>
  <si>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</si>
  <si>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</si>
  <si>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</si>
  <si>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</si>
  <si>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</si>
  <si>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</si>
  <si>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</si>
  <si>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</si>
  <si>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</si>
  <si>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</si>
  <si>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</si>
  <si>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</si>
  <si>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</si>
  <si>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</si>
  <si>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</si>
  <si>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</si>
  <si>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</si>
  <si>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</si>
  <si>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</si>
  <si>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</si>
  <si>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</si>
  <si>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</si>
  <si>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</si>
  <si>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</si>
  <si>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</si>
  <si>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</si>
  <si>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</si>
  <si>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</si>
  <si>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</si>
  <si>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</si>
  <si>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</si>
  <si>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</si>
  <si>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</si>
  <si>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</si>
  <si>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</si>
  <si>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</si>
  <si>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</si>
  <si>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</si>
  <si>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</si>
  <si>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</si>
  <si>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</si>
  <si>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</si>
  <si>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</si>
  <si>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</si>
  <si>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</si>
  <si>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</si>
  <si>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</si>
  <si>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</si>
  <si>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</si>
  <si>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</si>
  <si>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</si>
  <si>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</si>
  <si>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</si>
  <si>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</si>
  <si>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</si>
  <si>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</si>
  <si>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</si>
  <si>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</si>
  <si>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</si>
  <si>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</si>
  <si>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</si>
  <si>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</si>
  <si>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</si>
  <si>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</si>
  <si>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</si>
  <si>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</si>
  <si>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</si>
  <si>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</si>
  <si>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</si>
  <si>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</si>
  <si>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</si>
  <si>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</si>
  <si>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</si>
  <si>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</si>
  <si>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</si>
  <si>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</si>
  <si>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</si>
  <si>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</si>
  <si>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</si>
  <si>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</si>
  <si>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</si>
  <si>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</si>
  <si>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</si>
  <si>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</si>
  <si>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</si>
  <si>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</si>
  <si>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</si>
  <si>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</si>
  <si>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</si>
  <si>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</si>
  <si>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</si>
  <si>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</si>
  <si>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</si>
  <si>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</si>
  <si>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</si>
  <si>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</si>
  <si>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</si>
  <si>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</si>
  <si>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</si>
  <si>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</si>
  <si>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</si>
  <si>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</si>
  <si>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</si>
  <si>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</si>
  <si>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</si>
  <si>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</si>
  <si>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</si>
  <si>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</si>
  <si>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</si>
  <si>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</si>
  <si>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</si>
  <si>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</si>
  <si>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</si>
  <si>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</si>
  <si>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</si>
  <si>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</si>
  <si>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</si>
  <si>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</si>
  <si>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</si>
  <si>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</si>
  <si>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</si>
  <si>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</si>
  <si>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</si>
  <si>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</si>
  <si>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</si>
  <si>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</si>
  <si>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</si>
  <si>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</si>
  <si>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</si>
  <si>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</si>
  <si>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</si>
  <si>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</si>
  <si>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</si>
  <si>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</si>
  <si>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</si>
  <si>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</si>
  <si>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</si>
  <si>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</si>
  <si>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</si>
  <si>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</si>
  <si>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</si>
  <si>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</si>
  <si>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</si>
  <si>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</si>
  <si>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</si>
  <si>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</si>
  <si>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</si>
  <si>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</si>
  <si>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</si>
  <si>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</si>
  <si>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</si>
  <si>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</si>
  <si>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</si>
  <si>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</si>
  <si>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</si>
  <si>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</si>
  <si>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</si>
  <si>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</si>
  <si>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</si>
  <si>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</si>
  <si>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</si>
  <si>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</si>
  <si>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</si>
  <si>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</si>
  <si>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</si>
  <si>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</si>
  <si>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</si>
  <si>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</si>
  <si>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</si>
  <si>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</si>
  <si>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</si>
  <si>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</si>
  <si>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</si>
  <si>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</si>
  <si>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</si>
  <si>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</si>
  <si>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</si>
  <si>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</si>
  <si>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</si>
  <si>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</si>
  <si>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</si>
  <si>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</si>
  <si>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</si>
  <si>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</si>
  <si>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</si>
  <si>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</si>
  <si>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</si>
  <si>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</si>
  <si>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</si>
  <si>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</si>
  <si>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</si>
  <si>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</si>
  <si>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</si>
  <si>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</si>
  <si>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</si>
  <si>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</si>
  <si>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</si>
  <si>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</si>
  <si>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</si>
  <si>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</si>
  <si>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</si>
  <si>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</si>
  <si>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</si>
  <si>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</si>
  <si>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</si>
  <si>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</si>
  <si>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</si>
  <si>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</si>
  <si>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</si>
  <si>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</si>
  <si>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</si>
  <si>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</si>
  <si>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</si>
  <si>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</si>
  <si>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</si>
  <si>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</si>
  <si>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</si>
  <si>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</si>
  <si>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</si>
  <si>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</si>
  <si>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</si>
  <si>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</si>
  <si>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</si>
  <si>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</si>
  <si>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</si>
  <si>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</si>
  <si>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</si>
  <si>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</si>
  <si>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</si>
  <si>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</si>
  <si>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</si>
  <si>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</si>
  <si>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</si>
  <si>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</si>
  <si>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</si>
  <si>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</si>
  <si>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</si>
  <si>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</si>
  <si>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</si>
  <si>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</si>
  <si>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</si>
  <si>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</si>
  <si>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</si>
  <si>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</si>
  <si>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</si>
  <si>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</si>
  <si>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</si>
  <si>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</si>
  <si>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</si>
  <si>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</si>
  <si>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</si>
  <si>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</si>
  <si>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</si>
  <si>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</si>
  <si>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</si>
  <si>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</si>
  <si>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</si>
  <si>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</si>
  <si>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</si>
  <si>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</si>
  <si>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</si>
  <si>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</si>
  <si>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</si>
  <si>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</si>
  <si>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</si>
  <si>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</si>
  <si>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</si>
  <si>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</si>
  <si>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</si>
  <si>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</si>
  <si>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</si>
  <si>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</si>
  <si>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</si>
  <si>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</si>
  <si>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</si>
  <si>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</si>
  <si>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</si>
  <si>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</si>
  <si>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</si>
  <si>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</si>
  <si>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</si>
  <si>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</si>
  <si>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</si>
  <si>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</si>
  <si>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</si>
  <si>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</si>
  <si>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</si>
  <si>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</si>
  <si>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</si>
  <si>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</si>
  <si>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</si>
  <si>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</si>
  <si>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</si>
  <si>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</si>
  <si>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</si>
  <si>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</si>
  <si>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</si>
  <si>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</si>
  <si>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</si>
  <si>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</si>
  <si>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</si>
  <si>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</si>
  <si>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</si>
  <si>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</si>
  <si>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</si>
  <si>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</si>
  <si>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</si>
  <si>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</si>
  <si>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</si>
  <si>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</si>
  <si>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</si>
  <si>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</si>
  <si>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</si>
  <si>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</si>
  <si>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</si>
  <si>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</si>
  <si>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</si>
  <si>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</si>
  <si>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</si>
  <si>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</si>
  <si>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</si>
  <si>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</si>
  <si>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</si>
  <si>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</si>
  <si>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</si>
  <si>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</si>
  <si>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</si>
  <si>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</si>
  <si>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</si>
  <si>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</si>
  <si>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</si>
  <si>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</si>
  <si>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</si>
  <si>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</si>
  <si>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</si>
  <si>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</si>
  <si>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</si>
  <si>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</si>
  <si>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</si>
  <si>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</si>
  <si>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</si>
  <si>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</si>
  <si>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</si>
  <si>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</si>
  <si>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</si>
  <si>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</si>
  <si>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</si>
  <si>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</si>
  <si>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</si>
  <si>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</si>
  <si>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</si>
  <si>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</si>
  <si>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</si>
  <si>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</si>
  <si>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</si>
  <si>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</si>
  <si>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</si>
  <si>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</si>
  <si>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</si>
  <si>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</si>
  <si>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</si>
  <si>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</si>
  <si>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</si>
  <si>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</si>
  <si>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</si>
  <si>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</si>
  <si>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</si>
  <si>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</si>
  <si>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</si>
  <si>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</si>
  <si>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</si>
  <si>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</si>
  <si>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</si>
  <si>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</si>
  <si>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</si>
  <si>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</si>
  <si>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</si>
  <si>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</si>
  <si>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</si>
  <si>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</si>
  <si>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</si>
  <si>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</si>
  <si>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</si>
  <si>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</si>
  <si>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</si>
  <si>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</si>
  <si>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</si>
  <si>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</si>
  <si>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</si>
  <si>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</si>
  <si>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</si>
  <si>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</si>
  <si>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</si>
  <si>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</si>
  <si>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</si>
  <si>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</si>
  <si>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</si>
  <si>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</si>
  <si>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</si>
  <si>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</si>
  <si>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</si>
  <si>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</si>
  <si>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</si>
  <si>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</si>
  <si>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</si>
  <si>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</si>
  <si>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</si>
  <si>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</si>
  <si>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</si>
  <si>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</si>
  <si>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</si>
  <si>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</si>
  <si>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</si>
  <si>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</si>
  <si>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</si>
  <si>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</si>
  <si>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</si>
  <si>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</si>
  <si>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</si>
  <si>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</si>
  <si>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</si>
  <si>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</si>
  <si>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</si>
  <si>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</si>
  <si>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</si>
  <si>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</si>
  <si>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</si>
  <si>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</si>
  <si>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</si>
  <si>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</si>
  <si>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</si>
  <si>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</si>
  <si>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</si>
  <si>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</si>
  <si>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</si>
  <si>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</si>
  <si>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</si>
  <si>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</si>
  <si>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</si>
  <si>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</si>
  <si>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</si>
  <si>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</si>
  <si>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</si>
  <si>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</si>
  <si>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</si>
  <si>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</si>
  <si>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</si>
  <si>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</si>
  <si>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</si>
  <si>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</si>
  <si>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</si>
  <si>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</si>
  <si>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</si>
  <si>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</si>
  <si>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</si>
  <si>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</si>
  <si>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</si>
  <si>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</si>
  <si>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</si>
  <si>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</si>
  <si>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</si>
  <si>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</si>
  <si>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</si>
  <si>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</si>
  <si>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</si>
  <si>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</si>
  <si>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</si>
  <si>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</si>
  <si>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</si>
  <si>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</si>
  <si>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</si>
  <si>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</si>
  <si>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</si>
  <si>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</si>
  <si>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</si>
  <si>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</si>
  <si>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</si>
  <si>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</si>
  <si>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</si>
  <si>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</si>
  <si>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ALESSANDRO ZUCCA</t>
  </si>
  <si>
    <t>RENATO BOCCOTTI</t>
  </si>
  <si>
    <t>EMANUELA DALLA COSTA</t>
  </si>
  <si>
    <t>CINZIA COZZI</t>
  </si>
  <si>
    <t>THEA MORELLO</t>
  </si>
  <si>
    <t>VALERIA GAMBUZZA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</si>
  <si>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</si>
  <si>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</si>
  <si>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</si>
  <si>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3:26</t>
  </si>
  <si>
    <t>5:44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</si>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</sst>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28_278_MIL_DUB_E2025</v>
      </c>
      <c r="G1" s="5"/>
      <c r="H1" s="5"/>
      <c r="I1" s="5"/>
      <c r="J1" s="8" t="s">
        <v>707</v>
      </c>
      <c r="K1" s="121" t="s">
        <v>756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278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46066.854166666664</v>
      </c>
      <c r="C3" s="157"/>
      <c r="D3" s="39">
        <v>519</v>
      </c>
      <c r="E3" s="29"/>
      <c r="F3" s="26">
        <f>SUBTOTAL(3,I17:I106)</f>
        <v>2</v>
      </c>
      <c r="G3" s="27">
        <f>IF(OR(D3="",D3=0),"",F3/D3)</f>
        <v>3.8535645472061657E-3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EA7 Emporio Armani Milan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742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3.8535645472061657E-3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Dubai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0.38535645472061658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1.8853564547206165</v>
      </c>
      <c r="N7" s="58"/>
      <c r="O7" s="2"/>
      <c r="P7" s="2"/>
      <c r="Q7" s="86">
        <f>SUM(R5,S5,AC16)</f>
        <v>1.8853564547206165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1.8853564547206165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278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278</v>
      </c>
      <c r="D17" s="32" t="s">
        <v>758</v>
      </c>
      <c r="E17" s="33">
        <v>1</v>
      </c>
      <c r="F17" s="36">
        <v>13</v>
      </c>
      <c r="G17" s="36">
        <v>14</v>
      </c>
      <c r="H17" s="38" t="str">
        <f>IF(I17="","",$I$14)</f>
        <v>SCOUTING</v>
      </c>
      <c r="I17" s="34">
        <v>61</v>
      </c>
      <c r="J17" s="13" t="s">
        <v>4</v>
      </c>
      <c r="K17" s="13" t="s">
        <v>62</v>
      </c>
      <c r="L17" s="13" t="s">
        <v>5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278</v>
      </c>
      <c r="D18" s="32" t="s">
        <v>759</v>
      </c>
      <c r="E18" s="33">
        <v>2</v>
      </c>
      <c r="F18" s="36">
        <v>30</v>
      </c>
      <c r="G18" s="36">
        <v>33</v>
      </c>
      <c r="H18" s="38" t="str">
        <f t="shared" ref="H18:H81" si="8">IF(I18="","",$I$14)</f>
        <v>SCOUTING</v>
      </c>
      <c r="I18" s="34">
        <v>162</v>
      </c>
      <c r="J18" s="13" t="s">
        <v>4</v>
      </c>
      <c r="K18" s="13" t="s">
        <v>62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REPORT_E2025278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"E2025278"</v>
      </c>
      <c r="F3" s="45" t="str">
        <f t="shared" ref="F3:F16" si="0">""""&amp;B3&amp;"""" &amp; " : " &amp;C3&amp;","</f>
        <v>"name" : "E2025278",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"E278"</v>
      </c>
      <c r="F4" s="45" t="str">
        <f t="shared" si="0"/>
        <v>"cod" : "E278",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278</v>
      </c>
      <c r="F6" s="45" t="str">
        <f t="shared" si="0"/>
        <v>"number" : 278,</v>
      </c>
    </row>
    <row r="7" spans="2:6" x14ac:dyDescent="0.25">
      <c r="B7" s="43" t="s">
        <v>116</v>
      </c>
      <c r="C7" s="43" t="str">
        <f ca="1">""""&amp;TEXT('SCOUT &amp; LOGISTICS'!B3,"dd/mm/aaaa")&amp;""""</f>
        <v>"13/02/Friday"</v>
      </c>
      <c r="F7" s="45" t="str">
        <f t="shared" ca="1" si="0"/>
        <v>"date" : "13/02/Friday",</v>
      </c>
    </row>
    <row r="8" spans="2:6" x14ac:dyDescent="0.25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5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"ALESSANDRO ZUCCA"</v>
      </c>
      <c r="F10" s="45" t="str">
        <f t="shared" si="0"/>
        <v>"Data_entry" : "ALESSANDRO ZUCCA",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"RENATO BOCCOTTI"</v>
      </c>
      <c r="F11" s="45" t="str">
        <f t="shared" si="0"/>
        <v>"Caller_1" : "RENATO BOCCOTTI",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"EMANUELA DALLA COSTA"</v>
      </c>
      <c r="F12" s="45" t="str">
        <f t="shared" si="0"/>
        <v>"Caller_2" : "EMANUELA DALLA COSTA",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"CINZIA COZZI"</v>
      </c>
      <c r="F13" s="45" t="str">
        <f t="shared" si="0"/>
        <v>"Timerkeeper" : "CINZIA COZZI",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"THEA MORELLO"</v>
      </c>
      <c r="F14" s="45" t="str">
        <f t="shared" si="0"/>
        <v>"Shotclock" : "THEA MORELLO",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"VALERIA GAMBUZZA"</v>
      </c>
      <c r="F15" s="45" t="str">
        <f t="shared" si="0"/>
        <v>"IRS" : "VALERIA GAMBUZZA",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519</v>
      </c>
      <c r="F25" s="45" t="str">
        <f t="shared" ref="F25:F48" si="1">""""&amp;C25&amp;"""" &amp; " : " &amp;D25&amp;","</f>
        <v>"total_actions" : 519,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28_278_MIL_DUB_E2025</v>
      </c>
      <c r="F52" s="45" t="str">
        <f>""""&amp;B52&amp;"""" &amp; " : " &amp;C52</f>
        <v>"result" : 28_278_MIL_DUB_E2025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E278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13/02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Ea7 Emporio Armani Milan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Dubai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ALESSANDRO ZUCCA</v>
      </c>
      <c r="C8" s="206"/>
      <c r="D8" s="206"/>
      <c r="E8" s="206"/>
      <c r="F8" s="206"/>
      <c r="G8" s="206" t="str">
        <f>IF('SCOUT &amp; LOGISTICS'!D7="","",'SCOUT &amp; LOGISTICS'!D7)</f>
        <v>RENATO BOCCOTTI</v>
      </c>
      <c r="H8" s="206"/>
      <c r="I8" s="206"/>
      <c r="J8" s="206"/>
      <c r="K8" s="206"/>
      <c r="L8" s="206" t="str">
        <f>IF('SCOUT &amp; LOGISTICS'!D8="","",'SCOUT &amp; LOGISTICS'!D8)</f>
        <v>EMANUELA DALLA COSTA</v>
      </c>
      <c r="M8" s="206"/>
      <c r="N8" s="206"/>
      <c r="O8" s="206"/>
      <c r="P8" s="206"/>
      <c r="Q8" s="206" t="str">
        <f>IF('SCOUT &amp; LOGISTICS'!D9="","",'SCOUT &amp; LOGISTICS'!D9)</f>
        <v>CINZIA COZZI</v>
      </c>
      <c r="R8" s="206"/>
      <c r="S8" s="206"/>
      <c r="T8" s="206"/>
      <c r="U8" s="206"/>
      <c r="V8" s="206" t="str">
        <f>IF('SCOUT &amp; LOGISTICS'!D10="","",'SCOUT &amp; LOGISTICS'!D10)</f>
        <v>THEA MORELLO</v>
      </c>
      <c r="W8" s="206"/>
      <c r="X8" s="206"/>
      <c r="Y8" s="206"/>
      <c r="Z8" s="206"/>
      <c r="AA8" s="206" t="str">
        <f>IF('SCOUT &amp; LOGISTICS'!D11="","",'SCOUT &amp; LOGISTICS'!D11)</f>
        <v>VALERIA GAMBUZZA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519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3.8535645472061657E-3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1.8853564547206165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F84894-92F6-48DB-B037-E7201087461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2026-03-24T17:22:19Z</cp:lastPrinted>
  <dcterms:created xsi:type="dcterms:W3CDTF">2023-09-19T19:50:35Z</dcterms:created>
  <dcterms:modified xsi:type="dcterms:W3CDTF">2026-03-24T17:23:21Z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