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53" documentId="8_{1F093EF3-309E-4BFD-BC1F-5A263A575865}" xr6:coauthVersionLast="47" xr6:coauthVersionMax="47" xr10:uidLastSave="{2F26D1B4-779E-4F0D-8512-1F34F11AC532}"/>
  <bookViews>
    <workbookView xWindow="-120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<sst xmlns="http://schemas.openxmlformats.org/spreadsheetml/2006/main" count="3260" uniqueCount="758">
  <si>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</si>
  <si>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</si>
  <si>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</si>
  <si>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</si>
  <si>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</si>
  <si>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</si>
  <si>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</si>
  <si>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</si>
  <si>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</si>
  <si>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</si>
  <si>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</si>
  <si>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</si>
  <si>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</si>
  <si>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</si>
  <si>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</si>
  <si>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</si>
  <si>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</si>
  <si>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</si>
  <si>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</si>
  <si>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</si>
  <si>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</si>
  <si>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</si>
  <si>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</si>
  <si>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</si>
  <si>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</si>
  <si>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</si>
  <si>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</si>
  <si>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</si>
  <si>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</si>
  <si>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</si>
  <si>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</si>
  <si>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</si>
  <si>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</si>
  <si>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</si>
  <si>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</si>
  <si>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</si>
  <si>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</si>
  <si>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</si>
  <si>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</si>
  <si>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</si>
  <si>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</si>
  <si>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</si>
  <si>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</si>
  <si>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</si>
  <si>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</si>
  <si>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</si>
  <si>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</si>
  <si>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</si>
  <si>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</si>
  <si>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</si>
  <si>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</si>
  <si>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</si>
  <si>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</si>
  <si>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</si>
  <si>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</si>
  <si>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</si>
  <si>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</si>
  <si>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</si>
  <si>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</si>
  <si>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</si>
  <si>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</si>
  <si>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</si>
  <si>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</si>
  <si>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</si>
  <si>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</si>
  <si>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</si>
  <si>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</si>
  <si>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</si>
  <si>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</si>
  <si>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</si>
  <si>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</si>
  <si>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</si>
  <si>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</si>
  <si>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</si>
  <si>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</si>
  <si>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</si>
  <si>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</si>
  <si>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</si>
  <si>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</si>
  <si>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</si>
  <si>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</si>
  <si>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</si>
  <si>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</si>
  <si>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</si>
  <si>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</si>
  <si>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</si>
  <si>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</si>
  <si>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</si>
  <si>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</si>
  <si>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</si>
  <si>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</si>
  <si>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</si>
  <si>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</si>
  <si>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</si>
  <si>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</si>
  <si>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</si>
  <si>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</si>
  <si>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</si>
  <si>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</si>
  <si>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</si>
  <si>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</si>
  <si>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</si>
  <si>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</si>
  <si>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</si>
  <si>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</si>
  <si>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</si>
  <si>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</si>
  <si>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</si>
  <si>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</si>
  <si>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</si>
  <si>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</si>
  <si>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</si>
  <si>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</si>
  <si>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</si>
  <si>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</si>
  <si>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</si>
  <si>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</si>
  <si>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</si>
  <si>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</si>
  <si>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</si>
  <si>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</si>
  <si>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</si>
  <si>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</si>
  <si>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</si>
  <si>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</si>
  <si>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</si>
  <si>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</si>
  <si>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</si>
  <si>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</si>
  <si>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</si>
  <si>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</si>
  <si>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</si>
  <si>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</si>
  <si>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</si>
  <si>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</si>
  <si>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</si>
  <si>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</si>
  <si>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</si>
  <si>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</si>
  <si>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</si>
  <si>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</si>
  <si>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</si>
  <si>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</si>
  <si>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</si>
  <si>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</si>
  <si>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</si>
  <si>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</si>
  <si>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</si>
  <si>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</si>
  <si>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</si>
  <si>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</si>
  <si>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</si>
  <si>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</si>
  <si>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</si>
  <si>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</si>
  <si>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</si>
  <si>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</si>
  <si>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</si>
  <si>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</si>
  <si>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</si>
  <si>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</si>
  <si>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</si>
  <si>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</si>
  <si>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</si>
  <si>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</si>
  <si>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</si>
  <si>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</si>
  <si>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</si>
  <si>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</si>
  <si>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</si>
  <si>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</si>
  <si>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</si>
  <si>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</si>
  <si>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</si>
  <si>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</si>
  <si>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</si>
  <si>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</si>
  <si>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</si>
  <si>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</si>
  <si>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</si>
  <si>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</si>
  <si>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</si>
  <si>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</si>
  <si>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</si>
  <si>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</si>
  <si>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</si>
  <si>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</si>
  <si>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</si>
  <si>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</si>
  <si>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</si>
  <si>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</si>
  <si>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</si>
  <si>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</si>
  <si>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</si>
  <si>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</si>
  <si>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</si>
  <si>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</si>
  <si>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</si>
  <si>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</si>
  <si>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</si>
  <si>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</si>
  <si>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</si>
  <si>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</si>
  <si>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</si>
  <si>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</si>
  <si>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</si>
  <si>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</si>
  <si>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</si>
  <si>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</si>
  <si>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</si>
  <si>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</si>
  <si>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</si>
  <si>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</si>
  <si>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</si>
  <si>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</si>
  <si>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</si>
  <si>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</si>
  <si>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</si>
  <si>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</si>
  <si>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</si>
  <si>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</si>
  <si>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</si>
  <si>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</si>
  <si>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</si>
  <si>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</si>
  <si>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</si>
  <si>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</si>
  <si>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</si>
  <si>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</si>
  <si>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</si>
  <si>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</si>
  <si>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</si>
  <si>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</si>
  <si>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</si>
  <si>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</si>
  <si>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</si>
  <si>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</si>
  <si>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</si>
  <si>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</si>
  <si>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</si>
  <si>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</si>
  <si>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</si>
  <si>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</si>
  <si>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</si>
  <si>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</si>
  <si>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</si>
  <si>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</si>
  <si>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</si>
  <si>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</si>
  <si>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</si>
  <si>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</si>
  <si>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</si>
  <si>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</si>
  <si>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</si>
  <si>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</si>
  <si>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</si>
  <si>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</si>
  <si>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</si>
  <si>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</si>
  <si>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</si>
  <si>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</si>
  <si>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</si>
  <si>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</si>
  <si>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</si>
  <si>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</si>
  <si>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</si>
  <si>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</si>
  <si>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</si>
  <si>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</si>
  <si>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</si>
  <si>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</si>
  <si>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</si>
  <si>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</si>
  <si>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</si>
  <si>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</si>
  <si>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</si>
  <si>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</si>
  <si>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</si>
  <si>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</si>
  <si>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</si>
  <si>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</si>
  <si>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</si>
  <si>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</si>
  <si>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</si>
  <si>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</si>
  <si>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</si>
  <si>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</si>
  <si>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</si>
  <si>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</si>
  <si>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</si>
  <si>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</si>
  <si>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</si>
  <si>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</si>
  <si>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</si>
  <si>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</si>
  <si>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</si>
  <si>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</si>
  <si>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</si>
  <si>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</si>
  <si>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</si>
  <si>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</si>
  <si>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</si>
  <si>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</si>
  <si>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</si>
  <si>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</si>
  <si>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</si>
  <si>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</si>
  <si>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</si>
  <si>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</si>
  <si>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</si>
  <si>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</si>
  <si>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</si>
  <si>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</si>
  <si>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</si>
  <si>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</si>
  <si>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</si>
  <si>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</si>
  <si>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</si>
  <si>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</si>
  <si>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</si>
  <si>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</si>
  <si>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</si>
  <si>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</si>
  <si>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</si>
  <si>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</si>
  <si>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</si>
  <si>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</si>
  <si>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</si>
  <si>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</si>
  <si>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</si>
  <si>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</si>
  <si>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</si>
  <si>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</si>
  <si>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</si>
  <si>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</si>
  <si>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</si>
  <si>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</si>
  <si>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</si>
  <si>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</si>
  <si>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</si>
  <si>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</si>
  <si>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</si>
  <si>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</si>
  <si>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</si>
  <si>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</si>
  <si>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</si>
  <si>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</si>
  <si>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</si>
  <si>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</si>
  <si>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</si>
  <si>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</si>
  <si>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</si>
  <si>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</si>
  <si>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</si>
  <si>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</si>
  <si>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</si>
  <si>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</si>
  <si>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</si>
  <si>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</si>
  <si>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</si>
  <si>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</si>
  <si>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</si>
  <si>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</si>
  <si>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</si>
  <si>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</si>
  <si>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</si>
  <si>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</si>
  <si>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</si>
  <si>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</si>
  <si>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</si>
  <si>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</si>
  <si>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</si>
  <si>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</si>
  <si>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</si>
  <si>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</si>
  <si>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</si>
  <si>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</si>
  <si>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</si>
  <si>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</si>
  <si>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</si>
  <si>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</si>
  <si>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</si>
  <si>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</si>
  <si>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</si>
  <si>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</si>
  <si>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</si>
  <si>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</si>
  <si>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</si>
  <si>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</si>
  <si>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</si>
  <si>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</si>
  <si>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</si>
  <si>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</si>
  <si>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</si>
  <si>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</si>
  <si>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</si>
  <si>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</si>
  <si>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</si>
  <si>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</si>
  <si>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</si>
  <si>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</si>
  <si>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</si>
  <si>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</si>
  <si>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</si>
  <si>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</si>
  <si>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</si>
  <si>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</si>
  <si>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</si>
  <si>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</si>
  <si>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</si>
  <si>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</si>
  <si>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</si>
  <si>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</si>
  <si>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</si>
  <si>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</si>
  <si>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</si>
  <si>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</si>
  <si>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</si>
  <si>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</si>
  <si>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</si>
  <si>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</si>
  <si>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</si>
  <si>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</si>
  <si>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</si>
  <si>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</si>
  <si>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</si>
  <si>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</si>
  <si>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</si>
  <si>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</si>
  <si>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</si>
  <si>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</si>
  <si>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</si>
  <si>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</si>
  <si>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</si>
  <si>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</si>
  <si>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</si>
  <si>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</si>
  <si>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</si>
  <si>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</si>
  <si>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</si>
  <si>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</si>
  <si>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</si>
  <si>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</si>
  <si>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</si>
  <si>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</si>
  <si>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</si>
  <si>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</si>
  <si>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</si>
  <si>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</si>
  <si>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</si>
  <si>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</si>
  <si>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</si>
  <si>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</si>
  <si>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</si>
  <si>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</si>
  <si>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</si>
  <si>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</si>
  <si>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</si>
  <si>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</si>
  <si>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</si>
  <si>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</si>
  <si>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</si>
  <si>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</si>
  <si>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</si>
  <si>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</si>
  <si>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</si>
  <si>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</si>
  <si>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</si>
  <si>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</si>
  <si>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</si>
  <si>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</si>
  <si>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</si>
  <si>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</si>
  <si>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</si>
  <si>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</si>
  <si>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</si>
  <si>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</si>
  <si>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</si>
  <si>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</si>
  <si>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</si>
  <si>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</si>
  <si>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</si>
  <si>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</si>
  <si>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</si>
  <si>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</si>
  <si>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</si>
  <si>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</si>
  <si>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</si>
  <si>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</si>
  <si>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</si>
  <si>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</si>
  <si>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</si>
  <si>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</si>
  <si>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</si>
  <si>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</si>
  <si>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</si>
  <si>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</si>
  <si>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</si>
  <si>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</si>
  <si>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</si>
  <si>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</si>
  <si>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</si>
  <si>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</si>
  <si>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</si>
  <si>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</si>
  <si>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</si>
  <si>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</si>
  <si>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</si>
  <si>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</si>
  <si>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</si>
  <si>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</si>
  <si>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</si>
  <si>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</si>
  <si>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</si>
  <si>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</si>
  <si>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</si>
  <si>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</si>
  <si>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</si>
  <si>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</si>
  <si>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</si>
  <si>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</si>
  <si>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</si>
  <si>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</si>
  <si>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</si>
  <si>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</si>
  <si>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</si>
  <si>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</si>
  <si>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</si>
  <si>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</si>
  <si>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</si>
  <si>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</si>
  <si>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</si>
  <si>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</si>
  <si>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</si>
  <si>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</si>
  <si>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</si>
  <si>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</si>
  <si>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</si>
  <si>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</si>
  <si>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</si>
  <si>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</si>
  <si>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</si>
  <si>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</si>
  <si>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</si>
  <si>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</si>
  <si>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</si>
  <si>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</si>
  <si>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</si>
  <si>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</si>
  <si>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</si>
  <si>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</si>
  <si>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</si>
  <si>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</si>
  <si>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</si>
  <si>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</si>
  <si>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</si>
  <si>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</si>
  <si>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</si>
  <si>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</si>
  <si>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</si>
  <si>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</si>
  <si>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</si>
  <si>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</si>
  <si>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</si>
  <si>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</si>
  <si>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</si>
  <si>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</si>
  <si>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</si>
  <si>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</si>
  <si>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</si>
  <si>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</si>
  <si>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</si>
  <si>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</si>
  <si>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</si>
  <si>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</si>
  <si>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</si>
  <si>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</si>
  <si>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</si>
  <si>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</si>
  <si>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</si>
  <si>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</si>
  <si>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</si>
  <si>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</si>
  <si>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</si>
  <si>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</si>
  <si>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</si>
  <si>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</si>
  <si>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</si>
  <si>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</si>
  <si>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</si>
  <si>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</si>
  <si>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</si>
  <si>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</si>
  <si>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</si>
  <si>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</si>
  <si>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</si>
  <si>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</si>
  <si>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</si>
  <si>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</si>
  <si>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</si>
  <si>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</si>
  <si>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</si>
  <si>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</si>
  <si>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</si>
  <si>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</si>
  <si>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</si>
  <si>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</si>
  <si>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</si>
  <si>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</si>
  <si>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</si>
  <si>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</si>
  <si>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</si>
  <si>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</si>
  <si>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</si>
  <si>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</si>
  <si>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</si>
  <si>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</si>
  <si>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</si>
  <si>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</si>
  <si>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</si>
  <si>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</si>
  <si>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</si>
  <si>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</si>
  <si>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</si>
  <si>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</si>
  <si>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</si>
  <si>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</si>
  <si>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</si>
  <si>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</si>
  <si>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</si>
  <si>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</si>
  <si>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</si>
  <si>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</si>
  <si>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</si>
  <si>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</si>
  <si>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</si>
  <si>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</si>
  <si>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</si>
  <si>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</si>
  <si>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</si>
  <si>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</si>
  <si>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</si>
  <si>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</si>
  <si>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</si>
  <si>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</si>
  <si>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</si>
  <si>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</si>
  <si>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</si>
  <si>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</si>
  <si>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</si>
  <si>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</si>
  <si>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</si>
  <si>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</si>
  <si>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</si>
  <si>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</si>
  <si>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</si>
  <si>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</si>
  <si>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</si>
  <si>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</si>
  <si>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</si>
  <si>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</si>
  <si>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</si>
  <si>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</si>
  <si>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</si>
  <si>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</si>
  <si>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</si>
  <si>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</si>
  <si>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</si>
  <si>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</si>
  <si>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</si>
  <si>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</si>
  <si>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</si>
  <si>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</si>
  <si>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</si>
  <si>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</si>
  <si>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</si>
  <si>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</si>
  <si>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</si>
  <si>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</si>
  <si>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</si>
  <si>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</si>
  <si>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</si>
  <si>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</si>
  <si>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</si>
  <si>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</si>
  <si>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</si>
  <si>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</si>
  <si>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</si>
  <si>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</si>
  <si>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</si>
  <si>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</si>
  <si>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</si>
  <si>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</si>
  <si>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</si>
  <si>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</si>
  <si>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</si>
  <si>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</si>
  <si>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</si>
  <si>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</si>
  <si>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</si>
  <si>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</si>
  <si>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</si>
  <si>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</si>
  <si>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</si>
  <si>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</si>
  <si>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</si>
  <si>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</si>
  <si>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</si>
  <si>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</si>
  <si>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</si>
  <si>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</si>
  <si>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</si>
  <si>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</si>
  <si>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</si>
  <si>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</si>
  <si>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</si>
  <si>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</si>
  <si>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</si>
  <si>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</si>
  <si>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</si>
  <si>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</si>
  <si>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</si>
  <si>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</si>
  <si>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</si>
  <si>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</si>
  <si>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</si>
  <si>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</si>
  <si>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</si>
  <si>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</si>
  <si>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</si>
  <si>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</si>
  <si>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</si>
  <si>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</si>
  <si>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</si>
  <si>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</si>
  <si>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</si>
  <si>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</si>
  <si>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</si>
  <si>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</si>
  <si>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</si>
  <si>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</si>
  <si>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</si>
  <si>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</si>
  <si>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</si>
  <si>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</si>
  <si>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</si>
  <si>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</si>
  <si>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</si>
  <si>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</si>
  <si>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</si>
  <si>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XAVIER MATEU</t>
  </si>
  <si>
    <t>IOANNIS TRIANTAFYLLOU</t>
  </si>
  <si>
    <t>VASILEIOS STAVROPOULOS</t>
  </si>
  <si>
    <t>ANASTASIOS KALESIORIS</t>
  </si>
  <si>
    <t>Excellent job!</t>
  </si>
  <si>
    <t>01:46</t>
  </si>
  <si>
    <t>00:16</t>
  </si>
  <si>
    <t>C:\Users\xavi.mateu\OneDrive - EUROLEAGUE\Desktop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</si>
</sst>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28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28_279_PAN_ULK_E2025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757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E2025</v>
      </c>
      <c r="C2" s="123">
        <v>279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56">
        <f ca="1">IF(ISERROR(VLOOKUP($B$2&amp;TEXT($C$2,"000"),GAMES!$A$3:$I$562,8,FALSE)),NOW(),VLOOKUP($B$2&amp;TEXT($C$2,"000"),GAMES!$A$3:$I$562,8,FALSE))</f>
        <v>46066.885416666664</v>
      </c>
      <c r="C3" s="157"/>
      <c r="D3" s="39">
        <v>589</v>
      </c>
      <c r="E3" s="29"/>
      <c r="F3" s="26">
        <f>SUBTOTAL(3,I17:I106)</f>
        <v>3</v>
      </c>
      <c r="G3" s="27">
        <f>IF(OR(D3="",D3=0),"",F3/D3)</f>
        <v>5.0933786078098476E-3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Panathinaikos AKTOR Athens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PAN</v>
      </c>
      <c r="I4" s="5"/>
      <c r="J4" s="119" t="s">
        <v>714</v>
      </c>
      <c r="K4" s="54" t="s">
        <v>743</v>
      </c>
      <c r="L4" s="5"/>
      <c r="M4" s="167" t="s">
        <v>754</v>
      </c>
      <c r="N4" s="168"/>
      <c r="O4" s="2"/>
      <c r="P4" s="2"/>
      <c r="Q4" s="84" t="s">
        <v>175</v>
      </c>
      <c r="R4" s="94">
        <f>(IF(G3="",0,G3))</f>
        <v>5.0933786078098476E-3</v>
      </c>
      <c r="S4" s="61">
        <f>SUM(I13:M13)</f>
        <v>0</v>
      </c>
      <c r="T4" s="78"/>
      <c r="U4" s="61">
        <f>AC18</f>
        <v>3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65" t="s">
        <v>87</v>
      </c>
      <c r="C5" s="166"/>
      <c r="D5" s="173" t="str">
        <f>IF(ISERROR(VLOOKUP(H5,Teams!$B$2:$C$44,2,FALSE)),"Visitor Team",VLOOKUP(H5,Teams!$B$2:$C$44,2,FALSE))</f>
        <v>Fenerbahce Beko Istanbul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ULK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0.50933786078098475</v>
      </c>
      <c r="S5" s="70">
        <f t="shared" ref="S5" si="0">S4*S3</f>
        <v>0</v>
      </c>
      <c r="T5" s="92"/>
      <c r="U5" s="70">
        <f t="shared" ref="U5:AG5" si="1">U4*U3</f>
        <v>1.5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3" t="s">
        <v>95</v>
      </c>
      <c r="C6" s="164"/>
      <c r="D6" s="178" t="s">
        <v>729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87" t="s">
        <v>96</v>
      </c>
      <c r="C7" s="188"/>
      <c r="D7" s="178" t="s">
        <v>751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2.0093378607809846</v>
      </c>
      <c r="N7" s="58"/>
      <c r="O7" s="2"/>
      <c r="P7" s="2"/>
      <c r="Q7" s="86">
        <f>SUM(R5,S5,AC16)</f>
        <v>2.0093378607809846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65" t="s">
        <v>97</v>
      </c>
      <c r="C8" s="189"/>
      <c r="D8" s="181" t="s">
        <v>731</v>
      </c>
      <c r="E8" s="182"/>
      <c r="F8" s="182"/>
      <c r="G8" s="18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2.0093378607809846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3" t="s">
        <v>98</v>
      </c>
      <c r="C9" s="190"/>
      <c r="D9" s="178" t="s">
        <v>732</v>
      </c>
      <c r="E9" s="179"/>
      <c r="F9" s="179"/>
      <c r="G9" s="180"/>
      <c r="H9" s="130" t="str">
        <f>VLOOKUP($H$4,Teams!$B$3:$O$44,3,FALSE)</f>
        <v>EMMANOUIL SMPOKOS</v>
      </c>
      <c r="I9" s="130" t="str">
        <f>VLOOKUP($H$4,Teams!$B$3:$O$44,3,FALSE)</f>
        <v>EMMANOUIL SMPOKOS</v>
      </c>
      <c r="J9" s="130" t="str">
        <f>VLOOKUP($H$4,Teams!$B$3:$O$44,5,FALSE)</f>
        <v>PANAGIOTIS MORAITIS</v>
      </c>
      <c r="K9" s="130" t="str">
        <f>VLOOKUP($H$4,Teams!$B$3:$O$44,6,FALSE)</f>
        <v>MARIA MERIKA</v>
      </c>
      <c r="L9" s="130" t="str">
        <f>VLOOKUP($H$4,Teams!$B$3:$O$44,7,FALSE)</f>
        <v>PANAGIOTA TSICHLI</v>
      </c>
      <c r="M9" s="131" t="str">
        <f>VLOOKUP($H$4,Teams!$B$3:$O$44,8,FALSE)</f>
        <v>KONSTANTINOS TROUPIS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65" t="s">
        <v>99</v>
      </c>
      <c r="C10" s="189"/>
      <c r="D10" s="181" t="s">
        <v>752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76" t="s">
        <v>108</v>
      </c>
      <c r="C11" s="177"/>
      <c r="D11" s="191" t="s">
        <v>753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279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76" t="s">
        <v>162</v>
      </c>
      <c r="C14" s="177"/>
      <c r="D14" s="184" t="s">
        <v>750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3</v>
      </c>
      <c r="J15" s="24">
        <f>SUBTOTAL(3,J17:J106)</f>
        <v>3</v>
      </c>
      <c r="K15" s="24">
        <f>SUBTOTAL(3,K17:K106)</f>
        <v>3</v>
      </c>
      <c r="L15" s="24">
        <f>SUBTOTAL(3,L17:L106)</f>
        <v>3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3</v>
      </c>
      <c r="Z16" s="90" t="s">
        <v>110</v>
      </c>
      <c r="AA16" s="75">
        <f>SUM(AA17:AA24)</f>
        <v>3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1.5</v>
      </c>
      <c r="AD16" s="75">
        <f>SUM(AD17:AD24)</f>
        <v>45</v>
      </c>
      <c r="AE16" s="76" t="s">
        <v>42</v>
      </c>
      <c r="AF16" s="75">
        <f>SUM(AF17:AF24)</f>
        <v>3</v>
      </c>
      <c r="AG16" s="75">
        <f>SUM(AG17:AG21)</f>
        <v>3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279</v>
      </c>
      <c r="D17" s="32" t="s">
        <v>755</v>
      </c>
      <c r="E17" s="33">
        <v>1</v>
      </c>
      <c r="F17" s="36">
        <v>12</v>
      </c>
      <c r="G17" s="36">
        <v>20</v>
      </c>
      <c r="H17" s="38" t="str">
        <f>IF(I17="","",$I$14)</f>
        <v>SCOUTING</v>
      </c>
      <c r="I17" s="34">
        <v>99</v>
      </c>
      <c r="J17" s="13" t="s">
        <v>4</v>
      </c>
      <c r="K17" s="13" t="s">
        <v>62</v>
      </c>
      <c r="L17" s="13" t="s">
        <v>5</v>
      </c>
      <c r="M17" s="13" t="s">
        <v>168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3</v>
      </c>
      <c r="Z17" s="105" t="s">
        <v>63</v>
      </c>
      <c r="AA17" s="62">
        <f>COUNTIF($K$17:$K$106,Z17)</f>
        <v>2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2</v>
      </c>
      <c r="AG17" s="62">
        <f>COUNTIF($E$17:$E$106,$AK17)</f>
        <v>3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E2025</v>
      </c>
      <c r="C18" s="31">
        <f t="shared" si="3"/>
        <v>279</v>
      </c>
      <c r="D18" s="32" t="s">
        <v>756</v>
      </c>
      <c r="E18" s="33">
        <v>1</v>
      </c>
      <c r="F18" s="36">
        <v>42</v>
      </c>
      <c r="G18" s="36">
        <v>41</v>
      </c>
      <c r="H18" s="38" t="str">
        <f t="shared" ref="H18:H81" si="8">IF(I18="","",$I$14)</f>
        <v>SCOUTING</v>
      </c>
      <c r="I18" s="34">
        <v>261</v>
      </c>
      <c r="J18" s="13" t="s">
        <v>4</v>
      </c>
      <c r="K18" s="13" t="s">
        <v>63</v>
      </c>
      <c r="L18" s="13" t="s">
        <v>5</v>
      </c>
      <c r="M18" s="13" t="s">
        <v>11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1</v>
      </c>
      <c r="AB18" s="66" t="s">
        <v>5</v>
      </c>
      <c r="AC18" s="61">
        <f t="shared" si="5"/>
        <v>3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>E2025</v>
      </c>
      <c r="C19" s="31">
        <f t="shared" si="3"/>
        <v>279</v>
      </c>
      <c r="D19" s="32" t="s">
        <v>756</v>
      </c>
      <c r="E19" s="33">
        <v>1</v>
      </c>
      <c r="F19" s="36">
        <v>42</v>
      </c>
      <c r="G19" s="36">
        <v>41</v>
      </c>
      <c r="H19" s="38" t="str">
        <f t="shared" si="8"/>
        <v>SCOUTING</v>
      </c>
      <c r="I19" s="34">
        <v>589</v>
      </c>
      <c r="J19" s="13" t="s">
        <v>4</v>
      </c>
      <c r="K19" s="13" t="s">
        <v>63</v>
      </c>
      <c r="L19" s="13" t="s">
        <v>5</v>
      </c>
      <c r="M19" s="13" t="s">
        <v>11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1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REPORT_E2025279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"E2025279"</v>
      </c>
      <c r="F3" s="45" t="str">
        <f t="shared" ref="F3:F16" si="0">""""&amp;B3&amp;"""" &amp; " : " &amp;C3&amp;","</f>
        <v>"name" : "E2025279",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"E279"</v>
      </c>
      <c r="F4" s="45" t="str">
        <f t="shared" si="0"/>
        <v>"cod" : "E279",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279</v>
      </c>
      <c r="F6" s="45" t="str">
        <f t="shared" si="0"/>
        <v>"number" : 279,</v>
      </c>
    </row>
    <row r="7" spans="2:6" x14ac:dyDescent="0.25">
      <c r="B7" s="43" t="s">
        <v>116</v>
      </c>
      <c r="C7" s="43" t="str">
        <f ca="1">""""&amp;TEXT('SCOUT &amp; LOGISTICS'!B3,"dd/mm/aaaa")&amp;""""</f>
        <v>"13/02/Friday"</v>
      </c>
      <c r="F7" s="45" t="str">
        <f t="shared" ca="1" si="0"/>
        <v>"date" : "13/02/Friday",</v>
      </c>
    </row>
    <row r="8" spans="2:6" x14ac:dyDescent="0.25">
      <c r="B8" s="43" t="s">
        <v>125</v>
      </c>
      <c r="C8" s="43" t="str">
        <f>""""&amp;'SCOUT &amp; LOGISTICS'!D4 &amp;""""</f>
        <v>"Panathinaikos AKTOR Athens"</v>
      </c>
      <c r="F8" s="45" t="str">
        <f t="shared" si="0"/>
        <v>"home_team" : "Panathinaikos AKTOR Athens",</v>
      </c>
    </row>
    <row r="9" spans="2:6" x14ac:dyDescent="0.25">
      <c r="B9" s="43" t="s">
        <v>126</v>
      </c>
      <c r="C9" s="43" t="str">
        <f>""""&amp;'SCOUT &amp; LOGISTICS'!D5&amp;""""</f>
        <v>"Fenerbahce Beko Istanbul"</v>
      </c>
      <c r="F9" s="45" t="str">
        <f t="shared" si="0"/>
        <v>"away_team" : "Fenerbahce Beko Istanbul",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"EMMANOUIL SMPOKOS"</v>
      </c>
      <c r="F10" s="45" t="str">
        <f t="shared" si="0"/>
        <v>"Data_entry" : "EMMANOUIL SMPOKOS",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"IOANNIS TRIANTAFYLLOU"</v>
      </c>
      <c r="F11" s="45" t="str">
        <f t="shared" si="0"/>
        <v>"Caller_1" : "IOANNIS TRIANTAFYLLOU",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"PANAGIOTIS MORAITIS"</v>
      </c>
      <c r="F12" s="45" t="str">
        <f t="shared" si="0"/>
        <v>"Caller_2" : "PANAGIOTIS MORAITIS",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"MARIA MERIKA"</v>
      </c>
      <c r="F13" s="45" t="str">
        <f t="shared" si="0"/>
        <v>"Timerkeeper" : "MARIA MERIKA",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"VASILEIOS STAVROPOULOS"</v>
      </c>
      <c r="F14" s="45" t="str">
        <f t="shared" si="0"/>
        <v>"Shotclock" : "VASILEIOS STAVROPOULOS",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"ANASTASIOS KALESIORIS"</v>
      </c>
      <c r="F15" s="45" t="str">
        <f t="shared" si="0"/>
        <v>"IRS" : "ANASTASIOS KALESIORIS",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"XAVIER MATEU"</v>
      </c>
      <c r="F16" s="45" t="str">
        <f t="shared" si="0"/>
        <v>"Live_Game_Manager" : "XAVIER MATEU",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589</v>
      </c>
      <c r="F25" s="45" t="str">
        <f t="shared" ref="F25:F48" si="1">""""&amp;C25&amp;"""" &amp; " : " &amp;D25&amp;","</f>
        <v>"total_actions" : 589,</v>
      </c>
    </row>
    <row r="26" spans="2:6" x14ac:dyDescent="0.25">
      <c r="C26" s="43" t="s">
        <v>132</v>
      </c>
      <c r="D26" s="43">
        <f>'SCOUT &amp; LOGISTICS'!F3</f>
        <v>3</v>
      </c>
      <c r="F26" s="45" t="str">
        <f t="shared" si="1"/>
        <v>"total_correcions" : 3,</v>
      </c>
    </row>
    <row r="27" spans="2:6" x14ac:dyDescent="0.25">
      <c r="C27" s="43" t="s">
        <v>133</v>
      </c>
      <c r="D27" s="43" t="str">
        <f>""""&amp;IF(OR(D25="",D25=0),"",TEXT(D26/D25,"0,0%"))&amp;""""</f>
        <v>"01%"</v>
      </c>
      <c r="F27" s="45" t="str">
        <f t="shared" si="1"/>
        <v>"%_corrections" : "01%",</v>
      </c>
    </row>
    <row r="28" spans="2:6" x14ac:dyDescent="0.25">
      <c r="C28" s="43" t="s">
        <v>125</v>
      </c>
      <c r="D28" s="43">
        <f>IF('SCOUT &amp; LOGISTICS'!AA17="","",'SCOUT &amp; LOGISTICS'!AA17)</f>
        <v>2</v>
      </c>
      <c r="F28" s="45" t="str">
        <f t="shared" si="1"/>
        <v>"home_team" : 2,</v>
      </c>
    </row>
    <row r="29" spans="2:6" x14ac:dyDescent="0.25">
      <c r="C29" s="43" t="s">
        <v>134</v>
      </c>
      <c r="D29" s="43">
        <f>IF('SCOUT &amp; LOGISTICS'!AA18="","",'SCOUT &amp; LOGISTICS'!AA18)</f>
        <v>1</v>
      </c>
      <c r="F29" s="45" t="str">
        <f t="shared" si="1"/>
        <v>"no_team" : 1,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3</v>
      </c>
      <c r="F31" s="45" t="str">
        <f t="shared" si="1"/>
        <v>"q1" : 3,</v>
      </c>
    </row>
    <row r="32" spans="2:6" x14ac:dyDescent="0.25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5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5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3</v>
      </c>
      <c r="F37" s="45" t="str">
        <f t="shared" si="1"/>
        <v>"scoresheet_corrections" : 3,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3</v>
      </c>
      <c r="F39" s="45" t="str">
        <f t="shared" si="1"/>
        <v>"missidentity" : 3,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"Excellent job!"</v>
      </c>
      <c r="F51" s="45" t="str">
        <f>""""&amp;B51&amp;"""" &amp; " : " &amp;C51&amp;","</f>
        <v>"comments" : "Excellent job!",</v>
      </c>
    </row>
    <row r="52" spans="2:6" x14ac:dyDescent="0.25">
      <c r="B52" s="43" t="s">
        <v>153</v>
      </c>
      <c r="C52" s="43" t="str">
        <f>TEXT('SCOUT &amp; LOGISTICS'!F1,"0,0")</f>
        <v>28_279_PAN_ULK_E2025</v>
      </c>
      <c r="F52" s="45" t="str">
        <f>""""&amp;B52&amp;"""" &amp; " : " &amp;C52</f>
        <v>"result" : 28_279_PAN_ULK_E2025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3">
      <c r="A3" s="48"/>
      <c r="B3" s="208" t="str">
        <f>"GAME: "&amp; LEFT('SCOUT &amp; LOGISTICS'!B2,1) &amp; TEXT('SCOUT &amp; LOGISTICS'!C2,"000") &amp; " " &amp; IF(LEFT('SCOUT &amp; LOGISTICS'!B2,1)="U","(EUROCUP)","(EUROLEAGUE)")</f>
        <v>GAME: E279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3">
      <c r="A4" s="48"/>
      <c r="B4" s="194" t="str">
        <f ca="1">"DATE: " &amp; TEXT('SCOUT &amp; LOGISTICS'!B3,"dd/mm")</f>
        <v>DATE: 13/02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49999999999999" customHeight="1" thickBot="1" x14ac:dyDescent="0.3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5" customHeight="1" thickBot="1" x14ac:dyDescent="0.3">
      <c r="A6" s="48"/>
      <c r="B6" s="212" t="str">
        <f>PROPER('SCOUT &amp; LOGISTICS'!D4)</f>
        <v>Panathinaikos Aktor Athens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Fenerbahce Beko Istanbul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3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3">
      <c r="A8" s="48"/>
      <c r="B8" s="206" t="str">
        <f>IF('SCOUT &amp; LOGISTICS'!D6="","",'SCOUT &amp; LOGISTICS'!D6)</f>
        <v>EMMANOUIL SMPOKOS</v>
      </c>
      <c r="C8" s="206"/>
      <c r="D8" s="206"/>
      <c r="E8" s="206"/>
      <c r="F8" s="206"/>
      <c r="G8" s="206" t="str">
        <f>IF('SCOUT &amp; LOGISTICS'!D7="","",'SCOUT &amp; LOGISTICS'!D7)</f>
        <v>IOANNIS TRIANTAFYLLOU</v>
      </c>
      <c r="H8" s="206"/>
      <c r="I8" s="206"/>
      <c r="J8" s="206"/>
      <c r="K8" s="206"/>
      <c r="L8" s="206" t="str">
        <f>IF('SCOUT &amp; LOGISTICS'!D8="","",'SCOUT &amp; LOGISTICS'!D8)</f>
        <v>PANAGIOTIS MORAITIS</v>
      </c>
      <c r="M8" s="206"/>
      <c r="N8" s="206"/>
      <c r="O8" s="206"/>
      <c r="P8" s="206"/>
      <c r="Q8" s="206" t="str">
        <f>IF('SCOUT &amp; LOGISTICS'!D9="","",'SCOUT &amp; LOGISTICS'!D9)</f>
        <v>MARIA MERIKA</v>
      </c>
      <c r="R8" s="206"/>
      <c r="S8" s="206"/>
      <c r="T8" s="206"/>
      <c r="U8" s="206"/>
      <c r="V8" s="206" t="str">
        <f>IF('SCOUT &amp; LOGISTICS'!D10="","",'SCOUT &amp; LOGISTICS'!D10)</f>
        <v>VASILEIOS STAVROPOULOS</v>
      </c>
      <c r="W8" s="206"/>
      <c r="X8" s="206"/>
      <c r="Y8" s="206"/>
      <c r="Z8" s="206"/>
      <c r="AA8" s="206" t="str">
        <f>IF('SCOUT &amp; LOGISTICS'!D11="","",'SCOUT &amp; LOGISTICS'!D11)</f>
        <v>ANASTASIOS KALESIORIS</v>
      </c>
      <c r="AB8" s="206"/>
      <c r="AC8" s="206"/>
      <c r="AD8" s="206"/>
      <c r="AE8" s="206"/>
      <c r="AF8" s="48"/>
    </row>
    <row r="9" spans="1:33" ht="13" thickBot="1" x14ac:dyDescent="0.3">
      <c r="A9" s="48"/>
      <c r="B9" s="200" t="str">
        <f>IF(OR('SCOUT &amp; LOGISTICS'!D14="",'SCOUT &amp; LOGISTICS'!D14=0),"",'SCOUT &amp; LOGISTICS'!B14 &amp; ": " &amp; 'SCOUT &amp; LOGISTICS'!D14) &amp; "     "</f>
        <v xml:space="preserve">L G M: : XAVIER MATEU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3" thickBot="1" x14ac:dyDescent="0.3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49999999999999" customHeight="1" thickBot="1" x14ac:dyDescent="0.3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3" thickBot="1" x14ac:dyDescent="0.3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49999999999999" customHeight="1" thickBot="1" x14ac:dyDescent="0.3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4">
        <f>'SCOUT &amp; LOGISTICS'!D3</f>
        <v>589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3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5.0933786078098476E-3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3" thickBot="1" x14ac:dyDescent="0.3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7">
        <f>IF('SCOUT &amp; LOGISTICS'!AA17="","",'SCOUT &amp; LOGISTICS'!AA17)</f>
        <v>2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1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7">
        <f>'SCOUT &amp; LOGISTICS'!AG17</f>
        <v>3</v>
      </c>
      <c r="C22" s="197"/>
      <c r="D22" s="197"/>
      <c r="E22" s="197"/>
      <c r="F22" s="197"/>
      <c r="G22" s="197"/>
      <c r="H22" s="197">
        <f>'SCOUT &amp; LOGISTICS'!AG18</f>
        <v>0</v>
      </c>
      <c r="I22" s="197"/>
      <c r="J22" s="197"/>
      <c r="K22" s="197"/>
      <c r="L22" s="197"/>
      <c r="M22" s="197"/>
      <c r="N22" s="197">
        <f>'SCOUT &amp; LOGISTICS'!AG19</f>
        <v>0</v>
      </c>
      <c r="O22" s="197"/>
      <c r="P22" s="197"/>
      <c r="Q22" s="197"/>
      <c r="R22" s="197"/>
      <c r="S22" s="197"/>
      <c r="T22" s="197">
        <f>'SCOUT &amp; LOGISTICS'!AG20</f>
        <v>0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3" thickBot="1" x14ac:dyDescent="0.3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7">
        <f>'SCOUT &amp; LOGISTICS'!Y17</f>
        <v>3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7">
        <f>'SCOUT &amp; LOGISTICS'!AC18</f>
        <v>3</v>
      </c>
      <c r="C27" s="197"/>
      <c r="D27" s="197"/>
      <c r="E27" s="197"/>
      <c r="F27" s="197"/>
      <c r="G27" s="197">
        <f>'SCOUT &amp; LOGISTICS'!AC22</f>
        <v>0</v>
      </c>
      <c r="H27" s="197"/>
      <c r="I27" s="197"/>
      <c r="J27" s="197"/>
      <c r="K27" s="197"/>
      <c r="L27" s="197">
        <f>'SCOUT &amp; LOGISTICS'!AC23</f>
        <v>0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3" thickBot="1" x14ac:dyDescent="0.3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49999999999999" customHeight="1" thickBot="1" x14ac:dyDescent="0.3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5" customHeight="1" thickBot="1" x14ac:dyDescent="0.3">
      <c r="A32" s="48"/>
      <c r="B32" s="195" t="str">
        <f>IF('SCOUT &amp; LOGISTICS'!M4="","",'SCOUT &amp; LOGISTICS'!M4)</f>
        <v>Excellent job!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49999999999999" customHeight="1" thickBot="1" x14ac:dyDescent="0.3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49999999999999" customHeight="1" thickBot="1" x14ac:dyDescent="0.3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196">
        <f>'SCOUT &amp; LOGISTICS'!M7</f>
        <v>2.0093378607809846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7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te a new document." ma:contentTypeScope="" ma:versionID="de36969f4ed48e290014b5fd8755fec7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499fb8b56df7ec750a6b01bb270a1e23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  <ds:schemaRef ds:uri="54eaeb27-407e-4594-8513-05236ac1c663"/>
    <ds:schemaRef ds:uri="1694b618-8e81-416b-aa01-0d9b54a17456"/>
  </ds:schemaRefs>
</ds:datastoreItem>
</file>

<file path=customXml/itemProps2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9BAA5895-F646-4E63-A783-0AD56B2E20F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694b618-8e81-416b-aa01-0d9b54a17456"/>
    <ds:schemaRef ds:uri="54eaeb27-407e-4594-8513-05236ac1c66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Xavi Mateu</cp:lastModifiedBy>
  <cp:lastPrinted>2026-02-13T22:01:44Z</cp:lastPrinted>
  <dcterms:created xsi:type="dcterms:W3CDTF">2023-09-19T19:50:35Z</dcterms:created>
  <dcterms:modified xsi:type="dcterms:W3CDTF">2026-02-13T22:01:50Z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