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1F093EF3-309E-4BFD-BC1F-5A263A575865}" xr6:coauthVersionLast="47" xr6:coauthVersionMax="47" xr10:uidLastSave="{2F26D1B4-779E-4F0D-8512-1F34F11AC532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<sst xmlns="http://schemas.openxmlformats.org/spreadsheetml/2006/main" count="3260" uniqueCount="758">
  <si>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</si>
  <si>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</si>
  <si>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</si>
  <si>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</si>
  <si>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</si>
  <si>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</si>
  <si>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</si>
  <si>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</si>
  <si>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</si>
  <si>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</si>
  <si>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</si>
  <si>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</si>
  <si>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</si>
  <si>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</si>
  <si>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</si>
  <si>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</si>
  <si>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</si>
  <si>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</si>
  <si>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</si>
  <si>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</si>
  <si>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</si>
  <si>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</si>
  <si>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</si>
  <si>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</si>
  <si>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</si>
  <si>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</si>
  <si>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</si>
  <si>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</si>
  <si>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</si>
  <si>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</si>
  <si>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</si>
  <si>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</si>
  <si>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</si>
  <si>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</si>
  <si>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</si>
  <si>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</si>
  <si>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</si>
  <si>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</si>
  <si>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</si>
  <si>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</si>
  <si>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</si>
  <si>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</si>
  <si>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</si>
  <si>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</si>
  <si>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</si>
  <si>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</si>
  <si>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</si>
  <si>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</si>
  <si>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</si>
  <si>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</si>
  <si>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</si>
  <si>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</si>
  <si>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</si>
  <si>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</si>
  <si>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</si>
  <si>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</si>
  <si>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</si>
  <si>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</si>
  <si>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</si>
  <si>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</si>
  <si>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</si>
  <si>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</si>
  <si>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</si>
  <si>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</si>
  <si>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</si>
  <si>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</si>
  <si>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</si>
  <si>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</si>
  <si>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</si>
  <si>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</si>
  <si>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</si>
  <si>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</si>
  <si>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</si>
  <si>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</si>
  <si>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</si>
  <si>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</si>
  <si>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</si>
  <si>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</si>
  <si>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</si>
  <si>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</si>
  <si>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</si>
  <si>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</si>
  <si>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</si>
  <si>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</si>
  <si>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</si>
  <si>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</si>
  <si>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</si>
  <si>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</si>
  <si>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</si>
  <si>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</si>
  <si>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</si>
  <si>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</si>
  <si>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</si>
  <si>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</si>
  <si>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</si>
  <si>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</si>
  <si>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</si>
  <si>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</si>
  <si>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</si>
  <si>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</si>
  <si>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</si>
  <si>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</si>
  <si>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</si>
  <si>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</si>
  <si>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</si>
  <si>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</si>
  <si>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</si>
  <si>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</si>
  <si>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</si>
  <si>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</si>
  <si>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</si>
  <si>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</si>
  <si>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</si>
  <si>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</si>
  <si>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</si>
  <si>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</si>
  <si>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</si>
  <si>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</si>
  <si>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</si>
  <si>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</si>
  <si>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</si>
  <si>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</si>
  <si>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</si>
  <si>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</si>
  <si>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</si>
  <si>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</si>
  <si>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</si>
  <si>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</si>
  <si>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</si>
  <si>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</si>
  <si>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</si>
  <si>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</si>
  <si>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</si>
  <si>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</si>
  <si>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</si>
  <si>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</si>
  <si>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</si>
  <si>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</si>
  <si>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</si>
  <si>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</si>
  <si>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</si>
  <si>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</si>
  <si>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</si>
  <si>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</si>
  <si>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</si>
  <si>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</si>
  <si>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</si>
  <si>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</si>
  <si>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</si>
  <si>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</si>
  <si>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</si>
  <si>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</si>
  <si>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</si>
  <si>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</si>
  <si>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</si>
  <si>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</si>
  <si>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</si>
  <si>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</si>
  <si>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</si>
  <si>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</si>
  <si>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</si>
  <si>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</si>
  <si>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</si>
  <si>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</si>
  <si>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</si>
  <si>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</si>
  <si>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</si>
  <si>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</si>
  <si>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</si>
  <si>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</si>
  <si>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</si>
  <si>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</si>
  <si>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</si>
  <si>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</si>
  <si>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</si>
  <si>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</si>
  <si>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</si>
  <si>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</si>
  <si>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</si>
  <si>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</si>
  <si>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</si>
  <si>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</si>
  <si>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</si>
  <si>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</si>
  <si>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</si>
  <si>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</si>
  <si>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</si>
  <si>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</si>
  <si>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</si>
  <si>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</si>
  <si>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</si>
  <si>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</si>
  <si>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</si>
  <si>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</si>
  <si>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</si>
  <si>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</si>
  <si>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</si>
  <si>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</si>
  <si>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</si>
  <si>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</si>
  <si>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</si>
  <si>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</si>
  <si>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</si>
  <si>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</si>
  <si>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</si>
  <si>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</si>
  <si>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</si>
  <si>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</si>
  <si>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</si>
  <si>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</si>
  <si>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</si>
  <si>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</si>
  <si>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</si>
  <si>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</si>
  <si>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</si>
  <si>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</si>
  <si>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</si>
  <si>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</si>
  <si>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</si>
  <si>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</si>
  <si>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</si>
  <si>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</si>
  <si>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</si>
  <si>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</si>
  <si>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</si>
  <si>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</si>
  <si>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</si>
  <si>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</si>
  <si>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</si>
  <si>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</si>
  <si>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</si>
  <si>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</si>
  <si>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</si>
  <si>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</si>
  <si>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</si>
  <si>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</si>
  <si>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</si>
  <si>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</si>
  <si>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</si>
  <si>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</si>
  <si>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</si>
  <si>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</si>
  <si>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</si>
  <si>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</si>
  <si>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</si>
  <si>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</si>
  <si>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</si>
  <si>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</si>
  <si>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</si>
  <si>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</si>
  <si>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</si>
  <si>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</si>
  <si>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</si>
  <si>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</si>
  <si>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</si>
  <si>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</si>
  <si>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</si>
  <si>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</si>
  <si>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</si>
  <si>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</si>
  <si>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</si>
  <si>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</si>
  <si>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</si>
  <si>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</si>
  <si>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</si>
  <si>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</si>
  <si>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</si>
  <si>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</si>
  <si>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</si>
  <si>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</si>
  <si>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</si>
  <si>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</si>
  <si>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</si>
  <si>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</si>
  <si>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</si>
  <si>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</si>
  <si>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</si>
  <si>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</si>
  <si>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</si>
  <si>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</si>
  <si>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</si>
  <si>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</si>
  <si>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</si>
  <si>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</si>
  <si>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</si>
  <si>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</si>
  <si>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</si>
  <si>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</si>
  <si>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</si>
  <si>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</si>
  <si>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</si>
  <si>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</si>
  <si>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</si>
  <si>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</si>
  <si>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</si>
  <si>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</si>
  <si>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</si>
  <si>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</si>
  <si>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</si>
  <si>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</si>
  <si>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</si>
  <si>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</si>
  <si>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</si>
  <si>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</si>
  <si>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</si>
  <si>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</si>
  <si>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</si>
  <si>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</si>
  <si>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</si>
  <si>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</si>
  <si>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</si>
  <si>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</si>
  <si>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</si>
  <si>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</si>
  <si>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</si>
  <si>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</si>
  <si>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</si>
  <si>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</si>
  <si>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</si>
  <si>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</si>
  <si>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</si>
  <si>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</si>
  <si>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</si>
  <si>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</si>
  <si>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</si>
  <si>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</si>
  <si>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</si>
  <si>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</si>
  <si>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</si>
  <si>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</si>
  <si>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</si>
  <si>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</si>
  <si>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</si>
  <si>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</si>
  <si>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</si>
  <si>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</si>
  <si>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</si>
  <si>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</si>
  <si>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</si>
  <si>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</si>
  <si>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</si>
  <si>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</si>
  <si>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</si>
  <si>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</si>
  <si>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</si>
  <si>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</si>
  <si>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</si>
  <si>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</si>
  <si>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</si>
  <si>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</si>
  <si>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</si>
  <si>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</si>
  <si>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</si>
  <si>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</si>
  <si>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</si>
  <si>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</si>
  <si>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</si>
  <si>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</si>
  <si>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</si>
  <si>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</si>
  <si>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</si>
  <si>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</si>
  <si>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</si>
  <si>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</si>
  <si>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</si>
  <si>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</si>
  <si>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</si>
  <si>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</si>
  <si>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</si>
  <si>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</si>
  <si>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</si>
  <si>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</si>
  <si>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</si>
  <si>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</si>
  <si>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</si>
  <si>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</si>
  <si>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</si>
  <si>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</si>
  <si>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</si>
  <si>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</si>
  <si>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</si>
  <si>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</si>
  <si>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</si>
  <si>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</si>
  <si>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</si>
  <si>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</si>
  <si>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</si>
  <si>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</si>
  <si>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</si>
  <si>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</si>
  <si>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</si>
  <si>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</si>
  <si>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</si>
  <si>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</si>
  <si>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</si>
  <si>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</si>
  <si>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</si>
  <si>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</si>
  <si>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</si>
  <si>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</si>
  <si>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</si>
  <si>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</si>
  <si>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</si>
  <si>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</si>
  <si>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</si>
  <si>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</si>
  <si>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</si>
  <si>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</si>
  <si>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</si>
  <si>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</si>
  <si>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</si>
  <si>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</si>
  <si>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</si>
  <si>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</si>
  <si>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</si>
  <si>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</si>
  <si>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</si>
  <si>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</si>
  <si>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</si>
  <si>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</si>
  <si>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</si>
  <si>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</si>
  <si>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</si>
  <si>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</si>
  <si>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</si>
  <si>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</si>
  <si>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</si>
  <si>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</si>
  <si>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</si>
  <si>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</si>
  <si>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</si>
  <si>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</si>
  <si>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</si>
  <si>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</si>
  <si>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</si>
  <si>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</si>
  <si>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</si>
  <si>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</si>
  <si>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</si>
  <si>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</si>
  <si>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</si>
  <si>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</si>
  <si>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</si>
  <si>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</si>
  <si>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</si>
  <si>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</si>
  <si>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</si>
  <si>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</si>
  <si>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</si>
  <si>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</si>
  <si>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</si>
  <si>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</si>
  <si>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</si>
  <si>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</si>
  <si>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</si>
  <si>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</si>
  <si>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</si>
  <si>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</si>
  <si>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</si>
  <si>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</si>
  <si>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</si>
  <si>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</si>
  <si>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</si>
  <si>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</si>
  <si>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</si>
  <si>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</si>
  <si>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</si>
  <si>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</si>
  <si>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</si>
  <si>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</si>
  <si>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</si>
  <si>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</si>
  <si>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</si>
  <si>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</si>
  <si>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</si>
  <si>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</si>
  <si>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</si>
  <si>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</si>
  <si>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</si>
  <si>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</si>
  <si>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</si>
  <si>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</si>
  <si>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</si>
  <si>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</si>
  <si>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</si>
  <si>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</si>
  <si>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</si>
  <si>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</si>
  <si>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</si>
  <si>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</si>
  <si>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</si>
  <si>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</si>
  <si>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</si>
  <si>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</si>
  <si>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</si>
  <si>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</si>
  <si>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</si>
  <si>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</si>
  <si>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</si>
  <si>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</si>
  <si>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</si>
  <si>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</si>
  <si>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</si>
  <si>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</si>
  <si>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</si>
  <si>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</si>
  <si>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</si>
  <si>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</si>
  <si>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</si>
  <si>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</si>
  <si>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</si>
  <si>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</si>
  <si>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</si>
  <si>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</si>
  <si>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</si>
  <si>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</si>
  <si>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</si>
  <si>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</si>
  <si>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</si>
  <si>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</si>
  <si>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</si>
  <si>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</si>
  <si>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</si>
  <si>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</si>
  <si>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</si>
  <si>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</si>
  <si>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</si>
  <si>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</si>
  <si>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</si>
  <si>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</si>
  <si>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</si>
  <si>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</si>
  <si>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</si>
  <si>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</si>
  <si>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</si>
  <si>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</si>
  <si>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</si>
  <si>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</si>
  <si>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</si>
  <si>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</si>
  <si>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</si>
  <si>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</si>
  <si>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</si>
  <si>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</si>
  <si>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</si>
  <si>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</si>
  <si>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</si>
  <si>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</si>
  <si>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</si>
  <si>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</si>
  <si>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</si>
  <si>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</si>
  <si>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</si>
  <si>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</si>
  <si>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</si>
  <si>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</si>
  <si>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</si>
  <si>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</si>
  <si>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</si>
  <si>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</si>
  <si>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</si>
  <si>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</si>
  <si>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</si>
  <si>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</si>
  <si>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</si>
  <si>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</si>
  <si>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</si>
  <si>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</si>
  <si>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</si>
  <si>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</si>
  <si>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</si>
  <si>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</si>
  <si>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</si>
  <si>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</si>
  <si>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</si>
  <si>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</si>
  <si>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</si>
  <si>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</si>
  <si>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</si>
  <si>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</si>
  <si>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</si>
  <si>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</si>
  <si>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</si>
  <si>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</si>
  <si>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</si>
  <si>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</si>
  <si>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</si>
  <si>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</si>
  <si>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</si>
  <si>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</si>
  <si>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</si>
  <si>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</si>
  <si>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</si>
  <si>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</si>
  <si>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</si>
  <si>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</si>
  <si>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</si>
  <si>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</si>
  <si>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</si>
  <si>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</si>
  <si>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</si>
  <si>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</si>
  <si>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</si>
  <si>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</si>
  <si>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</si>
  <si>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</si>
  <si>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</si>
  <si>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</si>
  <si>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</si>
  <si>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</si>
  <si>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</si>
  <si>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</si>
  <si>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</si>
  <si>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</si>
  <si>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</si>
  <si>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</si>
  <si>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</si>
  <si>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</si>
  <si>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</si>
  <si>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</si>
  <si>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</si>
  <si>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</si>
  <si>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</si>
  <si>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</si>
  <si>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</si>
  <si>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</si>
  <si>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</si>
  <si>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</si>
  <si>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</si>
  <si>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</si>
  <si>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</si>
  <si>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</si>
  <si>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</si>
  <si>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</si>
  <si>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</si>
  <si>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</si>
  <si>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</si>
  <si>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</si>
  <si>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</si>
  <si>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</si>
  <si>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</si>
  <si>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</si>
  <si>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</si>
  <si>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</si>
  <si>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</si>
  <si>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</si>
  <si>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</si>
  <si>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</si>
  <si>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</si>
  <si>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</si>
  <si>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</si>
  <si>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</si>
  <si>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</si>
  <si>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</si>
  <si>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</si>
  <si>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</si>
  <si>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</si>
  <si>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</si>
  <si>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</si>
  <si>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</si>
  <si>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</si>
  <si>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</si>
  <si>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</si>
  <si>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</si>
  <si>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</si>
  <si>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</si>
  <si>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</si>
  <si>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</si>
  <si>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</si>
  <si>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</si>
  <si>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</si>
  <si>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</si>
  <si>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</si>
  <si>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</si>
  <si>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</si>
  <si>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</si>
  <si>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</si>
  <si>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</si>
  <si>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</si>
  <si>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</si>
  <si>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</si>
  <si>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</si>
  <si>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</si>
  <si>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</si>
  <si>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</si>
  <si>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</si>
  <si>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</si>
  <si>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</si>
  <si>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</si>
  <si>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</si>
  <si>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</si>
  <si>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</si>
  <si>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</si>
  <si>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</si>
  <si>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</si>
  <si>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</si>
  <si>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</si>
  <si>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</si>
  <si>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</si>
  <si>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</si>
  <si>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</si>
  <si>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</si>
  <si>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</si>
  <si>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</si>
  <si>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</si>
  <si>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</si>
  <si>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</si>
  <si>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</si>
  <si>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</si>
  <si>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</si>
  <si>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</si>
  <si>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</si>
  <si>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</si>
  <si>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</si>
  <si>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</si>
  <si>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</si>
  <si>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</si>
  <si>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</si>
  <si>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</si>
  <si>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</si>
  <si>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</si>
  <si>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</si>
  <si>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</si>
  <si>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</si>
  <si>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</si>
  <si>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</si>
  <si>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</si>
  <si>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</si>
  <si>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</si>
  <si>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</si>
  <si>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</si>
  <si>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</si>
  <si>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</si>
  <si>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</si>
  <si>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</si>
  <si>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</si>
  <si>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</si>
  <si>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</si>
  <si>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</si>
  <si>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</si>
  <si>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</si>
  <si>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</si>
  <si>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</si>
  <si>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</si>
  <si>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</si>
  <si>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</si>
  <si>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</si>
  <si>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</si>
  <si>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</si>
  <si>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</si>
  <si>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</si>
  <si>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IOANNIS TRIANTAFYLLOU</t>
  </si>
  <si>
    <t>VASILEIOS STAVROPOULOS</t>
  </si>
  <si>
    <t>ANASTASIOS KALESIORIS</t>
  </si>
  <si>
    <t>Excellent job!</t>
  </si>
  <si>
    <t>01:46</t>
  </si>
  <si>
    <t>00:16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</si>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</sst>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28_279_PAN_ULK_E2025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46066.885416666664</v>
      </c>
      <c r="C3" s="157"/>
      <c r="D3" s="39">
        <v>589</v>
      </c>
      <c r="E3" s="29"/>
      <c r="F3" s="26">
        <f>SUBTOTAL(3,I17:I106)</f>
        <v>3</v>
      </c>
      <c r="G3" s="27">
        <f>IF(OR(D3="",D3=0),"",F3/D3)</f>
        <v>5.0933786078098476E-3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5.0933786078098476E-3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0.50933786078098475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2.0093378607809846</v>
      </c>
      <c r="N7" s="58"/>
      <c r="O7" s="2"/>
      <c r="P7" s="2"/>
      <c r="Q7" s="86">
        <f>SUM(R5,S5,AC16)</f>
        <v>2.0093378607809846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2.0093378607809846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279</v>
      </c>
      <c r="D17" s="32" t="s">
        <v>755</v>
      </c>
      <c r="E17" s="33">
        <v>1</v>
      </c>
      <c r="F17" s="36">
        <v>12</v>
      </c>
      <c r="G17" s="36">
        <v>20</v>
      </c>
      <c r="H17" s="38" t="str">
        <f>IF(I17="","",$I$14)</f>
        <v>SCOUTING</v>
      </c>
      <c r="I17" s="34">
        <v>99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279</v>
      </c>
      <c r="D18" s="32" t="s">
        <v>756</v>
      </c>
      <c r="E18" s="33">
        <v>1</v>
      </c>
      <c r="F18" s="36">
        <v>42</v>
      </c>
      <c r="G18" s="36">
        <v>41</v>
      </c>
      <c r="H18" s="38" t="str">
        <f t="shared" ref="H18:H81" si="8">IF(I18="","",$I$14)</f>
        <v>SCOUTING</v>
      </c>
      <c r="I18" s="34">
        <v>261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279</v>
      </c>
      <c r="D19" s="32" t="s">
        <v>756</v>
      </c>
      <c r="E19" s="33">
        <v>1</v>
      </c>
      <c r="F19" s="36">
        <v>42</v>
      </c>
      <c r="G19" s="36">
        <v>41</v>
      </c>
      <c r="H19" s="38" t="str">
        <f t="shared" si="8"/>
        <v>SCOUTING</v>
      </c>
      <c r="I19" s="34">
        <v>589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"E2025279"</v>
      </c>
      <c r="F3" s="45" t="str">
        <f t="shared" ref="F3:F16" si="0">""""&amp;B3&amp;"""" &amp; " : " &amp;C3&amp;","</f>
        <v>"name" : "E2025279",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"E279"</v>
      </c>
      <c r="F4" s="45" t="str">
        <f t="shared" si="0"/>
        <v>"cod" : "E279",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279</v>
      </c>
      <c r="F6" s="45" t="str">
        <f t="shared" si="0"/>
        <v>"number" : 279,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"IOANNIS TRIANTAFYLLOU"</v>
      </c>
      <c r="F11" s="45" t="str">
        <f t="shared" si="0"/>
        <v>"Caller_1" : "IOANNIS TRIANTAFYLLOU",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STAVROPOULOS"</v>
      </c>
      <c r="F14" s="45" t="str">
        <f t="shared" si="0"/>
        <v>"Shotclock" : "VASILEIOS STAVROPOULOS",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28_279_PAN_ULK_E2025</v>
      </c>
      <c r="F52" s="45" t="str">
        <f>""""&amp;B52&amp;"""" &amp; " : " &amp;C52</f>
        <v>"result" : 28_279_PAN_ULK_E2025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IOANNIS TRIANTAFYLLOU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VASILEIOS STAVROPOULOS</v>
      </c>
      <c r="W8" s="206"/>
      <c r="X8" s="206"/>
      <c r="Y8" s="206"/>
      <c r="Z8" s="206"/>
      <c r="AA8" s="206" t="str">
        <f>IF('SCOUT &amp; LOGISTICS'!D11="","",'SCOUT &amp; LOGISTICS'!D11)</f>
        <v>ANASTASIOS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5.0933786078098476E-3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2.0093378607809846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8A53B4-D314-40C9-ACCA-8305CC0D09D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2026-02-13T22:01:44Z</cp:lastPrinted>
  <dcterms:created xsi:type="dcterms:W3CDTF">2023-09-19T19:50:35Z</dcterms:created>
  <dcterms:modified xsi:type="dcterms:W3CDTF">2026-02-13T22:01:50Z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