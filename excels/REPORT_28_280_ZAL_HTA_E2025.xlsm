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4" documentId="8_{25D51633-B1CB-42DD-A1ED-2862C4CDA90D}" xr6:coauthVersionLast="47" xr6:coauthVersionMax="47" xr10:uidLastSave="{E4A0A7F4-3D8D-4509-8710-E84CECB1BC74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<sst xmlns="http://schemas.openxmlformats.org/spreadsheetml/2006/main" count="3260" uniqueCount="762">
  <si>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</si>
  <si>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</si>
  <si>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</si>
  <si>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</si>
  <si>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</si>
  <si>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</si>
  <si>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</si>
  <si>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</si>
  <si>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</si>
  <si>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</si>
  <si>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</si>
  <si>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</si>
  <si>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</si>
  <si>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</si>
  <si>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</si>
  <si>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</si>
  <si>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</si>
  <si>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</si>
  <si>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</si>
  <si>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</si>
  <si>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</si>
  <si>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</si>
  <si>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</si>
  <si>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</si>
  <si>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</si>
  <si>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</si>
  <si>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</si>
  <si>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</si>
  <si>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</si>
  <si>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</si>
  <si>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</si>
  <si>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</si>
  <si>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</si>
  <si>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</si>
  <si>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</si>
  <si>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</si>
  <si>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</si>
  <si>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</si>
  <si>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</si>
  <si>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</si>
  <si>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</si>
  <si>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</si>
  <si>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</si>
  <si>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</si>
  <si>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</si>
  <si>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</si>
  <si>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</si>
  <si>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</si>
  <si>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</si>
  <si>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</si>
  <si>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</si>
  <si>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</si>
  <si>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</si>
  <si>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</si>
  <si>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</si>
  <si>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</si>
  <si>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</si>
  <si>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</si>
  <si>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</si>
  <si>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</si>
  <si>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</si>
  <si>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</si>
  <si>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</si>
  <si>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</si>
  <si>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</si>
  <si>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</si>
  <si>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</si>
  <si>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</si>
  <si>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</si>
  <si>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</si>
  <si>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</si>
  <si>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</si>
  <si>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</si>
  <si>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</si>
  <si>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</si>
  <si>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</si>
  <si>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</si>
  <si>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</si>
  <si>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</si>
  <si>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</si>
  <si>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</si>
  <si>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</si>
  <si>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</si>
  <si>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</si>
  <si>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</si>
  <si>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</si>
  <si>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</si>
  <si>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</si>
  <si>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</si>
  <si>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</si>
  <si>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</si>
  <si>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</si>
  <si>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</si>
  <si>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</si>
  <si>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</si>
  <si>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</si>
  <si>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</si>
  <si>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</si>
  <si>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</si>
  <si>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</si>
  <si>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</si>
  <si>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</si>
  <si>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</si>
  <si>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</si>
  <si>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</si>
  <si>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</si>
  <si>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</si>
  <si>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</si>
  <si>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</si>
  <si>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</si>
  <si>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</si>
  <si>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</si>
  <si>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</si>
  <si>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</si>
  <si>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</si>
  <si>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</si>
  <si>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</si>
  <si>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</si>
  <si>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</si>
  <si>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</si>
  <si>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</si>
  <si>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</si>
  <si>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</si>
  <si>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</si>
  <si>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</si>
  <si>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</si>
  <si>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</si>
  <si>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</si>
  <si>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</si>
  <si>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</si>
  <si>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</si>
  <si>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</si>
  <si>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</si>
  <si>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</si>
  <si>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</si>
  <si>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</si>
  <si>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</si>
  <si>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</si>
  <si>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</si>
  <si>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</si>
  <si>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</si>
  <si>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</si>
  <si>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</si>
  <si>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</si>
  <si>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</si>
  <si>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</si>
  <si>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</si>
  <si>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</si>
  <si>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</si>
  <si>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</si>
  <si>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</si>
  <si>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</si>
  <si>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</si>
  <si>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</si>
  <si>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</si>
  <si>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</si>
  <si>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</si>
  <si>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</si>
  <si>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</si>
  <si>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</si>
  <si>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</si>
  <si>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</si>
  <si>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</si>
  <si>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</si>
  <si>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</si>
  <si>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</si>
  <si>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</si>
  <si>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</si>
  <si>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</si>
  <si>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</si>
  <si>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</si>
  <si>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</si>
  <si>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</si>
  <si>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</si>
  <si>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</si>
  <si>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</si>
  <si>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</si>
  <si>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</si>
  <si>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</si>
  <si>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</si>
  <si>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</si>
  <si>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</si>
  <si>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</si>
  <si>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</si>
  <si>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</si>
  <si>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</si>
  <si>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</si>
  <si>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</si>
  <si>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</si>
  <si>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</si>
  <si>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</si>
  <si>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</si>
  <si>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</si>
  <si>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</si>
  <si>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</si>
  <si>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</si>
  <si>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</si>
  <si>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</si>
  <si>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</si>
  <si>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</si>
  <si>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</si>
  <si>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</si>
  <si>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</si>
  <si>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</si>
  <si>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</si>
  <si>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</si>
  <si>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</si>
  <si>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</si>
  <si>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</si>
  <si>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</si>
  <si>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</si>
  <si>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</si>
  <si>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</si>
  <si>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</si>
  <si>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</si>
  <si>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</si>
  <si>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</si>
  <si>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</si>
  <si>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</si>
  <si>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</si>
  <si>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</si>
  <si>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</si>
  <si>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</si>
  <si>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</si>
  <si>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</si>
  <si>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</si>
  <si>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</si>
  <si>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</si>
  <si>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</si>
  <si>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</si>
  <si>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</si>
  <si>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</si>
  <si>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</si>
  <si>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</si>
  <si>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</si>
  <si>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</si>
  <si>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</si>
  <si>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</si>
  <si>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</si>
  <si>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</si>
  <si>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</si>
  <si>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</si>
  <si>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</si>
  <si>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</si>
  <si>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</si>
  <si>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</si>
  <si>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</si>
  <si>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</si>
  <si>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</si>
  <si>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</si>
  <si>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</si>
  <si>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</si>
  <si>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</si>
  <si>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</si>
  <si>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</si>
  <si>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</si>
  <si>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</si>
  <si>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</si>
  <si>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</si>
  <si>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</si>
  <si>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</si>
  <si>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</si>
  <si>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</si>
  <si>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</si>
  <si>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</si>
  <si>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</si>
  <si>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</si>
  <si>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</si>
  <si>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</si>
  <si>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</si>
  <si>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</si>
  <si>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</si>
  <si>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</si>
  <si>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</si>
  <si>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</si>
  <si>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</si>
  <si>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</si>
  <si>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</si>
  <si>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</si>
  <si>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</si>
  <si>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</si>
  <si>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</si>
  <si>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</si>
  <si>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</si>
  <si>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</si>
  <si>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</si>
  <si>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</si>
  <si>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</si>
  <si>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</si>
  <si>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</si>
  <si>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</si>
  <si>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</si>
  <si>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</si>
  <si>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</si>
  <si>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</si>
  <si>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</si>
  <si>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</si>
  <si>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</si>
  <si>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</si>
  <si>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</si>
  <si>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</si>
  <si>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</si>
  <si>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</si>
  <si>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</si>
  <si>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</si>
  <si>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</si>
  <si>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</si>
  <si>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</si>
  <si>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</si>
  <si>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</si>
  <si>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</si>
  <si>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</si>
  <si>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</si>
  <si>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</si>
  <si>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</si>
  <si>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</si>
  <si>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</si>
  <si>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</si>
  <si>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</si>
  <si>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</si>
  <si>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</si>
  <si>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</si>
  <si>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</si>
  <si>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</si>
  <si>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</si>
  <si>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</si>
  <si>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</si>
  <si>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</si>
  <si>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</si>
  <si>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</si>
  <si>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</si>
  <si>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</si>
  <si>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</si>
  <si>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</si>
  <si>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</si>
  <si>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</si>
  <si>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</si>
  <si>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</si>
  <si>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</si>
  <si>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</si>
  <si>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</si>
  <si>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</si>
  <si>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</si>
  <si>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</si>
  <si>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</si>
  <si>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</si>
  <si>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</si>
  <si>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</si>
  <si>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</si>
  <si>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</si>
  <si>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</si>
  <si>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</si>
  <si>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</si>
  <si>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</si>
  <si>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</si>
  <si>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</si>
  <si>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</si>
  <si>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</si>
  <si>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</si>
  <si>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</si>
  <si>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</si>
  <si>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</si>
  <si>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</si>
  <si>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</si>
  <si>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</si>
  <si>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</si>
  <si>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</si>
  <si>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</si>
  <si>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</si>
  <si>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</si>
  <si>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</si>
  <si>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</si>
  <si>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</si>
  <si>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</si>
  <si>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</si>
  <si>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</si>
  <si>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</si>
  <si>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</si>
  <si>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</si>
  <si>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</si>
  <si>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</si>
  <si>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</si>
  <si>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</si>
  <si>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</si>
  <si>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</si>
  <si>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</si>
  <si>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</si>
  <si>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</si>
  <si>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</si>
  <si>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</si>
  <si>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</si>
  <si>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</si>
  <si>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</si>
  <si>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</si>
  <si>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</si>
  <si>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</si>
  <si>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</si>
  <si>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</si>
  <si>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</si>
  <si>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</si>
  <si>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</si>
  <si>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</si>
  <si>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</si>
  <si>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</si>
  <si>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</si>
  <si>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</si>
  <si>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</si>
  <si>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</si>
  <si>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</si>
  <si>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</si>
  <si>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</si>
  <si>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</si>
  <si>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</si>
  <si>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</si>
  <si>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</si>
  <si>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</si>
  <si>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</si>
  <si>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</si>
  <si>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</si>
  <si>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</si>
  <si>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</si>
  <si>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</si>
  <si>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</si>
  <si>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</si>
  <si>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</si>
  <si>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</si>
  <si>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</si>
  <si>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</si>
  <si>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</si>
  <si>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</si>
  <si>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</si>
  <si>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</si>
  <si>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</si>
  <si>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</si>
  <si>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</si>
  <si>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</si>
  <si>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</si>
  <si>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</si>
  <si>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</si>
  <si>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</si>
  <si>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</si>
  <si>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</si>
  <si>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</si>
  <si>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</si>
  <si>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</si>
  <si>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</si>
  <si>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</si>
  <si>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</si>
  <si>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</si>
  <si>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</si>
  <si>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</si>
  <si>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</si>
  <si>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</si>
  <si>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</si>
  <si>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</si>
  <si>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</si>
  <si>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</si>
  <si>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</si>
  <si>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</si>
  <si>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</si>
  <si>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</si>
  <si>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</si>
  <si>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</si>
  <si>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</si>
  <si>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</si>
  <si>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</si>
  <si>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</si>
  <si>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</si>
  <si>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</si>
  <si>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</si>
  <si>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</si>
  <si>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</si>
  <si>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</si>
  <si>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</si>
  <si>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</si>
  <si>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</si>
  <si>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</si>
  <si>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</si>
  <si>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</si>
  <si>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</si>
  <si>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</si>
  <si>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</si>
  <si>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</si>
  <si>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</si>
  <si>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</si>
  <si>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</si>
  <si>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</si>
  <si>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</si>
  <si>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</si>
  <si>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</si>
  <si>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</si>
  <si>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</si>
  <si>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</si>
  <si>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</si>
  <si>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</si>
  <si>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</si>
  <si>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</si>
  <si>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</si>
  <si>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</si>
  <si>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</si>
  <si>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</si>
  <si>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</si>
  <si>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</si>
  <si>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</si>
  <si>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</si>
  <si>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</si>
  <si>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</si>
  <si>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</si>
  <si>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</si>
  <si>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</si>
  <si>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</si>
  <si>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</si>
  <si>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</si>
  <si>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</si>
  <si>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</si>
  <si>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</si>
  <si>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</si>
  <si>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</si>
  <si>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</si>
  <si>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</si>
  <si>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</si>
  <si>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</si>
  <si>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</si>
  <si>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</si>
  <si>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</si>
  <si>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</si>
  <si>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</si>
  <si>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</si>
  <si>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</si>
  <si>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</si>
  <si>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</si>
  <si>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</si>
  <si>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</si>
  <si>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</si>
  <si>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</si>
  <si>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</si>
  <si>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</si>
  <si>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</si>
  <si>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</si>
  <si>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</si>
  <si>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</si>
  <si>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</si>
  <si>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</si>
  <si>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</si>
  <si>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</si>
  <si>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</si>
  <si>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</si>
  <si>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</si>
  <si>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</si>
  <si>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</si>
  <si>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</si>
  <si>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</si>
  <si>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</si>
  <si>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</si>
  <si>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</si>
  <si>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</si>
  <si>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</si>
  <si>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</si>
  <si>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</si>
  <si>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</si>
  <si>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</si>
  <si>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</si>
  <si>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</si>
  <si>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</si>
  <si>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</si>
  <si>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</si>
  <si>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</si>
  <si>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</si>
  <si>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</si>
  <si>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</si>
  <si>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</si>
  <si>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</si>
  <si>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</si>
  <si>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</si>
  <si>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</si>
  <si>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</si>
  <si>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</si>
  <si>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</si>
  <si>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</si>
  <si>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</si>
  <si>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</si>
  <si>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</si>
  <si>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</si>
  <si>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</si>
  <si>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</si>
  <si>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</si>
  <si>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</si>
  <si>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</si>
  <si>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</si>
  <si>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</si>
  <si>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</si>
  <si>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</si>
  <si>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</si>
  <si>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</si>
  <si>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</si>
  <si>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</si>
  <si>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</si>
  <si>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</si>
  <si>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</si>
  <si>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</si>
  <si>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</si>
  <si>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</si>
  <si>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</si>
  <si>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</si>
  <si>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</si>
  <si>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</si>
  <si>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</si>
  <si>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</si>
  <si>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</si>
  <si>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</si>
  <si>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</si>
  <si>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</si>
  <si>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</si>
  <si>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</si>
  <si>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</si>
  <si>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</si>
  <si>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</si>
  <si>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</si>
  <si>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</si>
  <si>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</si>
  <si>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</si>
  <si>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</si>
  <si>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</si>
  <si>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</si>
  <si>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</si>
  <si>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</si>
  <si>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</si>
  <si>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</si>
  <si>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</si>
  <si>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</si>
  <si>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</si>
  <si>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</si>
  <si>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</si>
  <si>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</si>
  <si>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</si>
  <si>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</si>
  <si>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</si>
  <si>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</si>
  <si>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</si>
  <si>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</si>
  <si>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</si>
  <si>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</si>
  <si>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</si>
  <si>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</si>
  <si>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</si>
  <si>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</si>
  <si>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</si>
  <si>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</si>
  <si>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</si>
  <si>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</si>
  <si>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</si>
  <si>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</si>
  <si>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</si>
  <si>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</si>
  <si>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</si>
  <si>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</si>
  <si>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</si>
  <si>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</si>
  <si>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</si>
  <si>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</si>
  <si>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</si>
  <si>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</si>
  <si>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</si>
  <si>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</si>
  <si>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</si>
  <si>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</si>
  <si>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</si>
  <si>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</si>
  <si>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</si>
  <si>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</si>
  <si>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</si>
  <si>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</si>
  <si>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</si>
  <si>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</si>
  <si>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</si>
  <si>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</si>
  <si>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</si>
  <si>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</si>
  <si>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</si>
  <si>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</si>
  <si>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</si>
  <si>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</si>
  <si>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</si>
  <si>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</si>
  <si>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</si>
  <si>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</si>
  <si>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</si>
  <si>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</si>
  <si>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</si>
  <si>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</si>
  <si>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</si>
  <si>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</si>
  <si>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</si>
  <si>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</si>
  <si>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</si>
  <si>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</si>
  <si>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</si>
  <si>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</si>
  <si>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</si>
  <si>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</si>
  <si>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</si>
  <si>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</si>
  <si>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</si>
  <si>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</si>
  <si>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</si>
  <si>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</si>
  <si>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</si>
  <si>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</si>
  <si>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</si>
  <si>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</si>
  <si>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</si>
  <si>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</si>
  <si>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</si>
  <si>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</si>
  <si>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</si>
  <si>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</si>
  <si>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</si>
  <si>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</si>
  <si>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</si>
  <si>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</si>
  <si>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</si>
  <si>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</si>
  <si>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</si>
  <si>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</si>
  <si>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</si>
  <si>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</si>
  <si>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</si>
  <si>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</si>
  <si>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</si>
  <si>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</si>
  <si>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</si>
  <si>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</si>
  <si>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</si>
  <si>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</si>
  <si>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</si>
  <si>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</si>
  <si>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</si>
  <si>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</si>
  <si>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</si>
  <si>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</si>
  <si>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</si>
  <si>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</si>
  <si>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</si>
  <si>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</si>
  <si>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</si>
  <si>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</si>
  <si>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</si>
  <si>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</si>
  <si>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</si>
  <si>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</si>
  <si>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GIEDRE GARCINSKAITE</t>
  </si>
  <si>
    <t>RASA KIZIKAITE</t>
  </si>
  <si>
    <t>AUKSE ZAKRIENE</t>
  </si>
  <si>
    <t>VYTAUTAS RUDZEVICIUS</t>
  </si>
  <si>
    <t>MINDAUGAS RUDZEVICIUS</t>
  </si>
  <si>
    <t>NERIJUS MAINONIS</t>
  </si>
  <si>
    <t>ORIOL GARCIA</t>
  </si>
  <si>
    <t>01:52</t>
  </si>
  <si>
    <t>07:08</t>
  </si>
  <si>
    <t>05:37</t>
  </si>
  <si>
    <t>Very good procedures and very good scouting. Great level, great job!</t>
  </si>
  <si>
    <t>C:\Users\oriol.garcia\OneDrive - EUROLEAGUE\Documents\Season 25-26\Reports\Euroleague\Zalgiris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</si>
</sst>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0" sqref="N30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28_280_ZAL_HTA_E2025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46066.833333333336</v>
      </c>
      <c r="C3" s="157"/>
      <c r="D3" s="39">
        <v>514</v>
      </c>
      <c r="E3" s="29"/>
      <c r="F3" s="26">
        <f>SUBTOTAL(3,I17:I106)</f>
        <v>3</v>
      </c>
      <c r="G3" s="27">
        <f>IF(OR(D3="",D3=0),"",F3/D3)</f>
        <v>5.8365758754863814E-3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5.8365758754863814E-3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0.58365758754863817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3.0836575875486383</v>
      </c>
      <c r="N7" s="58"/>
      <c r="O7" s="2"/>
      <c r="P7" s="2"/>
      <c r="Q7" s="86">
        <f>SUM(R5,S5,AC16)</f>
        <v>3.0836575875486383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3.0836575875486383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280</v>
      </c>
      <c r="D17" s="32" t="s">
        <v>757</v>
      </c>
      <c r="E17" s="33">
        <v>3</v>
      </c>
      <c r="F17" s="36">
        <v>60</v>
      </c>
      <c r="G17" s="36">
        <v>56</v>
      </c>
      <c r="H17" s="38" t="str">
        <f>IF(I17="","",$I$14)</f>
        <v>SCOUTING</v>
      </c>
      <c r="I17" s="34">
        <v>369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280</v>
      </c>
      <c r="D18" s="32" t="s">
        <v>758</v>
      </c>
      <c r="E18" s="33">
        <v>4</v>
      </c>
      <c r="F18" s="36">
        <v>70</v>
      </c>
      <c r="G18" s="36">
        <v>66</v>
      </c>
      <c r="H18" s="38" t="str">
        <f t="shared" ref="H18:H81" si="8">IF(I18="","",$I$14)</f>
        <v>SCOUTING</v>
      </c>
      <c r="I18" s="34">
        <v>428</v>
      </c>
      <c r="J18" s="13" t="s">
        <v>4</v>
      </c>
      <c r="K18" s="13" t="s">
        <v>63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280</v>
      </c>
      <c r="D19" s="32" t="s">
        <v>759</v>
      </c>
      <c r="E19" s="33">
        <v>4</v>
      </c>
      <c r="F19" s="36">
        <v>78</v>
      </c>
      <c r="G19" s="36">
        <v>68</v>
      </c>
      <c r="H19" s="38" t="str">
        <f t="shared" si="8"/>
        <v>SCOUTING</v>
      </c>
      <c r="I19" s="34">
        <v>445</v>
      </c>
      <c r="J19" s="13" t="s">
        <v>4</v>
      </c>
      <c r="K19" s="13" t="s">
        <v>62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REPORT_E2025280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"E2025280"</v>
      </c>
      <c r="F3" s="45" t="str">
        <f t="shared" ref="F3:F16" si="0">""""&amp;B3&amp;"""" &amp; " : " &amp;C3&amp;","</f>
        <v>"name" : "E2025280",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"E280"</v>
      </c>
      <c r="F4" s="45" t="str">
        <f t="shared" si="0"/>
        <v>"cod" : "E280",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280</v>
      </c>
      <c r="F6" s="45" t="str">
        <f t="shared" si="0"/>
        <v>"number" : 280,</v>
      </c>
    </row>
    <row r="7" spans="2:6" x14ac:dyDescent="0.25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514</v>
      </c>
      <c r="F25" s="45" t="str">
        <f t="shared" ref="F25:F48" si="1">""""&amp;C25&amp;"""" &amp; " : " &amp;D25&amp;","</f>
        <v>"total_actions" : 514,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procedures and very good scouting. Great level, great job!"</v>
      </c>
      <c r="F51" s="45" t="str">
        <f>""""&amp;B51&amp;"""" &amp; " : " &amp;C51&amp;","</f>
        <v>"comments" : "Very good procedures and very good scouting. Great level, great job!",</v>
      </c>
    </row>
    <row r="52" spans="2:6" x14ac:dyDescent="0.25">
      <c r="B52" s="43" t="s">
        <v>153</v>
      </c>
      <c r="C52" s="43" t="str">
        <f>TEXT('SCOUT &amp; LOGISTICS'!F1,"0,0")</f>
        <v>28_280_ZAL_HTA_E2025</v>
      </c>
      <c r="F52" s="45" t="str">
        <f>""""&amp;B52&amp;"""" &amp; " : " &amp;C52</f>
        <v>"result" : 28_280_ZAL_HTA_E2025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E280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5.8365758754863814E-3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procedures and very good scouting. Great level, great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3.0836575875486383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6ECECA0-3090-40BC-A113-29F7647650F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2026-02-16T09:21:02Z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