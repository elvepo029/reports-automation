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EA313D6B-34E7-43CE-BC22-CE48C066FBC9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<sst xmlns="http://schemas.openxmlformats.org/spreadsheetml/2006/main" count="3300" uniqueCount="769">
  <si>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</si>
  <si>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</si>
  <si>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</si>
  <si>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</si>
  <si>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</si>
  <si>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</si>
  <si>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</si>
  <si>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</si>
  <si>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</si>
  <si>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</si>
  <si>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</si>
  <si>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</si>
  <si>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</si>
  <si>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</si>
  <si>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</si>
  <si>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</si>
  <si>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</si>
  <si>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</si>
  <si>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</si>
  <si>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</si>
  <si>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</si>
  <si>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</si>
  <si>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</si>
  <si>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</si>
  <si>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</si>
  <si>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</si>
  <si>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</si>
  <si>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</si>
  <si>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</si>
  <si>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</si>
  <si>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</si>
  <si>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</si>
  <si>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</si>
  <si>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</si>
  <si>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</si>
  <si>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</si>
  <si>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</si>
  <si>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</si>
  <si>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</si>
  <si>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</si>
  <si>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</si>
  <si>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</si>
  <si>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</si>
  <si>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</si>
  <si>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</si>
  <si>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</si>
  <si>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</si>
  <si>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</si>
  <si>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</si>
  <si>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</si>
  <si>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</si>
  <si>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</si>
  <si>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</si>
  <si>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</si>
  <si>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</si>
  <si>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</si>
  <si>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</si>
  <si>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</si>
  <si>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</si>
  <si>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</si>
  <si>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</si>
  <si>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</si>
  <si>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</si>
  <si>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</si>
  <si>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</si>
  <si>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</si>
  <si>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</si>
  <si>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</si>
  <si>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</si>
  <si>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</si>
  <si>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</si>
  <si>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</si>
  <si>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</si>
  <si>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</si>
  <si>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</si>
  <si>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</si>
  <si>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</si>
  <si>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</si>
  <si>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</si>
  <si>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</si>
  <si>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</si>
  <si>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</si>
  <si>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</si>
  <si>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</si>
  <si>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</si>
  <si>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</si>
  <si>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</si>
  <si>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</si>
  <si>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</si>
  <si>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</si>
  <si>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</si>
  <si>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</si>
  <si>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</si>
  <si>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</si>
  <si>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</si>
  <si>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</si>
  <si>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</si>
  <si>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</si>
  <si>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</si>
  <si>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</si>
  <si>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</si>
  <si>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</si>
  <si>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</si>
  <si>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</si>
  <si>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</si>
  <si>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</si>
  <si>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</si>
  <si>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</si>
  <si>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</si>
  <si>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</si>
  <si>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</si>
  <si>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</si>
  <si>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</si>
  <si>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</si>
  <si>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</si>
  <si>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</si>
  <si>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</si>
  <si>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</si>
  <si>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</si>
  <si>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</si>
  <si>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</si>
  <si>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</si>
  <si>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</si>
  <si>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</si>
  <si>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</si>
  <si>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</si>
  <si>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</si>
  <si>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</si>
  <si>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</si>
  <si>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</si>
  <si>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</si>
  <si>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</si>
  <si>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</si>
  <si>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</si>
  <si>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</si>
  <si>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</si>
  <si>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</si>
  <si>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</si>
  <si>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</si>
  <si>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</si>
  <si>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</si>
  <si>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</si>
  <si>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</si>
  <si>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</si>
  <si>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</si>
  <si>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</si>
  <si>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</si>
  <si>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</si>
  <si>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</si>
  <si>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</si>
  <si>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</si>
  <si>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</si>
  <si>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</si>
  <si>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</si>
  <si>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</si>
  <si>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</si>
  <si>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</si>
  <si>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</si>
  <si>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</si>
  <si>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</si>
  <si>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</si>
  <si>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</si>
  <si>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</si>
  <si>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</si>
  <si>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</si>
  <si>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</si>
  <si>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</si>
  <si>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</si>
  <si>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</si>
  <si>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</si>
  <si>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</si>
  <si>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</si>
  <si>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</si>
  <si>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</si>
  <si>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</si>
  <si>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</si>
  <si>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</si>
  <si>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</si>
  <si>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</si>
  <si>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</si>
  <si>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</si>
  <si>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</si>
  <si>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</si>
  <si>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</si>
  <si>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</si>
  <si>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</si>
  <si>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</si>
  <si>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</si>
  <si>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</si>
  <si>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</si>
  <si>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</si>
  <si>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</si>
  <si>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</si>
  <si>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</si>
  <si>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</si>
  <si>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</si>
  <si>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</si>
  <si>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</si>
  <si>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</si>
  <si>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</si>
  <si>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</si>
  <si>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</si>
  <si>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</si>
  <si>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</si>
  <si>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</si>
  <si>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</si>
  <si>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</si>
  <si>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</si>
  <si>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</si>
  <si>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</si>
  <si>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</si>
  <si>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</si>
  <si>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</si>
  <si>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</si>
  <si>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</si>
  <si>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</si>
  <si>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</si>
  <si>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</si>
  <si>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</si>
  <si>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</si>
  <si>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</si>
  <si>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</si>
  <si>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</si>
  <si>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</si>
  <si>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</si>
  <si>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</si>
  <si>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</si>
  <si>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</si>
  <si>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</si>
  <si>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</si>
  <si>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</si>
  <si>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</si>
  <si>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</si>
  <si>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</si>
  <si>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</si>
  <si>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</si>
  <si>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</si>
  <si>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</si>
  <si>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</si>
  <si>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</si>
  <si>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</si>
  <si>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</si>
  <si>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</si>
  <si>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</si>
  <si>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</si>
  <si>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</si>
  <si>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</si>
  <si>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</si>
  <si>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</si>
  <si>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</si>
  <si>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</si>
  <si>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</si>
  <si>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</si>
  <si>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</si>
  <si>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</si>
  <si>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</si>
  <si>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</si>
  <si>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</si>
  <si>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</si>
  <si>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</si>
  <si>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</si>
  <si>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</si>
  <si>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</si>
  <si>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</si>
  <si>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</si>
  <si>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</si>
  <si>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</si>
  <si>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</si>
  <si>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</si>
  <si>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</si>
  <si>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</si>
  <si>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</si>
  <si>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</si>
  <si>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</si>
  <si>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</si>
  <si>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</si>
  <si>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</si>
  <si>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</si>
  <si>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</si>
  <si>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</si>
  <si>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</si>
  <si>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</si>
  <si>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</si>
  <si>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</si>
  <si>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</si>
  <si>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</si>
  <si>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</si>
  <si>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</si>
  <si>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</si>
  <si>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</si>
  <si>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</si>
  <si>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</si>
  <si>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</si>
  <si>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</si>
  <si>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</si>
  <si>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</si>
  <si>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</si>
  <si>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</si>
  <si>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</si>
  <si>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</si>
  <si>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</si>
  <si>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</si>
  <si>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</si>
  <si>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</si>
  <si>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</si>
  <si>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</si>
  <si>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</si>
  <si>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</si>
  <si>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</si>
  <si>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</si>
  <si>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</si>
  <si>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</si>
  <si>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</si>
  <si>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</si>
  <si>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</si>
  <si>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</si>
  <si>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</si>
  <si>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</si>
  <si>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</si>
  <si>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</si>
  <si>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</si>
  <si>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</si>
  <si>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</si>
  <si>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</si>
  <si>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</si>
  <si>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</si>
  <si>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</si>
  <si>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</si>
  <si>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</si>
  <si>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</si>
  <si>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</si>
  <si>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</si>
  <si>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</si>
  <si>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</si>
  <si>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</si>
  <si>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</si>
  <si>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</si>
  <si>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</si>
  <si>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</si>
  <si>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</si>
  <si>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</si>
  <si>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</si>
  <si>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</si>
  <si>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</si>
  <si>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</si>
  <si>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</si>
  <si>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</si>
  <si>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</si>
  <si>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</si>
  <si>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</si>
  <si>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</si>
  <si>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</si>
  <si>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</si>
  <si>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</si>
  <si>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</si>
  <si>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</si>
  <si>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</si>
  <si>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</si>
  <si>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</si>
  <si>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</si>
  <si>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</si>
  <si>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</si>
  <si>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</si>
  <si>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</si>
  <si>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</si>
  <si>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</si>
  <si>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</si>
  <si>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</si>
  <si>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</si>
  <si>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</si>
  <si>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</si>
  <si>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</si>
  <si>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</si>
  <si>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</si>
  <si>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</si>
  <si>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</si>
  <si>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</si>
  <si>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</si>
  <si>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</si>
  <si>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</si>
  <si>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</si>
  <si>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</si>
  <si>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</si>
  <si>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</si>
  <si>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</si>
  <si>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</si>
  <si>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</si>
  <si>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</si>
  <si>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</si>
  <si>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</si>
  <si>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</si>
  <si>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</si>
  <si>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</si>
  <si>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</si>
  <si>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</si>
  <si>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</si>
  <si>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</si>
  <si>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</si>
  <si>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</si>
  <si>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</si>
  <si>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</si>
  <si>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</si>
  <si>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</si>
  <si>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</si>
  <si>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</si>
  <si>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</si>
  <si>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</si>
  <si>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</si>
  <si>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</si>
  <si>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</si>
  <si>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</si>
  <si>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</si>
  <si>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</si>
  <si>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</si>
  <si>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</si>
  <si>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</si>
  <si>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</si>
  <si>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</si>
  <si>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</si>
  <si>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</si>
  <si>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</si>
  <si>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</si>
  <si>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</si>
  <si>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</si>
  <si>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</si>
  <si>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</si>
  <si>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</si>
  <si>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</si>
  <si>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</si>
  <si>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</si>
  <si>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</si>
  <si>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</si>
  <si>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</si>
  <si>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</si>
  <si>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</si>
  <si>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</si>
  <si>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</si>
  <si>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</si>
  <si>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</si>
  <si>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</si>
  <si>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</si>
  <si>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</si>
  <si>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</si>
  <si>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</si>
  <si>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</si>
  <si>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</si>
  <si>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</si>
  <si>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</si>
  <si>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</si>
  <si>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</si>
  <si>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</si>
  <si>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</si>
  <si>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</si>
  <si>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</si>
  <si>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</si>
  <si>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</si>
  <si>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</si>
  <si>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</si>
  <si>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</si>
  <si>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</si>
  <si>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</si>
  <si>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</si>
  <si>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</si>
  <si>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</si>
  <si>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</si>
  <si>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</si>
  <si>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</si>
  <si>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</si>
  <si>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</si>
  <si>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</si>
  <si>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</si>
  <si>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</si>
  <si>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</si>
  <si>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</si>
  <si>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</si>
  <si>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</si>
  <si>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</si>
  <si>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</si>
  <si>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</si>
  <si>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</si>
  <si>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</si>
  <si>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</si>
  <si>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</si>
  <si>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</si>
  <si>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</si>
  <si>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</si>
  <si>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</si>
  <si>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</si>
  <si>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</si>
  <si>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</si>
  <si>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</si>
  <si>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</si>
  <si>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</si>
  <si>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</si>
  <si>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</si>
  <si>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</si>
  <si>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</si>
  <si>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</si>
  <si>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</si>
  <si>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</si>
  <si>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</si>
  <si>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</si>
  <si>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</si>
  <si>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</si>
  <si>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</si>
  <si>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</si>
  <si>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</si>
  <si>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</si>
  <si>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</si>
  <si>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</si>
  <si>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</si>
  <si>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</si>
  <si>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</si>
  <si>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</si>
  <si>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</si>
  <si>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</si>
  <si>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</si>
  <si>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</si>
  <si>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</si>
  <si>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</si>
  <si>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</si>
  <si>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</si>
  <si>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</si>
  <si>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</si>
  <si>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</si>
  <si>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</si>
  <si>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</si>
  <si>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</si>
  <si>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</si>
  <si>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</si>
  <si>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</si>
  <si>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</si>
  <si>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</si>
  <si>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</si>
  <si>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</si>
  <si>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</si>
  <si>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</si>
  <si>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</si>
  <si>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</si>
  <si>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</si>
  <si>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</si>
  <si>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</si>
  <si>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</si>
  <si>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</si>
  <si>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</si>
  <si>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</si>
  <si>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</si>
  <si>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</si>
  <si>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</si>
  <si>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</si>
  <si>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</si>
  <si>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</si>
  <si>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</si>
  <si>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</si>
  <si>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</si>
  <si>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</si>
  <si>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</si>
  <si>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</si>
  <si>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</si>
  <si>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</si>
  <si>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</si>
  <si>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</si>
  <si>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</si>
  <si>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</si>
  <si>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</si>
  <si>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</si>
  <si>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</si>
  <si>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</si>
  <si>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</si>
  <si>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</si>
  <si>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</si>
  <si>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</si>
  <si>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</si>
  <si>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</si>
  <si>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</si>
  <si>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</si>
  <si>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</si>
  <si>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</si>
  <si>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</si>
  <si>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</si>
  <si>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</si>
  <si>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</si>
  <si>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</si>
  <si>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</si>
  <si>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</si>
  <si>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</si>
  <si>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</si>
  <si>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</si>
  <si>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</si>
  <si>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</si>
  <si>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</si>
  <si>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</si>
  <si>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</si>
  <si>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</si>
  <si>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</si>
  <si>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</si>
  <si>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</si>
  <si>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</si>
  <si>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</si>
  <si>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</si>
  <si>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</si>
  <si>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</si>
  <si>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</si>
  <si>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</si>
  <si>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</si>
  <si>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</si>
  <si>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</si>
  <si>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</si>
  <si>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</si>
  <si>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</si>
  <si>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</si>
  <si>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</si>
  <si>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</si>
  <si>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</si>
  <si>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</si>
  <si>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</si>
  <si>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</si>
  <si>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</si>
  <si>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</si>
  <si>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</si>
  <si>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</si>
  <si>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</si>
  <si>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</si>
  <si>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</si>
  <si>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</si>
  <si>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</si>
  <si>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</si>
  <si>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</si>
  <si>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</si>
  <si>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</si>
  <si>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</si>
  <si>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</si>
  <si>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</si>
  <si>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</si>
  <si>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</si>
  <si>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</si>
  <si>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</si>
  <si>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</si>
  <si>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</si>
  <si>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</si>
  <si>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</si>
  <si>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</si>
  <si>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</si>
  <si>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</si>
  <si>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</si>
  <si>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</si>
  <si>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</si>
  <si>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</si>
  <si>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</si>
  <si>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</si>
  <si>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</si>
  <si>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</si>
  <si>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</si>
  <si>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</si>
  <si>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</si>
  <si>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</si>
  <si>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</si>
  <si>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</si>
  <si>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</si>
  <si>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</si>
  <si>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</si>
  <si>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</si>
  <si>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</si>
  <si>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</si>
  <si>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</si>
  <si>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</si>
  <si>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</si>
  <si>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</si>
  <si>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</si>
  <si>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</si>
  <si>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</si>
  <si>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</si>
  <si>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</si>
  <si>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</si>
  <si>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</si>
  <si>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</si>
  <si>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</si>
  <si>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</si>
  <si>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</si>
  <si>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</si>
  <si>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</si>
  <si>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</si>
  <si>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</si>
  <si>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</si>
  <si>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</si>
  <si>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</si>
  <si>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</si>
  <si>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</si>
  <si>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</si>
  <si>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</si>
  <si>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</si>
  <si>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</si>
  <si>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</si>
  <si>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</si>
  <si>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</si>
  <si>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</si>
  <si>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</si>
  <si>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</si>
  <si>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</si>
  <si>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</si>
  <si>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</si>
  <si>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</si>
  <si>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</si>
  <si>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</si>
  <si>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</si>
  <si>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</si>
  <si>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</si>
  <si>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</si>
  <si>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</si>
  <si>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</si>
  <si>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</si>
  <si>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</si>
  <si>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</si>
  <si>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</si>
  <si>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</si>
  <si>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</si>
  <si>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</si>
  <si>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</si>
  <si>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</si>
  <si>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</si>
  <si>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</si>
  <si>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</si>
  <si>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</si>
  <si>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</si>
  <si>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</si>
  <si>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</si>
  <si>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</si>
  <si>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</si>
  <si>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</si>
  <si>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</si>
  <si>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</si>
  <si>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</si>
  <si>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</si>
  <si>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</si>
  <si>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</si>
  <si>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</si>
  <si>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</si>
  <si>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</si>
  <si>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</si>
  <si>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</si>
  <si>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</si>
  <si>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</si>
  <si>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</si>
  <si>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</si>
  <si>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</si>
  <si>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</si>
  <si>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</si>
  <si>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</si>
  <si>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</si>
  <si>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</si>
  <si>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</si>
  <si>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GIACOMO CAMPANELLA</t>
  </si>
  <si>
    <t>SIMONE LICEN</t>
  </si>
  <si>
    <t>EDOARDO GAUDENZI</t>
  </si>
  <si>
    <t>GIADA GUIDA</t>
  </si>
  <si>
    <t>FRANCESCA DONNICI</t>
  </si>
  <si>
    <t>FEDERICO GRAZI</t>
  </si>
  <si>
    <t>9:37</t>
  </si>
  <si>
    <t>6:36</t>
  </si>
  <si>
    <t>5:32</t>
  </si>
  <si>
    <t>0:01</t>
  </si>
  <si>
    <t>8:33</t>
  </si>
  <si>
    <t>3:05</t>
  </si>
  <si>
    <t>6:02</t>
  </si>
  <si>
    <t>1:09</t>
  </si>
  <si>
    <t>0:30</t>
  </si>
  <si>
    <t>6:50</t>
  </si>
  <si>
    <t>4.18</t>
  </si>
  <si>
    <t>Take a deep look at assist criteria, specially those before a Foul and after a pass from the blocker player. It was 7 out of 11 mistakes, so it will help you a lot to improve your performance. Grazie per il vostro lavoro.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</si>
</sst>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29_282_VIR_BAR_E2025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282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46078.854166666664</v>
      </c>
      <c r="C3" s="157"/>
      <c r="D3" s="39">
        <v>552</v>
      </c>
      <c r="E3" s="29"/>
      <c r="F3" s="26">
        <f>SUBTOTAL(3,I17:I106)</f>
        <v>11</v>
      </c>
      <c r="G3" s="27">
        <f>IF(OR(D3="",D3=0),"",F3/D3)</f>
        <v>1.9927536231884056E-2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Virtus Bologna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67" t="s">
        <v>768</v>
      </c>
      <c r="N4" s="168"/>
      <c r="O4" s="2"/>
      <c r="P4" s="2"/>
      <c r="Q4" s="84" t="s">
        <v>175</v>
      </c>
      <c r="R4" s="94">
        <f>(IF(G3="",0,G3))</f>
        <v>1.9927536231884056E-2</v>
      </c>
      <c r="S4" s="61">
        <f>SUM(I13:M13)</f>
        <v>0</v>
      </c>
      <c r="T4" s="78"/>
      <c r="U4" s="61">
        <f>AC18</f>
        <v>10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1.9927536231884055</v>
      </c>
      <c r="S5" s="70">
        <f t="shared" ref="S5" si="0">S4*S3</f>
        <v>0</v>
      </c>
      <c r="T5" s="92"/>
      <c r="U5" s="70">
        <f t="shared" ref="U5:AG5" si="1">U4*U3</f>
        <v>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9.4927536231884062</v>
      </c>
      <c r="N7" s="58"/>
      <c r="O7" s="2"/>
      <c r="P7" s="2"/>
      <c r="Q7" s="86">
        <f>SUM(R5,S5,AC16)</f>
        <v>9.4927536231884062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9.4927536231884062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7.5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282</v>
      </c>
      <c r="D17" s="32" t="s">
        <v>757</v>
      </c>
      <c r="E17" s="33">
        <v>1</v>
      </c>
      <c r="F17" s="36">
        <v>0</v>
      </c>
      <c r="G17" s="36">
        <v>1</v>
      </c>
      <c r="H17" s="38" t="str">
        <f>IF(I17="","",$I$14)</f>
        <v>SCOUTING</v>
      </c>
      <c r="I17" s="34">
        <v>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8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7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282</v>
      </c>
      <c r="D18" s="32" t="s">
        <v>758</v>
      </c>
      <c r="E18" s="33">
        <v>1</v>
      </c>
      <c r="F18" s="36">
        <v>7</v>
      </c>
      <c r="G18" s="36">
        <v>11</v>
      </c>
      <c r="H18" s="38" t="str">
        <f t="shared" ref="H18:H81" si="8">IF(I18="","",$I$14)</f>
        <v>SCOUTING</v>
      </c>
      <c r="I18" s="34">
        <v>40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282</v>
      </c>
      <c r="D19" s="32" t="s">
        <v>759</v>
      </c>
      <c r="E19" s="33">
        <v>1</v>
      </c>
      <c r="F19" s="36">
        <v>11</v>
      </c>
      <c r="G19" s="36">
        <v>13</v>
      </c>
      <c r="H19" s="38" t="str">
        <f t="shared" si="8"/>
        <v>SCOUTING</v>
      </c>
      <c r="I19" s="34">
        <v>50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282</v>
      </c>
      <c r="D20" s="32" t="s">
        <v>760</v>
      </c>
      <c r="E20" s="33">
        <v>1</v>
      </c>
      <c r="F20" s="36">
        <v>19</v>
      </c>
      <c r="G20" s="36">
        <v>28</v>
      </c>
      <c r="H20" s="38" t="str">
        <f t="shared" si="8"/>
        <v>SCOUTING</v>
      </c>
      <c r="I20" s="34">
        <v>122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282</v>
      </c>
      <c r="D21" s="32" t="s">
        <v>761</v>
      </c>
      <c r="E21" s="33">
        <v>2</v>
      </c>
      <c r="F21" s="36">
        <v>22</v>
      </c>
      <c r="G21" s="36">
        <v>28</v>
      </c>
      <c r="H21" s="38" t="str">
        <f t="shared" si="8"/>
        <v>SCOUTING</v>
      </c>
      <c r="I21" s="34">
        <v>147</v>
      </c>
      <c r="J21" s="13" t="s">
        <v>4</v>
      </c>
      <c r="K21" s="13" t="s">
        <v>63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282</v>
      </c>
      <c r="D22" s="32" t="s">
        <v>762</v>
      </c>
      <c r="E22" s="33">
        <v>2</v>
      </c>
      <c r="F22" s="36">
        <v>34</v>
      </c>
      <c r="G22" s="36">
        <v>39</v>
      </c>
      <c r="H22" s="38" t="str">
        <f t="shared" si="8"/>
        <v>SCOUTING</v>
      </c>
      <c r="I22" s="34">
        <v>213</v>
      </c>
      <c r="J22" s="13" t="s">
        <v>4</v>
      </c>
      <c r="K22" s="13" t="s">
        <v>63</v>
      </c>
      <c r="L22" s="13" t="s">
        <v>7</v>
      </c>
      <c r="M22" s="13" t="s">
        <v>28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282</v>
      </c>
      <c r="D23" s="32" t="s">
        <v>763</v>
      </c>
      <c r="E23" s="33">
        <v>3</v>
      </c>
      <c r="F23" s="36">
        <v>58</v>
      </c>
      <c r="G23" s="36">
        <v>49</v>
      </c>
      <c r="H23" s="38" t="str">
        <f t="shared" si="8"/>
        <v>SCOUTING</v>
      </c>
      <c r="I23" s="34">
        <v>306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E2025</v>
      </c>
      <c r="C24" s="31">
        <f t="shared" si="3"/>
        <v>282</v>
      </c>
      <c r="D24" s="32" t="s">
        <v>764</v>
      </c>
      <c r="E24" s="33">
        <v>3</v>
      </c>
      <c r="F24" s="36">
        <v>64</v>
      </c>
      <c r="G24" s="36">
        <v>54</v>
      </c>
      <c r="H24" s="38" t="str">
        <f t="shared" si="8"/>
        <v>SCOUTING</v>
      </c>
      <c r="I24" s="34">
        <v>378</v>
      </c>
      <c r="J24" s="13" t="s">
        <v>4</v>
      </c>
      <c r="K24" s="13" t="s">
        <v>63</v>
      </c>
      <c r="L24" s="13" t="s">
        <v>5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E2025</v>
      </c>
      <c r="C25" s="31">
        <f t="shared" si="3"/>
        <v>282</v>
      </c>
      <c r="D25" s="32" t="s">
        <v>765</v>
      </c>
      <c r="E25" s="33">
        <v>3</v>
      </c>
      <c r="F25" s="36">
        <v>68</v>
      </c>
      <c r="G25" s="36">
        <v>57</v>
      </c>
      <c r="H25" s="38" t="str">
        <f t="shared" si="8"/>
        <v>SCOUTING</v>
      </c>
      <c r="I25" s="34">
        <v>390</v>
      </c>
      <c r="J25" s="13" t="s">
        <v>4</v>
      </c>
      <c r="K25" s="13" t="s">
        <v>63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E2025</v>
      </c>
      <c r="C26" s="31">
        <f t="shared" si="3"/>
        <v>282</v>
      </c>
      <c r="D26" s="32" t="s">
        <v>766</v>
      </c>
      <c r="E26" s="33">
        <v>4</v>
      </c>
      <c r="F26" s="36">
        <v>73</v>
      </c>
      <c r="G26" s="36">
        <v>66</v>
      </c>
      <c r="H26" s="38" t="str">
        <f t="shared" si="8"/>
        <v>SCOUTING</v>
      </c>
      <c r="I26" s="34">
        <v>452</v>
      </c>
      <c r="J26" s="13" t="s">
        <v>4</v>
      </c>
      <c r="K26" s="13" t="s">
        <v>63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>E2025</v>
      </c>
      <c r="C27" s="31">
        <f t="shared" si="3"/>
        <v>282</v>
      </c>
      <c r="D27" s="32" t="s">
        <v>767</v>
      </c>
      <c r="E27" s="33">
        <v>4</v>
      </c>
      <c r="F27" s="36">
        <v>79</v>
      </c>
      <c r="G27" s="36">
        <v>71</v>
      </c>
      <c r="H27" s="38" t="str">
        <f t="shared" si="8"/>
        <v>SCOUTING</v>
      </c>
      <c r="I27" s="34">
        <v>488</v>
      </c>
      <c r="J27" s="13" t="s">
        <v>4</v>
      </c>
      <c r="K27" s="13" t="s">
        <v>63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REPORT_E2025282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"E2025282"</v>
      </c>
      <c r="F3" s="45" t="str">
        <f t="shared" ref="F3:F16" si="0">""""&amp;B3&amp;"""" &amp; " : " &amp;C3&amp;","</f>
        <v>"name" : "E2025282",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"E282"</v>
      </c>
      <c r="F4" s="45" t="str">
        <f t="shared" si="0"/>
        <v>"cod" : "E282",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282</v>
      </c>
      <c r="F6" s="45" t="str">
        <f t="shared" si="0"/>
        <v>"number" : 282,</v>
      </c>
    </row>
    <row r="7" spans="2:6" x14ac:dyDescent="0.25">
      <c r="B7" s="43" t="s">
        <v>116</v>
      </c>
      <c r="C7" s="43" t="str">
        <f ca="1">""""&amp;TEXT('SCOUT &amp; LOGISTICS'!B3,"dd/mm/aaaa")&amp;""""</f>
        <v>"25/02/2026"</v>
      </c>
      <c r="F7" s="45" t="str">
        <f t="shared" ca="1" si="0"/>
        <v>"date" : "25/02/2026",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"SIMONE LICEN"</v>
      </c>
      <c r="F11" s="45" t="str">
        <f t="shared" si="0"/>
        <v>"Caller_1" : "SIMONE LICEN",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"EDOARDO GAUDENZI"</v>
      </c>
      <c r="F12" s="45" t="str">
        <f t="shared" si="0"/>
        <v>"Caller_2" : "EDOARDO GAUDENZI",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"GIADA GUIDA"</v>
      </c>
      <c r="F13" s="45" t="str">
        <f t="shared" si="0"/>
        <v>"Timerkeeper" : "GIADA GUIDA",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"FRANCESCA DONNICI"</v>
      </c>
      <c r="F14" s="45" t="str">
        <f t="shared" si="0"/>
        <v>"Shotclock" : "FRANCESCA DONNICI",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"FEDERICO GRAZI"</v>
      </c>
      <c r="F15" s="45" t="str">
        <f t="shared" si="0"/>
        <v>"IRS" : "FEDERICO GRAZI",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552</v>
      </c>
      <c r="F25" s="45" t="str">
        <f t="shared" ref="F25:F48" si="1">""""&amp;C25&amp;"""" &amp; " : " &amp;D25&amp;","</f>
        <v>"total_actions" : 552,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"2,0%"</v>
      </c>
      <c r="F27" s="45" t="str">
        <f t="shared" si="1"/>
        <v>"%_corrections" : "2,0%",</v>
      </c>
    </row>
    <row r="28" spans="2:6" x14ac:dyDescent="0.25">
      <c r="C28" s="43" t="s">
        <v>125</v>
      </c>
      <c r="D28" s="43">
        <f>IF('SCOUT &amp; LOGISTICS'!AA17="","",'SCOUT &amp; LOGISTICS'!AA17)</f>
        <v>8</v>
      </c>
      <c r="F28" s="45" t="str">
        <f t="shared" si="1"/>
        <v>"home_team" : 8,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10</v>
      </c>
      <c r="F39" s="45" t="str">
        <f t="shared" si="1"/>
        <v>"missidentity" : 10,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"Take a deep look at assist criteria, specially those before a Foul and after a pass from the blocker player. It was 7 out of 11 mistakes, so it will help you a lot to improve your performance. Grazie per il vostro lavoro."</v>
      </c>
      <c r="F51" s="45" t="str">
        <f>""""&amp;B51&amp;"""" &amp; " : " &amp;C51&amp;","</f>
        <v>"comments" : "Take a deep look at assist criteria, specially those before a Foul and after a pass from the blocker player. It was 7 out of 11 mistakes, so it will help you a lot to improve your performance. Grazie per il vostro lavoro.",</v>
      </c>
    </row>
    <row r="52" spans="2:6" x14ac:dyDescent="0.25">
      <c r="B52" s="43" t="s">
        <v>153</v>
      </c>
      <c r="C52" s="43" t="str">
        <f>TEXT('SCOUT &amp; LOGISTICS'!F1,"0,0")</f>
        <v>29_282_VIR_BAR_E2025</v>
      </c>
      <c r="F52" s="45" t="str">
        <f>""""&amp;B52&amp;"""" &amp; " : " &amp;C52</f>
        <v>"result" : 29_282_VIR_BAR_E2025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E282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Virtus Bologna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GIACOMO CAMPANELLA</v>
      </c>
      <c r="C8" s="206"/>
      <c r="D8" s="206"/>
      <c r="E8" s="206"/>
      <c r="F8" s="206"/>
      <c r="G8" s="206" t="str">
        <f>IF('SCOUT &amp; LOGISTICS'!D7="","",'SCOUT &amp; LOGISTICS'!D7)</f>
        <v>SIMONE LICEN</v>
      </c>
      <c r="H8" s="206"/>
      <c r="I8" s="206"/>
      <c r="J8" s="206"/>
      <c r="K8" s="206"/>
      <c r="L8" s="206" t="str">
        <f>IF('SCOUT &amp; LOGISTICS'!D8="","",'SCOUT &amp; LOGISTICS'!D8)</f>
        <v>EDOARDO GAUDENZI</v>
      </c>
      <c r="M8" s="206"/>
      <c r="N8" s="206"/>
      <c r="O8" s="206"/>
      <c r="P8" s="206"/>
      <c r="Q8" s="206" t="str">
        <f>IF('SCOUT &amp; LOGISTICS'!D9="","",'SCOUT &amp; LOGISTICS'!D9)</f>
        <v>GIADA GUIDA</v>
      </c>
      <c r="R8" s="206"/>
      <c r="S8" s="206"/>
      <c r="T8" s="206"/>
      <c r="U8" s="206"/>
      <c r="V8" s="206" t="str">
        <f>IF('SCOUT &amp; LOGISTICS'!D10="","",'SCOUT &amp; LOGISTICS'!D10)</f>
        <v>FRANCESCA DONNICI</v>
      </c>
      <c r="W8" s="206"/>
      <c r="X8" s="206"/>
      <c r="Y8" s="206"/>
      <c r="Z8" s="206"/>
      <c r="AA8" s="206" t="str">
        <f>IF('SCOUT &amp; LOGISTICS'!D11="","",'SCOUT &amp; LOGISTICS'!D11)</f>
        <v>FEDERICO GRAZI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552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1.9927536231884056E-2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8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Take a deep look at assist criteria, specially those before a Foul and after a pass from the blocker player. It was 7 out of 11 mistakes, so it will help you a lot to improve your performance. Grazie per il vostro lavoro.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9.4927536231884062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AB003B4-2063-4616-B389-585DD229EE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2026-02-25T21:40:59Z</cp:lastPrinted>
  <dcterms:created xsi:type="dcterms:W3CDTF">2023-09-19T19:50:35Z</dcterms:created>
  <dcterms:modified xsi:type="dcterms:W3CDTF">2026-02-25T21:41:08Z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