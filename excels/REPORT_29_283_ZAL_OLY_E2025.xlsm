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32" documentId="8_{0EB30507-1C4D-49B2-A5DA-60F84B1E8EFD}" xr6:coauthVersionLast="47" xr6:coauthVersionMax="47" xr10:uidLastSave="{7EC3B44A-DF5E-4DD6-8F5B-092EB13FB31C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<sst xmlns="http://schemas.openxmlformats.org/spreadsheetml/2006/main" count="3251" uniqueCount="760">
  <si>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</si>
  <si>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</si>
  <si>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</si>
  <si>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</si>
  <si>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</si>
  <si>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</si>
  <si>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</si>
  <si>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</si>
  <si>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</si>
  <si>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</si>
  <si>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</si>
  <si>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</si>
  <si>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</si>
  <si>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</si>
  <si>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</si>
  <si>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</si>
  <si>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</si>
  <si>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</si>
  <si>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</si>
  <si>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</si>
  <si>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</si>
  <si>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</si>
  <si>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</si>
  <si>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</si>
  <si>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</si>
  <si>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</si>
  <si>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</si>
  <si>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</si>
  <si>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</si>
  <si>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</si>
  <si>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</si>
  <si>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</si>
  <si>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</si>
  <si>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</si>
  <si>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</si>
  <si>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</si>
  <si>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</si>
  <si>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</si>
  <si>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</si>
  <si>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</si>
  <si>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</si>
  <si>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</si>
  <si>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</si>
  <si>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</si>
  <si>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</si>
  <si>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</si>
  <si>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</si>
  <si>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</si>
  <si>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</si>
  <si>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</si>
  <si>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</si>
  <si>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</si>
  <si>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</si>
  <si>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</si>
  <si>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</si>
  <si>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</si>
  <si>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</si>
  <si>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</si>
  <si>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</si>
  <si>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</si>
  <si>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</si>
  <si>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</si>
  <si>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</si>
  <si>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</si>
  <si>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</si>
  <si>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</si>
  <si>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</si>
  <si>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</si>
  <si>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</si>
  <si>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</si>
  <si>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</si>
  <si>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</si>
  <si>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</si>
  <si>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</si>
  <si>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</si>
  <si>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</si>
  <si>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</si>
  <si>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</si>
  <si>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</si>
  <si>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</si>
  <si>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</si>
  <si>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</si>
  <si>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</si>
  <si>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</si>
  <si>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</si>
  <si>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</si>
  <si>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</si>
  <si>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</si>
  <si>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</si>
  <si>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</si>
  <si>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</si>
  <si>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</si>
  <si>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</si>
  <si>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</si>
  <si>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</si>
  <si>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</si>
  <si>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</si>
  <si>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</si>
  <si>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</si>
  <si>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</si>
  <si>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</si>
  <si>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</si>
  <si>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</si>
  <si>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</si>
  <si>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</si>
  <si>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</si>
  <si>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</si>
  <si>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</si>
  <si>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</si>
  <si>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</si>
  <si>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</si>
  <si>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</si>
  <si>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</si>
  <si>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</si>
  <si>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</si>
  <si>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</si>
  <si>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</si>
  <si>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</si>
  <si>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</si>
  <si>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</si>
  <si>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</si>
  <si>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</si>
  <si>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</si>
  <si>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</si>
  <si>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</si>
  <si>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</si>
  <si>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</si>
  <si>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</si>
  <si>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</si>
  <si>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</si>
  <si>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</si>
  <si>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</si>
  <si>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</si>
  <si>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</si>
  <si>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</si>
  <si>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</si>
  <si>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</si>
  <si>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</si>
  <si>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</si>
  <si>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</si>
  <si>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</si>
  <si>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</si>
  <si>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</si>
  <si>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</si>
  <si>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</si>
  <si>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</si>
  <si>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</si>
  <si>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</si>
  <si>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</si>
  <si>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</si>
  <si>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</si>
  <si>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</si>
  <si>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</si>
  <si>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</si>
  <si>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</si>
  <si>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</si>
  <si>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</si>
  <si>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</si>
  <si>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</si>
  <si>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</si>
  <si>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</si>
  <si>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</si>
  <si>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</si>
  <si>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</si>
  <si>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</si>
  <si>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</si>
  <si>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</si>
  <si>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</si>
  <si>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</si>
  <si>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</si>
  <si>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</si>
  <si>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</si>
  <si>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</si>
  <si>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</si>
  <si>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</si>
  <si>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</si>
  <si>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</si>
  <si>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</si>
  <si>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</si>
  <si>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</si>
  <si>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</si>
  <si>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</si>
  <si>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</si>
  <si>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</si>
  <si>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</si>
  <si>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</si>
  <si>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</si>
  <si>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</si>
  <si>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</si>
  <si>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</si>
  <si>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</si>
  <si>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</si>
  <si>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</si>
  <si>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</si>
  <si>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</si>
  <si>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</si>
  <si>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</si>
  <si>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</si>
  <si>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</si>
  <si>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</si>
  <si>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</si>
  <si>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</si>
  <si>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</si>
  <si>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</si>
  <si>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</si>
  <si>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</si>
  <si>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</si>
  <si>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</si>
  <si>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</si>
  <si>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</si>
  <si>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</si>
  <si>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</si>
  <si>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</si>
  <si>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</si>
  <si>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</si>
  <si>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</si>
  <si>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</si>
  <si>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</si>
  <si>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</si>
  <si>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</si>
  <si>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</si>
  <si>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</si>
  <si>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</si>
  <si>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</si>
  <si>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</si>
  <si>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</si>
  <si>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</si>
  <si>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</si>
  <si>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</si>
  <si>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</si>
  <si>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</si>
  <si>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</si>
  <si>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</si>
  <si>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</si>
  <si>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</si>
  <si>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</si>
  <si>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</si>
  <si>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</si>
  <si>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</si>
  <si>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</si>
  <si>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</si>
  <si>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</si>
  <si>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</si>
  <si>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</si>
  <si>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</si>
  <si>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</si>
  <si>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</si>
  <si>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</si>
  <si>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</si>
  <si>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</si>
  <si>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</si>
  <si>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</si>
  <si>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</si>
  <si>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</si>
  <si>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</si>
  <si>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</si>
  <si>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</si>
  <si>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</si>
  <si>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</si>
  <si>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</si>
  <si>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</si>
  <si>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</si>
  <si>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</si>
  <si>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</si>
  <si>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</si>
  <si>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</si>
  <si>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</si>
  <si>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</si>
  <si>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</si>
  <si>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</si>
  <si>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</si>
  <si>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</si>
  <si>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</si>
  <si>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</si>
  <si>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</si>
  <si>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</si>
  <si>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</si>
  <si>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</si>
  <si>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</si>
  <si>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</si>
  <si>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</si>
  <si>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</si>
  <si>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</si>
  <si>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</si>
  <si>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</si>
  <si>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</si>
  <si>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</si>
  <si>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</si>
  <si>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</si>
  <si>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</si>
  <si>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</si>
  <si>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</si>
  <si>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</si>
  <si>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</si>
  <si>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</si>
  <si>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</si>
  <si>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</si>
  <si>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</si>
  <si>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</si>
  <si>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</si>
  <si>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</si>
  <si>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</si>
  <si>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</si>
  <si>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</si>
  <si>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</si>
  <si>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</si>
  <si>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</si>
  <si>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</si>
  <si>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</si>
  <si>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</si>
  <si>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</si>
  <si>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</si>
  <si>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</si>
  <si>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</si>
  <si>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</si>
  <si>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</si>
  <si>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</si>
  <si>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</si>
  <si>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</si>
  <si>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</si>
  <si>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</si>
  <si>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</si>
  <si>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</si>
  <si>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</si>
  <si>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</si>
  <si>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</si>
  <si>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</si>
  <si>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</si>
  <si>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</si>
  <si>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</si>
  <si>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</si>
  <si>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</si>
  <si>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</si>
  <si>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</si>
  <si>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</si>
  <si>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</si>
  <si>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</si>
  <si>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</si>
  <si>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</si>
  <si>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</si>
  <si>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</si>
  <si>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</si>
  <si>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</si>
  <si>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</si>
  <si>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</si>
  <si>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</si>
  <si>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</si>
  <si>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</si>
  <si>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</si>
  <si>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</si>
  <si>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</si>
  <si>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</si>
  <si>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</si>
  <si>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</si>
  <si>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</si>
  <si>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</si>
  <si>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</si>
  <si>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</si>
  <si>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</si>
  <si>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</si>
  <si>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</si>
  <si>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</si>
  <si>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</si>
  <si>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</si>
  <si>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</si>
  <si>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</si>
  <si>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</si>
  <si>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</si>
  <si>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</si>
  <si>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</si>
  <si>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</si>
  <si>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</si>
  <si>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</si>
  <si>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</si>
  <si>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</si>
  <si>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</si>
  <si>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</si>
  <si>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</si>
  <si>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</si>
  <si>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</si>
  <si>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</si>
  <si>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</si>
  <si>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</si>
  <si>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</si>
  <si>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</si>
  <si>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</si>
  <si>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</si>
  <si>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</si>
  <si>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</si>
  <si>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</si>
  <si>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</si>
  <si>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</si>
  <si>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</si>
  <si>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</si>
  <si>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</si>
  <si>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</si>
  <si>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</si>
  <si>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</si>
  <si>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</si>
  <si>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</si>
  <si>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</si>
  <si>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</si>
  <si>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</si>
  <si>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</si>
  <si>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</si>
  <si>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</si>
  <si>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</si>
  <si>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</si>
  <si>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</si>
  <si>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</si>
  <si>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</si>
  <si>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</si>
  <si>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</si>
  <si>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</si>
  <si>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</si>
  <si>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</si>
  <si>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</si>
  <si>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</si>
  <si>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</si>
  <si>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</si>
  <si>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</si>
  <si>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</si>
  <si>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</si>
  <si>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</si>
  <si>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</si>
  <si>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</si>
  <si>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</si>
  <si>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</si>
  <si>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</si>
  <si>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</si>
  <si>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</si>
  <si>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</si>
  <si>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</si>
  <si>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</si>
  <si>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</si>
  <si>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</si>
  <si>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</si>
  <si>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</si>
  <si>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</si>
  <si>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</si>
  <si>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</si>
  <si>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</si>
  <si>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</si>
  <si>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</si>
  <si>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</si>
  <si>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</si>
  <si>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</si>
  <si>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</si>
  <si>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</si>
  <si>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</si>
  <si>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</si>
  <si>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</si>
  <si>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</si>
  <si>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</si>
  <si>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</si>
  <si>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</si>
  <si>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</si>
  <si>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</si>
  <si>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</si>
  <si>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</si>
  <si>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</si>
  <si>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</si>
  <si>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</si>
  <si>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</si>
  <si>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</si>
  <si>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</si>
  <si>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</si>
  <si>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</si>
  <si>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</si>
  <si>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</si>
  <si>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</si>
  <si>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</si>
  <si>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</si>
  <si>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</si>
  <si>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</si>
  <si>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</si>
  <si>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</si>
  <si>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</si>
  <si>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</si>
  <si>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</si>
  <si>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</si>
  <si>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</si>
  <si>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</si>
  <si>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</si>
  <si>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</si>
  <si>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</si>
  <si>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</si>
  <si>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</si>
  <si>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</si>
  <si>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</si>
  <si>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</si>
  <si>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</si>
  <si>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</si>
  <si>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</si>
  <si>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</si>
  <si>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</si>
  <si>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</si>
  <si>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</si>
  <si>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</si>
  <si>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</si>
  <si>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</si>
  <si>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</si>
  <si>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</si>
  <si>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</si>
  <si>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</si>
  <si>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</si>
  <si>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</si>
  <si>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</si>
  <si>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</si>
  <si>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</si>
  <si>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</si>
  <si>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</si>
  <si>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</si>
  <si>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</si>
  <si>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</si>
  <si>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</si>
  <si>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</si>
  <si>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</si>
  <si>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</si>
  <si>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</si>
  <si>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</si>
  <si>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</si>
  <si>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</si>
  <si>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</si>
  <si>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</si>
  <si>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</si>
  <si>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</si>
  <si>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</si>
  <si>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</si>
  <si>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</si>
  <si>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</si>
  <si>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</si>
  <si>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</si>
  <si>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</si>
  <si>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</si>
  <si>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</si>
  <si>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</si>
  <si>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</si>
  <si>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</si>
  <si>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</si>
  <si>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</si>
  <si>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</si>
  <si>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</si>
  <si>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</si>
  <si>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</si>
  <si>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</si>
  <si>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</si>
  <si>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</si>
  <si>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</si>
  <si>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</si>
  <si>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</si>
  <si>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</si>
  <si>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</si>
  <si>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</si>
  <si>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</si>
  <si>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</si>
  <si>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</si>
  <si>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</si>
  <si>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</si>
  <si>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</si>
  <si>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</si>
  <si>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</si>
  <si>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</si>
  <si>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</si>
  <si>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</si>
  <si>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</si>
  <si>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</si>
  <si>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</si>
  <si>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</si>
  <si>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</si>
  <si>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</si>
  <si>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</si>
  <si>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</si>
  <si>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</si>
  <si>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</si>
  <si>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</si>
  <si>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</si>
  <si>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</si>
  <si>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</si>
  <si>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</si>
  <si>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</si>
  <si>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</si>
  <si>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</si>
  <si>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</si>
  <si>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</si>
  <si>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</si>
  <si>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</si>
  <si>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</si>
  <si>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</si>
  <si>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</si>
  <si>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</si>
  <si>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</si>
  <si>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</si>
  <si>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</si>
  <si>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</si>
  <si>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</si>
  <si>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</si>
  <si>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</si>
  <si>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</si>
  <si>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</si>
  <si>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</si>
  <si>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</si>
  <si>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</si>
  <si>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</si>
  <si>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</si>
  <si>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</si>
  <si>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</si>
  <si>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</si>
  <si>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</si>
  <si>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</si>
  <si>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</si>
  <si>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</si>
  <si>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</si>
  <si>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</si>
  <si>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</si>
  <si>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</si>
  <si>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</si>
  <si>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</si>
  <si>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</si>
  <si>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</si>
  <si>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</si>
  <si>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</si>
  <si>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</si>
  <si>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</si>
  <si>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</si>
  <si>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</si>
  <si>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</si>
  <si>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</si>
  <si>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</si>
  <si>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</si>
  <si>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</si>
  <si>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</si>
  <si>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</si>
  <si>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</si>
  <si>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</si>
  <si>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</si>
  <si>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</si>
  <si>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</si>
  <si>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</si>
  <si>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</si>
  <si>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</si>
  <si>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</si>
  <si>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</si>
  <si>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</si>
  <si>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</si>
  <si>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</si>
  <si>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</si>
  <si>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</si>
  <si>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</si>
  <si>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</si>
  <si>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</si>
  <si>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</si>
  <si>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</si>
  <si>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</si>
  <si>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</si>
  <si>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</si>
  <si>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</si>
  <si>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</si>
  <si>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</si>
  <si>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</si>
  <si>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</si>
  <si>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</si>
  <si>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</si>
  <si>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</si>
  <si>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</si>
  <si>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</si>
  <si>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</si>
  <si>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</si>
  <si>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</si>
  <si>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</si>
  <si>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</si>
  <si>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</si>
  <si>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</si>
  <si>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</si>
  <si>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</si>
  <si>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</si>
  <si>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</si>
  <si>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</si>
  <si>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</si>
  <si>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</si>
  <si>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</si>
  <si>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</si>
  <si>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</si>
  <si>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</si>
  <si>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</si>
  <si>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</si>
  <si>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</si>
  <si>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</si>
  <si>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</si>
  <si>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</si>
  <si>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</si>
  <si>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</si>
  <si>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</si>
  <si>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</si>
  <si>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</si>
  <si>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</si>
  <si>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</si>
  <si>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</si>
  <si>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</si>
  <si>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</si>
  <si>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</si>
  <si>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</si>
  <si>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</si>
  <si>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</si>
  <si>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</si>
  <si>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</si>
  <si>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</si>
  <si>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</si>
  <si>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</si>
  <si>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</si>
  <si>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</si>
  <si>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</si>
  <si>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</si>
  <si>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</si>
  <si>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</si>
  <si>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</si>
  <si>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</si>
  <si>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</si>
  <si>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</si>
  <si>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</si>
  <si>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</si>
  <si>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</si>
  <si>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</si>
  <si>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</si>
  <si>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</si>
  <si>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</si>
  <si>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</si>
  <si>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</si>
  <si>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</si>
  <si>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</si>
  <si>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</si>
  <si>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</si>
  <si>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</si>
  <si>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</si>
  <si>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</si>
  <si>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</si>
  <si>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</si>
  <si>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</si>
  <si>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</si>
  <si>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</si>
  <si>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</si>
  <si>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</si>
  <si>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</si>
  <si>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</si>
  <si>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</si>
  <si>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</si>
  <si>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</si>
  <si>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</si>
  <si>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Very good job!</t>
  </si>
  <si>
    <t>E</t>
  </si>
  <si>
    <t>GIEDRE GARCINSKAITE</t>
  </si>
  <si>
    <t>RASA KIZIKAITE</t>
  </si>
  <si>
    <t>AUKSE ZAKRIENE</t>
  </si>
  <si>
    <t>VYTAUTAS RUDZEVICIUS</t>
  </si>
  <si>
    <t>MINDAUGAS RUDZEVICIUS</t>
  </si>
  <si>
    <t>KERIJUS MAINONIS</t>
  </si>
  <si>
    <t>C:\Users\hector.guillen\EUROLEAGUE\EB STATS - Documents\General\SEASON 2025-26\Reports\Euroleague</t>
  </si>
  <si>
    <t>C:\Users\hector.guillen\EUROLEAGUE\EB STATS - Documents\General\SEASON 2025-26\Reports\Euroleague\PDF</t>
  </si>
  <si>
    <t>4:48</t>
  </si>
  <si>
    <t>HECTOR GUILLEN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</si>
</sst>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17" sqref="D17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29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29_283_ZAL_OLY_E2025</v>
      </c>
      <c r="G1" s="5"/>
      <c r="H1" s="5"/>
      <c r="I1" s="5"/>
      <c r="J1" s="8" t="s">
        <v>707</v>
      </c>
      <c r="K1" s="121" t="s">
        <v>756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283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46078.833333333336</v>
      </c>
      <c r="C3" s="157"/>
      <c r="D3" s="39">
        <v>715</v>
      </c>
      <c r="E3" s="29"/>
      <c r="F3" s="26">
        <f>SUBTOTAL(3,I17:I106)</f>
        <v>1</v>
      </c>
      <c r="G3" s="27">
        <f>IF(OR(D3="",D3=0),"",F3/D3)</f>
        <v>1.3986013986013986E-3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Zalgiris Kaunas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742</v>
      </c>
      <c r="L4" s="5"/>
      <c r="M4" s="167" t="s">
        <v>748</v>
      </c>
      <c r="N4" s="168"/>
      <c r="O4" s="2"/>
      <c r="P4" s="2"/>
      <c r="Q4" s="84" t="s">
        <v>175</v>
      </c>
      <c r="R4" s="94">
        <f>(IF(G3="",0,G3))</f>
        <v>1.3986013986013986E-3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Olympiacos Piraeus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0.13986013986013987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1.1398601398601398</v>
      </c>
      <c r="N7" s="58"/>
      <c r="O7" s="2"/>
      <c r="P7" s="2"/>
      <c r="Q7" s="86">
        <f>SUM(R5,S5,AC16)</f>
        <v>1.1398601398601398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1.1398601398601398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283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283</v>
      </c>
      <c r="D17" s="32" t="s">
        <v>758</v>
      </c>
      <c r="E17" s="33" t="s">
        <v>59</v>
      </c>
      <c r="F17" s="36">
        <v>82</v>
      </c>
      <c r="G17" s="36">
        <v>84</v>
      </c>
      <c r="H17" s="38" t="str">
        <f>IF(I17="","",$I$14)</f>
        <v>SCOUTING</v>
      </c>
      <c r="I17" s="34">
        <v>646</v>
      </c>
      <c r="J17" s="13" t="s">
        <v>4</v>
      </c>
      <c r="K17" s="13" t="s">
        <v>63</v>
      </c>
      <c r="L17" s="13" t="s">
        <v>6</v>
      </c>
      <c r="M17" s="13" t="s">
        <v>39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1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1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1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REPORT_E2025283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"E2025283"</v>
      </c>
      <c r="F3" s="45" t="str">
        <f t="shared" ref="F3:F16" si="0">""""&amp;B3&amp;"""" &amp; " : " &amp;C3&amp;","</f>
        <v>"name" : "E2025283",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"E283"</v>
      </c>
      <c r="F4" s="45" t="str">
        <f t="shared" si="0"/>
        <v>"cod" : "E283",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283</v>
      </c>
      <c r="F6" s="45" t="str">
        <f t="shared" si="0"/>
        <v>"number" : 283,</v>
      </c>
    </row>
    <row r="7" spans="2:6" x14ac:dyDescent="0.25">
      <c r="B7" s="43" t="s">
        <v>116</v>
      </c>
      <c r="C7" s="43" t="str">
        <f ca="1">""""&amp;TEXT('SCOUT &amp; LOGISTICS'!B3,"dd/mm/aaaa")&amp;""""</f>
        <v>"25/02/Wednesday"</v>
      </c>
      <c r="F7" s="45" t="str">
        <f t="shared" ca="1" si="0"/>
        <v>"date" : "25/02/Wednesday",</v>
      </c>
    </row>
    <row r="8" spans="2:6" x14ac:dyDescent="0.25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"GIEDRE GARCINSKAITE"</v>
      </c>
      <c r="F10" s="45" t="str">
        <f t="shared" si="0"/>
        <v>"Data_entry" : "GIEDRE GARCINSKAITE",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"VYTAUTAS RUDZEVICIUS"</v>
      </c>
      <c r="F13" s="45" t="str">
        <f t="shared" si="0"/>
        <v>"Timerkeeper" : "VYTAUTAS RUDZEVICIUS",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"MINDAUGAS RUDZEVICIUS"</v>
      </c>
      <c r="F14" s="45" t="str">
        <f t="shared" si="0"/>
        <v>"Shotclock" : "MINDAUGAS RUDZEVICIUS",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"KERIJUS MAINONIS"</v>
      </c>
      <c r="F15" s="45" t="str">
        <f t="shared" si="0"/>
        <v>"IRS" : "KERIJUS MAINONIS",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715</v>
      </c>
      <c r="F25" s="45" t="str">
        <f t="shared" ref="F25:F48" si="1">""""&amp;C25&amp;"""" &amp; " : " &amp;D25&amp;","</f>
        <v>"total_actions" : 715,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1</v>
      </c>
      <c r="F35" s="45" t="str">
        <f t="shared" si="1"/>
        <v>"et" : 1,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5">
      <c r="B52" s="43" t="s">
        <v>153</v>
      </c>
      <c r="C52" s="43" t="str">
        <f>TEXT('SCOUT &amp; LOGISTICS'!F1,"0,0")</f>
        <v>29_283_ZAL_OLY_E2025</v>
      </c>
      <c r="F52" s="45" t="str">
        <f>""""&amp;B52&amp;"""" &amp; " : " &amp;C52</f>
        <v>"result" : 29_283_ZAL_OLY_E2025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E283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25/02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Zalgiris Kaunas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Olympiacos Piraeus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GIEDRE GARCINSKAITE</v>
      </c>
      <c r="C8" s="206"/>
      <c r="D8" s="206"/>
      <c r="E8" s="206"/>
      <c r="F8" s="206"/>
      <c r="G8" s="206" t="str">
        <f>IF('SCOUT &amp; LOGISTICS'!D7="","",'SCOUT &amp; LOGISTICS'!D7)</f>
        <v>RASA KIZIKAITE</v>
      </c>
      <c r="H8" s="206"/>
      <c r="I8" s="206"/>
      <c r="J8" s="206"/>
      <c r="K8" s="206"/>
      <c r="L8" s="206" t="str">
        <f>IF('SCOUT &amp; LOGISTICS'!D8="","",'SCOUT &amp; LOGISTICS'!D8)</f>
        <v>AUKSE ZAKRIENE</v>
      </c>
      <c r="M8" s="206"/>
      <c r="N8" s="206"/>
      <c r="O8" s="206"/>
      <c r="P8" s="206"/>
      <c r="Q8" s="206" t="str">
        <f>IF('SCOUT &amp; LOGISTICS'!D9="","",'SCOUT &amp; LOGISTICS'!D9)</f>
        <v>VYTAUTAS RUDZEVICIUS</v>
      </c>
      <c r="R8" s="206"/>
      <c r="S8" s="206"/>
      <c r="T8" s="206"/>
      <c r="U8" s="206"/>
      <c r="V8" s="206" t="str">
        <f>IF('SCOUT &amp; LOGISTICS'!D10="","",'SCOUT &amp; LOGISTICS'!D10)</f>
        <v>MINDAUGAS RUDZEVICIUS</v>
      </c>
      <c r="W8" s="206"/>
      <c r="X8" s="206"/>
      <c r="Y8" s="206"/>
      <c r="Z8" s="206"/>
      <c r="AA8" s="206" t="str">
        <f>IF('SCOUT &amp; LOGISTICS'!D11="","",'SCOUT &amp; LOGISTICS'!D11)</f>
        <v>KERIJUS MAINONIS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715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1.3986013986013986E-3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1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1.1398601398601398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E441B42-BE36-4F19-B8DC-370FA63117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2026-03-05T17:39:39Z</cp:lastPrinted>
  <dcterms:created xsi:type="dcterms:W3CDTF">2023-09-19T19:50:35Z</dcterms:created>
  <dcterms:modified xsi:type="dcterms:W3CDTF">2026-04-21T18:17:02Z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