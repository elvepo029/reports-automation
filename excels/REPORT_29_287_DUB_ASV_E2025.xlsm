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B315AA06-8B8A-4316-88AF-60D127E63919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<sst xmlns="http://schemas.openxmlformats.org/spreadsheetml/2006/main" count="3260" uniqueCount="761">
  <si>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</si>
  <si>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</si>
  <si>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</si>
  <si>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</si>
  <si>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</si>
  <si>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</si>
  <si>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</si>
  <si>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</si>
  <si>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</si>
  <si>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</si>
  <si>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</si>
  <si>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</si>
  <si>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</si>
  <si>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</si>
  <si>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</si>
  <si>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</si>
  <si>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</si>
  <si>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</si>
  <si>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</si>
  <si>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</si>
  <si>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</si>
  <si>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</si>
  <si>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</si>
  <si>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</si>
  <si>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</si>
  <si>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</si>
  <si>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</si>
  <si>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</si>
  <si>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</si>
  <si>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</si>
  <si>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</si>
  <si>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</si>
  <si>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</si>
  <si>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</si>
  <si>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</si>
  <si>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</si>
  <si>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</si>
  <si>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</si>
  <si>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</si>
  <si>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</si>
  <si>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</si>
  <si>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</si>
  <si>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</si>
  <si>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</si>
  <si>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</si>
  <si>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</si>
  <si>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</si>
  <si>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</si>
  <si>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</si>
  <si>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</si>
  <si>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</si>
  <si>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</si>
  <si>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</si>
  <si>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</si>
  <si>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</si>
  <si>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</si>
  <si>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</si>
  <si>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</si>
  <si>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</si>
  <si>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</si>
  <si>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</si>
  <si>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</si>
  <si>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</si>
  <si>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</si>
  <si>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</si>
  <si>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</si>
  <si>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</si>
  <si>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</si>
  <si>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</si>
  <si>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</si>
  <si>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</si>
  <si>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</si>
  <si>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</si>
  <si>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</si>
  <si>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</si>
  <si>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</si>
  <si>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</si>
  <si>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</si>
  <si>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</si>
  <si>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</si>
  <si>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</si>
  <si>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</si>
  <si>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</si>
  <si>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</si>
  <si>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</si>
  <si>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</si>
  <si>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</si>
  <si>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</si>
  <si>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</si>
  <si>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</si>
  <si>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</si>
  <si>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</si>
  <si>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</si>
  <si>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</si>
  <si>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</si>
  <si>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</si>
  <si>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</si>
  <si>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</si>
  <si>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</si>
  <si>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</si>
  <si>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</si>
  <si>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</si>
  <si>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</si>
  <si>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</si>
  <si>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</si>
  <si>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</si>
  <si>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</si>
  <si>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</si>
  <si>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</si>
  <si>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</si>
  <si>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</si>
  <si>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</si>
  <si>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</si>
  <si>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</si>
  <si>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</si>
  <si>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</si>
  <si>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</si>
  <si>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</si>
  <si>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</si>
  <si>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</si>
  <si>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</si>
  <si>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</si>
  <si>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</si>
  <si>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</si>
  <si>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</si>
  <si>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</si>
  <si>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</si>
  <si>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</si>
  <si>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</si>
  <si>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</si>
  <si>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</si>
  <si>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</si>
  <si>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</si>
  <si>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</si>
  <si>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</si>
  <si>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</si>
  <si>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</si>
  <si>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</si>
  <si>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</si>
  <si>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</si>
  <si>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</si>
  <si>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</si>
  <si>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</si>
  <si>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</si>
  <si>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</si>
  <si>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</si>
  <si>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</si>
  <si>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</si>
  <si>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</si>
  <si>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</si>
  <si>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</si>
  <si>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</si>
  <si>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</si>
  <si>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</si>
  <si>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</si>
  <si>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</si>
  <si>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</si>
  <si>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</si>
  <si>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</si>
  <si>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</si>
  <si>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</si>
  <si>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</si>
  <si>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</si>
  <si>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</si>
  <si>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</si>
  <si>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</si>
  <si>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</si>
  <si>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</si>
  <si>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</si>
  <si>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</si>
  <si>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</si>
  <si>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</si>
  <si>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</si>
  <si>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</si>
  <si>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</si>
  <si>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</si>
  <si>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</si>
  <si>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</si>
  <si>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</si>
  <si>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</si>
  <si>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</si>
  <si>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</si>
  <si>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</si>
  <si>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</si>
  <si>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</si>
  <si>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</si>
  <si>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</si>
  <si>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</si>
  <si>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</si>
  <si>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</si>
  <si>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</si>
  <si>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</si>
  <si>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</si>
  <si>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</si>
  <si>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</si>
  <si>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</si>
  <si>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</si>
  <si>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</si>
  <si>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</si>
  <si>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</si>
  <si>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</si>
  <si>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</si>
  <si>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</si>
  <si>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</si>
  <si>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</si>
  <si>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</si>
  <si>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</si>
  <si>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</si>
  <si>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</si>
  <si>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</si>
  <si>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</si>
  <si>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</si>
  <si>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</si>
  <si>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</si>
  <si>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</si>
  <si>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</si>
  <si>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</si>
  <si>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</si>
  <si>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</si>
  <si>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</si>
  <si>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</si>
  <si>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</si>
  <si>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</si>
  <si>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</si>
  <si>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</si>
  <si>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</si>
  <si>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</si>
  <si>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</si>
  <si>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</si>
  <si>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</si>
  <si>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</si>
  <si>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</si>
  <si>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</si>
  <si>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</si>
  <si>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</si>
  <si>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</si>
  <si>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</si>
  <si>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</si>
  <si>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</si>
  <si>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</si>
  <si>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</si>
  <si>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</si>
  <si>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</si>
  <si>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</si>
  <si>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</si>
  <si>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</si>
  <si>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</si>
  <si>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</si>
  <si>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</si>
  <si>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</si>
  <si>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</si>
  <si>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</si>
  <si>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</si>
  <si>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</si>
  <si>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</si>
  <si>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</si>
  <si>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</si>
  <si>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</si>
  <si>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</si>
  <si>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</si>
  <si>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</si>
  <si>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</si>
  <si>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</si>
  <si>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</si>
  <si>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</si>
  <si>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</si>
  <si>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</si>
  <si>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</si>
  <si>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</si>
  <si>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</si>
  <si>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</si>
  <si>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</si>
  <si>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</si>
  <si>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</si>
  <si>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</si>
  <si>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</si>
  <si>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</si>
  <si>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</si>
  <si>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</si>
  <si>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</si>
  <si>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</si>
  <si>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</si>
  <si>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</si>
  <si>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</si>
  <si>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</si>
  <si>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</si>
  <si>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</si>
  <si>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</si>
  <si>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</si>
  <si>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</si>
  <si>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</si>
  <si>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</si>
  <si>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</si>
  <si>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</si>
  <si>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</si>
  <si>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</si>
  <si>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</si>
  <si>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</si>
  <si>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</si>
  <si>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</si>
  <si>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</si>
  <si>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</si>
  <si>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</si>
  <si>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</si>
  <si>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</si>
  <si>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</si>
  <si>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</si>
  <si>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</si>
  <si>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</si>
  <si>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</si>
  <si>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</si>
  <si>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</si>
  <si>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</si>
  <si>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</si>
  <si>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</si>
  <si>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</si>
  <si>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</si>
  <si>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</si>
  <si>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</si>
  <si>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</si>
  <si>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</si>
  <si>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</si>
  <si>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</si>
  <si>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</si>
  <si>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</si>
  <si>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</si>
  <si>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</si>
  <si>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</si>
  <si>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</si>
  <si>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</si>
  <si>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</si>
  <si>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</si>
  <si>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</si>
  <si>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</si>
  <si>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</si>
  <si>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</si>
  <si>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</si>
  <si>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</si>
  <si>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</si>
  <si>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</si>
  <si>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</si>
  <si>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</si>
  <si>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</si>
  <si>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</si>
  <si>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</si>
  <si>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</si>
  <si>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</si>
  <si>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</si>
  <si>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</si>
  <si>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</si>
  <si>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</si>
  <si>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</si>
  <si>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</si>
  <si>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</si>
  <si>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</si>
  <si>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</si>
  <si>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</si>
  <si>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</si>
  <si>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</si>
  <si>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</si>
  <si>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</si>
  <si>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</si>
  <si>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</si>
  <si>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</si>
  <si>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</si>
  <si>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</si>
  <si>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</si>
  <si>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</si>
  <si>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</si>
  <si>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</si>
  <si>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</si>
  <si>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</si>
  <si>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</si>
  <si>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</si>
  <si>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</si>
  <si>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</si>
  <si>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</si>
  <si>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</si>
  <si>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</si>
  <si>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</si>
  <si>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</si>
  <si>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</si>
  <si>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</si>
  <si>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</si>
  <si>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</si>
  <si>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</si>
  <si>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</si>
  <si>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</si>
  <si>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</si>
  <si>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</si>
  <si>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</si>
  <si>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</si>
  <si>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</si>
  <si>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</si>
  <si>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</si>
  <si>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</si>
  <si>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</si>
  <si>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</si>
  <si>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</si>
  <si>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</si>
  <si>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</si>
  <si>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</si>
  <si>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</si>
  <si>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</si>
  <si>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</si>
  <si>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</si>
  <si>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</si>
  <si>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</si>
  <si>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</si>
  <si>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</si>
  <si>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</si>
  <si>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</si>
  <si>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</si>
  <si>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</si>
  <si>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</si>
  <si>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</si>
  <si>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</si>
  <si>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</si>
  <si>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</si>
  <si>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</si>
  <si>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</si>
  <si>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</si>
  <si>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</si>
  <si>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</si>
  <si>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</si>
  <si>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</si>
  <si>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</si>
  <si>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</si>
  <si>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</si>
  <si>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</si>
  <si>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</si>
  <si>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</si>
  <si>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</si>
  <si>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</si>
  <si>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</si>
  <si>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</si>
  <si>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</si>
  <si>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</si>
  <si>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</si>
  <si>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</si>
  <si>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</si>
  <si>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</si>
  <si>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</si>
  <si>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</si>
  <si>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</si>
  <si>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</si>
  <si>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</si>
  <si>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</si>
  <si>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</si>
  <si>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</si>
  <si>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</si>
  <si>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</si>
  <si>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</si>
  <si>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</si>
  <si>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</si>
  <si>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</si>
  <si>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</si>
  <si>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</si>
  <si>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</si>
  <si>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</si>
  <si>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</si>
  <si>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</si>
  <si>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</si>
  <si>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</si>
  <si>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</si>
  <si>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</si>
  <si>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</si>
  <si>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</si>
  <si>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</si>
  <si>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</si>
  <si>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</si>
  <si>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</si>
  <si>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</si>
  <si>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</si>
  <si>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</si>
  <si>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</si>
  <si>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</si>
  <si>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</si>
  <si>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</si>
  <si>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</si>
  <si>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</si>
  <si>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</si>
  <si>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</si>
  <si>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</si>
  <si>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</si>
  <si>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</si>
  <si>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</si>
  <si>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</si>
  <si>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</si>
  <si>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</si>
  <si>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</si>
  <si>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</si>
  <si>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</si>
  <si>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</si>
  <si>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</si>
  <si>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</si>
  <si>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</si>
  <si>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</si>
  <si>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</si>
  <si>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</si>
  <si>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</si>
  <si>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</si>
  <si>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</si>
  <si>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</si>
  <si>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</si>
  <si>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</si>
  <si>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</si>
  <si>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</si>
  <si>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</si>
  <si>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</si>
  <si>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</si>
  <si>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</si>
  <si>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</si>
  <si>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</si>
  <si>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</si>
  <si>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</si>
  <si>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</si>
  <si>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</si>
  <si>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</si>
  <si>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</si>
  <si>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</si>
  <si>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</si>
  <si>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</si>
  <si>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</si>
  <si>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</si>
  <si>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</si>
  <si>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</si>
  <si>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</si>
  <si>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</si>
  <si>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</si>
  <si>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</si>
  <si>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</si>
  <si>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</si>
  <si>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</si>
  <si>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</si>
  <si>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</si>
  <si>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</si>
  <si>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</si>
  <si>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</si>
  <si>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</si>
  <si>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</si>
  <si>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</si>
  <si>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</si>
  <si>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</si>
  <si>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</si>
  <si>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</si>
  <si>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</si>
  <si>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</si>
  <si>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</si>
  <si>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</si>
  <si>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</si>
  <si>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</si>
  <si>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</si>
  <si>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</si>
  <si>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</si>
  <si>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</si>
  <si>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</si>
  <si>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</si>
  <si>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</si>
  <si>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</si>
  <si>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</si>
  <si>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</si>
  <si>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</si>
  <si>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</si>
  <si>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</si>
  <si>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</si>
  <si>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</si>
  <si>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</si>
  <si>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</si>
  <si>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</si>
  <si>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</si>
  <si>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</si>
  <si>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</si>
  <si>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</si>
  <si>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</si>
  <si>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</si>
  <si>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</si>
  <si>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</si>
  <si>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</si>
  <si>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</si>
  <si>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</si>
  <si>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</si>
  <si>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</si>
  <si>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</si>
  <si>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</si>
  <si>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</si>
  <si>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</si>
  <si>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</si>
  <si>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</si>
  <si>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</si>
  <si>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</si>
  <si>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</si>
  <si>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</si>
  <si>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</si>
  <si>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</si>
  <si>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</si>
  <si>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</si>
  <si>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</si>
  <si>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</si>
  <si>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</si>
  <si>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</si>
  <si>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</si>
  <si>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</si>
  <si>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</si>
  <si>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</si>
  <si>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</si>
  <si>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</si>
  <si>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</si>
  <si>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</si>
  <si>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</si>
  <si>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</si>
  <si>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</si>
  <si>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</si>
  <si>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</si>
  <si>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</si>
  <si>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</si>
  <si>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</si>
  <si>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</si>
  <si>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</si>
  <si>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</si>
  <si>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</si>
  <si>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</si>
  <si>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</si>
  <si>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</si>
  <si>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</si>
  <si>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</si>
  <si>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</si>
  <si>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</si>
  <si>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</si>
  <si>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</si>
  <si>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</si>
  <si>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</si>
  <si>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</si>
  <si>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</si>
  <si>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</si>
  <si>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</si>
  <si>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</si>
  <si>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</si>
  <si>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</si>
  <si>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</si>
  <si>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</si>
  <si>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</si>
  <si>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</si>
  <si>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</si>
  <si>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</si>
  <si>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</si>
  <si>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</si>
  <si>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</si>
  <si>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</si>
  <si>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</si>
  <si>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</si>
  <si>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</si>
  <si>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</si>
  <si>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</si>
  <si>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</si>
  <si>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</si>
  <si>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</si>
  <si>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</si>
  <si>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</si>
  <si>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</si>
  <si>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</si>
  <si>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</si>
  <si>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</si>
  <si>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</si>
  <si>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</si>
  <si>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</si>
  <si>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</si>
  <si>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</si>
  <si>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</si>
  <si>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</si>
  <si>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</si>
  <si>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</si>
  <si>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</si>
  <si>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</si>
  <si>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</si>
  <si>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</si>
  <si>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</si>
  <si>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</si>
  <si>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</si>
  <si>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</si>
  <si>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</si>
  <si>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</si>
  <si>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</si>
  <si>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</si>
  <si>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</si>
  <si>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</si>
  <si>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</si>
  <si>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</si>
  <si>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</si>
  <si>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</si>
  <si>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</si>
  <si>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</si>
  <si>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</si>
  <si>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</si>
  <si>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</si>
  <si>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</si>
  <si>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</si>
  <si>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</si>
  <si>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</si>
  <si>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</si>
  <si>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</si>
  <si>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</si>
  <si>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</si>
  <si>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</si>
  <si>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</si>
  <si>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</si>
  <si>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</si>
  <si>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</si>
  <si>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</si>
  <si>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</si>
  <si>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</si>
  <si>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</si>
  <si>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</si>
  <si>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</si>
  <si>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</si>
  <si>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</si>
  <si>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</si>
  <si>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</si>
  <si>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</si>
  <si>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</si>
  <si>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</si>
  <si>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</si>
  <si>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</si>
  <si>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</si>
  <si>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</si>
  <si>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</si>
  <si>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</si>
  <si>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</si>
  <si>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</si>
  <si>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</si>
  <si>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</si>
  <si>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</si>
  <si>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</si>
  <si>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</si>
  <si>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</si>
  <si>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</si>
  <si>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</si>
  <si>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</si>
  <si>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</si>
  <si>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</si>
  <si>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</si>
  <si>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</si>
  <si>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</si>
  <si>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</si>
  <si>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</si>
  <si>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</si>
  <si>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</si>
  <si>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</si>
  <si>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</si>
  <si>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</si>
  <si>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DANILO VESOVIC</t>
  </si>
  <si>
    <t>MARKO LEPOVIC</t>
  </si>
  <si>
    <t>FRANCESC SENPAU VILLANUEVA</t>
  </si>
  <si>
    <t>BILJANA KOSTRES</t>
  </si>
  <si>
    <t>SANJA RSOVAC</t>
  </si>
  <si>
    <t>JOVANA DOJCINOVIC</t>
  </si>
  <si>
    <t>OSCAR CUESTA</t>
  </si>
  <si>
    <t>4:27</t>
  </si>
  <si>
    <t>4:23</t>
  </si>
  <si>
    <t>2:46</t>
  </si>
  <si>
    <t>Count on us for helping you at any situation ;) Good job!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</si>
</sst>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29_287_DUB_ASV_E2025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287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46079.833333333336</v>
      </c>
      <c r="C3" s="157"/>
      <c r="D3" s="39">
        <v>596</v>
      </c>
      <c r="E3" s="29"/>
      <c r="F3" s="26">
        <f>SUBTOTAL(3,I17:I106)</f>
        <v>3</v>
      </c>
      <c r="G3" s="27">
        <f>IF(OR(D3="",D3=0),"",F3/D3)</f>
        <v>5.0335570469798654E-3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Dubai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5.0335570469798654E-3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LDLC ASVEL Villeurbanne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0.50335570469798652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2.0033557046979866</v>
      </c>
      <c r="N7" s="58"/>
      <c r="O7" s="2"/>
      <c r="P7" s="2"/>
      <c r="Q7" s="86">
        <f>SUM(R5,S5,AC16)</f>
        <v>2.0033557046979866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2.0033557046979866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287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287</v>
      </c>
      <c r="D17" s="32" t="s">
        <v>757</v>
      </c>
      <c r="E17" s="33">
        <v>2</v>
      </c>
      <c r="F17" s="36">
        <v>38</v>
      </c>
      <c r="G17" s="36">
        <v>25</v>
      </c>
      <c r="H17" s="38" t="str">
        <f>IF(I17="","",$I$14)</f>
        <v>SCOUTING</v>
      </c>
      <c r="I17" s="34">
        <v>223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287</v>
      </c>
      <c r="D18" s="32" t="s">
        <v>758</v>
      </c>
      <c r="E18" s="33">
        <v>4</v>
      </c>
      <c r="F18" s="36">
        <v>92</v>
      </c>
      <c r="G18" s="36">
        <v>75</v>
      </c>
      <c r="H18" s="38" t="str">
        <f t="shared" ref="H18:H81" si="8">IF(I18="","",$I$14)</f>
        <v>SCOUTING</v>
      </c>
      <c r="I18" s="34">
        <v>535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287</v>
      </c>
      <c r="D19" s="32" t="s">
        <v>759</v>
      </c>
      <c r="E19" s="33">
        <v>4</v>
      </c>
      <c r="F19" s="36">
        <v>94</v>
      </c>
      <c r="G19" s="36">
        <v>75</v>
      </c>
      <c r="H19" s="38" t="str">
        <f t="shared" si="8"/>
        <v>SCOUTING</v>
      </c>
      <c r="I19" s="34">
        <v>562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REPORT_E2025287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"E2025287"</v>
      </c>
      <c r="F3" s="45" t="str">
        <f t="shared" ref="F3:F16" si="0">""""&amp;B3&amp;"""" &amp; " : " &amp;C3&amp;","</f>
        <v>"name" : "E2025287",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"E287"</v>
      </c>
      <c r="F4" s="45" t="str">
        <f t="shared" si="0"/>
        <v>"cod" : "E287",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287</v>
      </c>
      <c r="F6" s="45" t="str">
        <f t="shared" si="0"/>
        <v>"number" : 287,</v>
      </c>
    </row>
    <row r="7" spans="2:6" x14ac:dyDescent="0.25">
      <c r="B7" s="43" t="s">
        <v>116</v>
      </c>
      <c r="C7" s="43" t="str">
        <f ca="1">""""&amp;TEXT('SCOUT &amp; LOGISTICS'!B3,"dd/mm/aaaa")&amp;""""</f>
        <v>"26/02/2026"</v>
      </c>
      <c r="F7" s="45" t="str">
        <f t="shared" ca="1" si="0"/>
        <v>"date" : "26/02/2026",</v>
      </c>
    </row>
    <row r="8" spans="2:6" x14ac:dyDescent="0.25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"DANILO VESOVIC"</v>
      </c>
      <c r="F10" s="45" t="str">
        <f t="shared" si="0"/>
        <v>"Data_entry" : "DANILO VESOVIC",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"MARKO LEPOVIC"</v>
      </c>
      <c r="F11" s="45" t="str">
        <f t="shared" si="0"/>
        <v>"Caller_1" : "MARKO LEPOVIC",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"FRANCESC SENPAU VILLANUEVA"</v>
      </c>
      <c r="F12" s="45" t="str">
        <f t="shared" si="0"/>
        <v>"Caller_2" : "FRANCESC SENPAU VILLANUEVA",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"BILJANA KOSTRES"</v>
      </c>
      <c r="F13" s="45" t="str">
        <f t="shared" si="0"/>
        <v>"Timerkeeper" : "BILJANA KOSTRES",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"SANJA RSOVAC"</v>
      </c>
      <c r="F14" s="45" t="str">
        <f t="shared" si="0"/>
        <v>"Shotclock" : "SANJA RSOVAC",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DOJCINOVIC"</v>
      </c>
      <c r="F15" s="45" t="str">
        <f t="shared" si="0"/>
        <v>"IRS" : "JOVANA DOJCINOVIC",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596</v>
      </c>
      <c r="F25" s="45" t="str">
        <f t="shared" ref="F25:F48" si="1">""""&amp;C25&amp;"""" &amp; " : " &amp;D25&amp;","</f>
        <v>"total_actions" : 596,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"Count on us for helping you at any situation ;) Good job!"</v>
      </c>
      <c r="F51" s="45" t="str">
        <f>""""&amp;B51&amp;"""" &amp; " : " &amp;C51&amp;","</f>
        <v>"comments" : "Count on us for helping you at any situation ;) Good job!",</v>
      </c>
    </row>
    <row r="52" spans="2:6" x14ac:dyDescent="0.25">
      <c r="B52" s="43" t="s">
        <v>153</v>
      </c>
      <c r="C52" s="43" t="str">
        <f>TEXT('SCOUT &amp; LOGISTICS'!F1,"0,0")</f>
        <v>29_287_DUB_ASV_E2025</v>
      </c>
      <c r="F52" s="45" t="str">
        <f>""""&amp;B52&amp;"""" &amp; " : " &amp;C52</f>
        <v>"result" : 29_287_DUB_ASV_E2025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E287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26/02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Dubai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Ldlc Asvel Villeurbanne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DANILO VESOVIC</v>
      </c>
      <c r="C8" s="206"/>
      <c r="D8" s="206"/>
      <c r="E8" s="206"/>
      <c r="F8" s="206"/>
      <c r="G8" s="206" t="str">
        <f>IF('SCOUT &amp; LOGISTICS'!D7="","",'SCOUT &amp; LOGISTICS'!D7)</f>
        <v>MARKO LEPOVIC</v>
      </c>
      <c r="H8" s="206"/>
      <c r="I8" s="206"/>
      <c r="J8" s="206"/>
      <c r="K8" s="206"/>
      <c r="L8" s="206" t="str">
        <f>IF('SCOUT &amp; LOGISTICS'!D8="","",'SCOUT &amp; LOGISTICS'!D8)</f>
        <v>FRANCESC SENPAU VILLANUEVA</v>
      </c>
      <c r="M8" s="206"/>
      <c r="N8" s="206"/>
      <c r="O8" s="206"/>
      <c r="P8" s="206"/>
      <c r="Q8" s="206" t="str">
        <f>IF('SCOUT &amp; LOGISTICS'!D9="","",'SCOUT &amp; LOGISTICS'!D9)</f>
        <v>BILJANA KOSTRES</v>
      </c>
      <c r="R8" s="206"/>
      <c r="S8" s="206"/>
      <c r="T8" s="206"/>
      <c r="U8" s="206"/>
      <c r="V8" s="206" t="str">
        <f>IF('SCOUT &amp; LOGISTICS'!D10="","",'SCOUT &amp; LOGISTICS'!D10)</f>
        <v>SANJA RSOVAC</v>
      </c>
      <c r="W8" s="206"/>
      <c r="X8" s="206"/>
      <c r="Y8" s="206"/>
      <c r="Z8" s="206"/>
      <c r="AA8" s="206" t="str">
        <f>IF('SCOUT &amp; LOGISTICS'!D11="","",'SCOUT &amp; LOGISTICS'!D11)</f>
        <v>JOVANA DOJCINOVIC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596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5.0335570469798654E-3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Count on us for helping you at any situation ;)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2.0033557046979866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554C106-C691-4B6F-8305-A4EFD08BFA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2026-02-26T22:03:00Z</cp:lastPrinted>
  <dcterms:created xsi:type="dcterms:W3CDTF">2023-09-19T19:50:35Z</dcterms:created>
  <dcterms:modified xsi:type="dcterms:W3CDTF">2026-02-26T22:03:09Z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