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Reports fets/"/>
    </mc:Choice>
  </mc:AlternateContent>
  <xr:revisionPtr revIDLastSave="0" documentId="8_{784AE9B9-4DBA-4676-8FC1-6027A1886E02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<sst xmlns="http://schemas.openxmlformats.org/spreadsheetml/2006/main" count="3235" uniqueCount="752">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</sst>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29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29_288_HTA_MIL_E2025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288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46079.833333333336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Hapoel IBI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HTA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EA7 Emporio Armani Milan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MIL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REPORT_E2025288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"E2025288"</v>
      </c>
      <c r="F3" s="45" t="str">
        <f t="shared" ref="F3:F16" si="0">""""&amp;B3&amp;"""" &amp; " : " &amp;C3&amp;","</f>
        <v>"name" : "E2025288",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"E288"</v>
      </c>
      <c r="F4" s="45" t="str">
        <f t="shared" si="0"/>
        <v>"cod" : "E288",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288</v>
      </c>
      <c r="F6" s="45" t="str">
        <f t="shared" si="0"/>
        <v>"number" : 288,</v>
      </c>
    </row>
    <row r="7" spans="2:6" x14ac:dyDescent="0.25">
      <c r="B7" s="43" t="s">
        <v>116</v>
      </c>
      <c r="C7" s="43" t="str">
        <f ca="1">""""&amp;TEXT('SCOUT &amp; LOGISTICS'!B3,"dd/mm/aaaa")&amp;""""</f>
        <v>"26/02/Thursday"</v>
      </c>
      <c r="F7" s="45" t="str">
        <f t="shared" ca="1" si="0"/>
        <v>"date" : "26/02/Thursday",</v>
      </c>
    </row>
    <row r="8" spans="2:6" x14ac:dyDescent="0.25">
      <c r="B8" s="43" t="s">
        <v>125</v>
      </c>
      <c r="C8" s="43" t="str">
        <f>""""&amp;'SCOUT &amp; LOGISTICS'!D4 &amp;""""</f>
        <v>"Hapoel IBI Tel Aviv"</v>
      </c>
      <c r="F8" s="45" t="str">
        <f t="shared" si="0"/>
        <v>"home_team" : "Hapoel IBI Tel Aviv",</v>
      </c>
    </row>
    <row r="9" spans="2:6" x14ac:dyDescent="0.25">
      <c r="B9" s="43" t="s">
        <v>126</v>
      </c>
      <c r="C9" s="43" t="str">
        <f>""""&amp;'SCOUT &amp; LOGISTICS'!D5&amp;""""</f>
        <v>"EA7 Emporio Armani Milan"</v>
      </c>
      <c r="F9" s="45" t="str">
        <f t="shared" si="0"/>
        <v>"away_team" : "EA7 Emporio Armani Milan",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5">
      <c r="B52" s="43" t="s">
        <v>153</v>
      </c>
      <c r="C52" s="43" t="str">
        <f>TEXT('SCOUT &amp; LOGISTICS'!F1,"0,0")</f>
        <v>29_288_HTA_MIL_E2025</v>
      </c>
      <c r="F52" s="45" t="str">
        <f>""""&amp;B52&amp;"""" &amp; " : " &amp;C52</f>
        <v>"result" : 29_288_HTA_MIL_E2025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E288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26/02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Hapoel Ibi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Ea7 Emporio Armani Milan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C069AC5C-A0C0-4F86-89F8-2ABFA68879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2025-10-09T17:11:09Z</cp:lastPrinted>
  <dcterms:created xsi:type="dcterms:W3CDTF">2023-09-19T19:50:35Z</dcterms:created>
  <dcterms:modified xsi:type="dcterms:W3CDTF">2026-04-21T18:28:18Z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