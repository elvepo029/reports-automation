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5" documentId="8_{6A84B15D-6FE0-44D1-8F56-4992AB80BAFD}" xr6:coauthVersionLast="47" xr6:coauthVersionMax="47" xr10:uidLastSave="{F2CDCFE7-D7CB-4C22-BE2D-C6D2C611E2A9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<sst xmlns="http://schemas.openxmlformats.org/spreadsheetml/2006/main" count="3260" uniqueCount="759">
  <si>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</si>
  <si>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</si>
  <si>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</si>
  <si>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</si>
  <si>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</si>
  <si>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</si>
  <si>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</si>
  <si>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</si>
  <si>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</si>
  <si>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</si>
  <si>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</si>
  <si>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</si>
  <si>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</si>
  <si>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</si>
  <si>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</si>
  <si>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</si>
  <si>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</si>
  <si>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</si>
  <si>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</si>
  <si>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</si>
  <si>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</si>
  <si>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</si>
  <si>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</si>
  <si>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</si>
  <si>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</si>
  <si>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</si>
  <si>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</si>
  <si>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</si>
  <si>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</si>
  <si>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</si>
  <si>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</si>
  <si>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</si>
  <si>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</si>
  <si>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</si>
  <si>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</si>
  <si>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</si>
  <si>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</si>
  <si>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</si>
  <si>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</si>
  <si>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</si>
  <si>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</si>
  <si>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</si>
  <si>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</si>
  <si>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</si>
  <si>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</si>
  <si>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</si>
  <si>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</si>
  <si>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</si>
  <si>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</si>
  <si>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</si>
  <si>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</si>
  <si>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</si>
  <si>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</si>
  <si>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</si>
  <si>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</si>
  <si>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</si>
  <si>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</si>
  <si>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</si>
  <si>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</si>
  <si>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</si>
  <si>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</si>
  <si>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</si>
  <si>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</si>
  <si>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</si>
  <si>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</si>
  <si>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</si>
  <si>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</si>
  <si>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</si>
  <si>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</si>
  <si>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</si>
  <si>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</si>
  <si>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</si>
  <si>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</si>
  <si>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</si>
  <si>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</si>
  <si>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</si>
  <si>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</si>
  <si>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</si>
  <si>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</si>
  <si>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</si>
  <si>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</si>
  <si>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</si>
  <si>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</si>
  <si>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</si>
  <si>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</si>
  <si>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</si>
  <si>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</si>
  <si>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</si>
  <si>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</si>
  <si>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</si>
  <si>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</si>
  <si>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</si>
  <si>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</si>
  <si>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</si>
  <si>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</si>
  <si>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</si>
  <si>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</si>
  <si>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</si>
  <si>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</si>
  <si>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</si>
  <si>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</si>
  <si>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</si>
  <si>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</si>
  <si>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</si>
  <si>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</si>
  <si>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</si>
  <si>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</si>
  <si>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</si>
  <si>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</si>
  <si>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</si>
  <si>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</si>
  <si>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</si>
  <si>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</si>
  <si>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</si>
  <si>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</si>
  <si>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</si>
  <si>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</si>
  <si>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</si>
  <si>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</si>
  <si>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</si>
  <si>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</si>
  <si>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</si>
  <si>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</si>
  <si>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</si>
  <si>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</si>
  <si>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</si>
  <si>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</si>
  <si>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</si>
  <si>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</si>
  <si>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</si>
  <si>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</si>
  <si>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</si>
  <si>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</si>
  <si>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</si>
  <si>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</si>
  <si>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</si>
  <si>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</si>
  <si>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</si>
  <si>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</si>
  <si>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</si>
  <si>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</si>
  <si>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</si>
  <si>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</si>
  <si>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</si>
  <si>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</si>
  <si>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</si>
  <si>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</si>
  <si>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</si>
  <si>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</si>
  <si>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</si>
  <si>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</si>
  <si>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</si>
  <si>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</si>
  <si>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</si>
  <si>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</si>
  <si>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</si>
  <si>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</si>
  <si>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</si>
  <si>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</si>
  <si>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</si>
  <si>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</si>
  <si>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</si>
  <si>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</si>
  <si>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</si>
  <si>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</si>
  <si>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</si>
  <si>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</si>
  <si>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</si>
  <si>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</si>
  <si>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</si>
  <si>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</si>
  <si>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</si>
  <si>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</si>
  <si>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</si>
  <si>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</si>
  <si>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</si>
  <si>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</si>
  <si>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</si>
  <si>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</si>
  <si>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</si>
  <si>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</si>
  <si>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</si>
  <si>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</si>
  <si>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</si>
  <si>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</si>
  <si>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</si>
  <si>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</si>
  <si>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</si>
  <si>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</si>
  <si>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</si>
  <si>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</si>
  <si>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</si>
  <si>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</si>
  <si>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</si>
  <si>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</si>
  <si>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</si>
  <si>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</si>
  <si>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</si>
  <si>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</si>
  <si>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</si>
  <si>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</si>
  <si>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</si>
  <si>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</si>
  <si>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</si>
  <si>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</si>
  <si>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</si>
  <si>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</si>
  <si>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</si>
  <si>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</si>
  <si>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</si>
  <si>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</si>
  <si>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</si>
  <si>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</si>
  <si>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</si>
  <si>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</si>
  <si>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</si>
  <si>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</si>
  <si>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</si>
  <si>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</si>
  <si>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</si>
  <si>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</si>
  <si>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</si>
  <si>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</si>
  <si>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</si>
  <si>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</si>
  <si>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</si>
  <si>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</si>
  <si>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</si>
  <si>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</si>
  <si>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</si>
  <si>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</si>
  <si>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</si>
  <si>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</si>
  <si>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</si>
  <si>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</si>
  <si>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</si>
  <si>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</si>
  <si>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</si>
  <si>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</si>
  <si>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</si>
  <si>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</si>
  <si>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</si>
  <si>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</si>
  <si>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</si>
  <si>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</si>
  <si>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</si>
  <si>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</si>
  <si>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</si>
  <si>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</si>
  <si>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</si>
  <si>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</si>
  <si>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</si>
  <si>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</si>
  <si>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</si>
  <si>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</si>
  <si>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</si>
  <si>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</si>
  <si>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</si>
  <si>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</si>
  <si>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</si>
  <si>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</si>
  <si>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</si>
  <si>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</si>
  <si>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</si>
  <si>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</si>
  <si>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</si>
  <si>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</si>
  <si>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</si>
  <si>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</si>
  <si>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</si>
  <si>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</si>
  <si>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</si>
  <si>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</si>
  <si>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</si>
  <si>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</si>
  <si>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</si>
  <si>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</si>
  <si>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</si>
  <si>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</si>
  <si>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</si>
  <si>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</si>
  <si>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</si>
  <si>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</si>
  <si>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</si>
  <si>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</si>
  <si>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</si>
  <si>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</si>
  <si>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</si>
  <si>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</si>
  <si>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</si>
  <si>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</si>
  <si>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</si>
  <si>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</si>
  <si>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</si>
  <si>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</si>
  <si>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</si>
  <si>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</si>
  <si>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</si>
  <si>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</si>
  <si>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</si>
  <si>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</si>
  <si>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</si>
  <si>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</si>
  <si>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</si>
  <si>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</si>
  <si>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</si>
  <si>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</si>
  <si>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</si>
  <si>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</si>
  <si>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</si>
  <si>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</si>
  <si>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</si>
  <si>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</si>
  <si>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</si>
  <si>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</si>
  <si>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</si>
  <si>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</si>
  <si>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</si>
  <si>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</si>
  <si>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</si>
  <si>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</si>
  <si>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</si>
  <si>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</si>
  <si>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</si>
  <si>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</si>
  <si>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</si>
  <si>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</si>
  <si>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</si>
  <si>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</si>
  <si>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</si>
  <si>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</si>
  <si>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</si>
  <si>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</si>
  <si>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</si>
  <si>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</si>
  <si>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</si>
  <si>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</si>
  <si>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</si>
  <si>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</si>
  <si>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</si>
  <si>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</si>
  <si>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</si>
  <si>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</si>
  <si>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</si>
  <si>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</si>
  <si>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</si>
  <si>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</si>
  <si>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</si>
  <si>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</si>
  <si>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</si>
  <si>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</si>
  <si>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</si>
  <si>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</si>
  <si>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</si>
  <si>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</si>
  <si>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</si>
  <si>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</si>
  <si>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</si>
  <si>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</si>
  <si>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</si>
  <si>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</si>
  <si>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</si>
  <si>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</si>
  <si>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</si>
  <si>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</si>
  <si>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</si>
  <si>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</si>
  <si>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</si>
  <si>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</si>
  <si>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</si>
  <si>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</si>
  <si>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</si>
  <si>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</si>
  <si>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</si>
  <si>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</si>
  <si>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</si>
  <si>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</si>
  <si>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</si>
  <si>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</si>
  <si>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</si>
  <si>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</si>
  <si>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</si>
  <si>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</si>
  <si>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</si>
  <si>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</si>
  <si>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</si>
  <si>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</si>
  <si>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</si>
  <si>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</si>
  <si>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</si>
  <si>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</si>
  <si>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</si>
  <si>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</si>
  <si>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</si>
  <si>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</si>
  <si>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</si>
  <si>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</si>
  <si>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</si>
  <si>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</si>
  <si>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</si>
  <si>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</si>
  <si>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</si>
  <si>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</si>
  <si>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</si>
  <si>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</si>
  <si>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</si>
  <si>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</si>
  <si>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</si>
  <si>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</si>
  <si>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</si>
  <si>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</si>
  <si>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</si>
  <si>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</si>
  <si>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</si>
  <si>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</si>
  <si>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</si>
  <si>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</si>
  <si>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</si>
  <si>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</si>
  <si>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</si>
  <si>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</si>
  <si>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</si>
  <si>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</si>
  <si>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</si>
  <si>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</si>
  <si>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</si>
  <si>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</si>
  <si>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</si>
  <si>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</si>
  <si>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</si>
  <si>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</si>
  <si>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</si>
  <si>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</si>
  <si>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</si>
  <si>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</si>
  <si>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</si>
  <si>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</si>
  <si>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</si>
  <si>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</si>
  <si>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</si>
  <si>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</si>
  <si>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</si>
  <si>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</si>
  <si>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</si>
  <si>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</si>
  <si>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</si>
  <si>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</si>
  <si>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</si>
  <si>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</si>
  <si>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</si>
  <si>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</si>
  <si>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</si>
  <si>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</si>
  <si>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</si>
  <si>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</si>
  <si>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</si>
  <si>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</si>
  <si>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</si>
  <si>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</si>
  <si>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</si>
  <si>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</si>
  <si>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</si>
  <si>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</si>
  <si>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</si>
  <si>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</si>
  <si>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</si>
  <si>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</si>
  <si>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</si>
  <si>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</si>
  <si>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</si>
  <si>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</si>
  <si>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</si>
  <si>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</si>
  <si>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</si>
  <si>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</si>
  <si>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</si>
  <si>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</si>
  <si>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</si>
  <si>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</si>
  <si>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</si>
  <si>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</si>
  <si>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</si>
  <si>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</si>
  <si>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</si>
  <si>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</si>
  <si>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</si>
  <si>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</si>
  <si>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</si>
  <si>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</si>
  <si>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</si>
  <si>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</si>
  <si>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</si>
  <si>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</si>
  <si>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</si>
  <si>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</si>
  <si>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</si>
  <si>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</si>
  <si>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</si>
  <si>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</si>
  <si>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</si>
  <si>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</si>
  <si>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</si>
  <si>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</si>
  <si>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</si>
  <si>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</si>
  <si>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</si>
  <si>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</si>
  <si>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</si>
  <si>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</si>
  <si>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</si>
  <si>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</si>
  <si>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</si>
  <si>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</si>
  <si>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</si>
  <si>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</si>
  <si>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</si>
  <si>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</si>
  <si>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</si>
  <si>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</si>
  <si>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</si>
  <si>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</si>
  <si>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</si>
  <si>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</si>
  <si>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</si>
  <si>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</si>
  <si>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</si>
  <si>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</si>
  <si>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</si>
  <si>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</si>
  <si>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</si>
  <si>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</si>
  <si>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</si>
  <si>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</si>
  <si>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</si>
  <si>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</si>
  <si>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</si>
  <si>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</si>
  <si>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</si>
  <si>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</si>
  <si>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</si>
  <si>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</si>
  <si>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</si>
  <si>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</si>
  <si>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</si>
  <si>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</si>
  <si>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</si>
  <si>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</si>
  <si>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</si>
  <si>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</si>
  <si>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</si>
  <si>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</si>
  <si>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</si>
  <si>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</si>
  <si>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</si>
  <si>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</si>
  <si>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</si>
  <si>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</si>
  <si>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</si>
  <si>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</si>
  <si>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</si>
  <si>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</si>
  <si>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</si>
  <si>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</si>
  <si>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</si>
  <si>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</si>
  <si>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</si>
  <si>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</si>
  <si>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</si>
  <si>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</si>
  <si>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</si>
  <si>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</si>
  <si>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</si>
  <si>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</si>
  <si>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</si>
  <si>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</si>
  <si>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</si>
  <si>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</si>
  <si>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</si>
  <si>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</si>
  <si>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</si>
  <si>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</si>
  <si>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</si>
  <si>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</si>
  <si>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</si>
  <si>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</si>
  <si>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</si>
  <si>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</si>
  <si>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</si>
  <si>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</si>
  <si>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</si>
  <si>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</si>
  <si>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</si>
  <si>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</si>
  <si>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</si>
  <si>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</si>
  <si>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</si>
  <si>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</si>
  <si>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</si>
  <si>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</si>
  <si>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</si>
  <si>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</si>
  <si>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</si>
  <si>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</si>
  <si>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</si>
  <si>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</si>
  <si>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</si>
  <si>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</si>
  <si>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</si>
  <si>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</si>
  <si>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</si>
  <si>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</si>
  <si>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</si>
  <si>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</si>
  <si>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</si>
  <si>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</si>
  <si>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</si>
  <si>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</si>
  <si>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</si>
  <si>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</si>
  <si>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</si>
  <si>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</si>
  <si>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</si>
  <si>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</si>
  <si>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</si>
  <si>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</si>
  <si>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</si>
  <si>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</si>
  <si>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</si>
  <si>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</si>
  <si>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</si>
  <si>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</si>
  <si>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</si>
  <si>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</si>
  <si>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</si>
  <si>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</si>
  <si>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</si>
  <si>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</si>
  <si>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</si>
  <si>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</si>
  <si>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</si>
  <si>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</si>
  <si>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</si>
  <si>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</si>
  <si>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</si>
  <si>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</si>
  <si>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</si>
  <si>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</si>
  <si>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</si>
  <si>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</si>
  <si>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</si>
  <si>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</si>
  <si>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</si>
  <si>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</si>
  <si>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</si>
  <si>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</si>
  <si>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</si>
  <si>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</si>
  <si>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</si>
  <si>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</si>
  <si>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</si>
  <si>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</si>
  <si>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</si>
  <si>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</si>
  <si>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</si>
  <si>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</si>
  <si>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</si>
  <si>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</si>
  <si>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</si>
  <si>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</si>
  <si>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</si>
  <si>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</si>
  <si>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</si>
  <si>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</si>
  <si>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</si>
  <si>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</si>
  <si>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</si>
  <si>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</si>
  <si>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</si>
  <si>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</si>
  <si>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</si>
  <si>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</si>
  <si>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</si>
  <si>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</si>
  <si>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</si>
  <si>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</si>
  <si>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</si>
  <si>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</si>
  <si>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</si>
  <si>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</si>
  <si>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</si>
  <si>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</si>
  <si>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</si>
  <si>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</si>
  <si>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</si>
  <si>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</si>
  <si>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</si>
  <si>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</si>
  <si>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</si>
  <si>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</si>
  <si>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</si>
  <si>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</si>
  <si>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</si>
  <si>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</si>
  <si>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</si>
  <si>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</si>
  <si>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</si>
  <si>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</si>
  <si>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</si>
  <si>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</si>
  <si>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</si>
  <si>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</si>
  <si>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</si>
  <si>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</si>
  <si>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</si>
  <si>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</si>
  <si>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</si>
  <si>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</si>
  <si>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</si>
  <si>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</si>
  <si>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</si>
  <si>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</si>
  <si>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</si>
  <si>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</si>
  <si>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</si>
  <si>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</si>
  <si>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</si>
  <si>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</si>
  <si>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</si>
  <si>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</si>
  <si>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</si>
  <si>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</si>
  <si>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</si>
  <si>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</si>
  <si>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</si>
  <si>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</si>
  <si>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</si>
  <si>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</si>
  <si>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</si>
  <si>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</si>
  <si>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</si>
  <si>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</si>
  <si>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</si>
  <si>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</si>
  <si>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</si>
  <si>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</si>
  <si>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</si>
  <si>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</si>
  <si>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</si>
  <si>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</si>
  <si>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</si>
  <si>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ATHINA KAROUMPALOU</t>
  </si>
  <si>
    <t>THEODOROS TZAMALOUKAS</t>
  </si>
  <si>
    <t>PANAGIOTIS KALESIORIS</t>
  </si>
  <si>
    <t>C:\Users\mario.enjuanes\EUROLEAGUE\EB STATS - General\SEASON 2025-26\Reports\Euroleague\PDF</t>
  </si>
  <si>
    <t>C:\Users\mario.enjuanes\EUROLEAGUE\EB STATS - General\SEASON 2025-26\Reports\Euroleague</t>
  </si>
  <si>
    <t>03:19</t>
  </si>
  <si>
    <t>08:12</t>
  </si>
  <si>
    <t>06:56</t>
  </si>
  <si>
    <t>Very good job! Congratulations for the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</si>
</sst>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29_289_PAN_PRS_E2025</v>
      </c>
      <c r="G1" s="5"/>
      <c r="H1" s="5"/>
      <c r="I1" s="5"/>
      <c r="J1" s="8" t="s">
        <v>707</v>
      </c>
      <c r="K1" s="121" t="s">
        <v>754</v>
      </c>
      <c r="L1" s="121"/>
      <c r="M1" s="122" t="s">
        <v>239</v>
      </c>
      <c r="N1" s="121" t="s">
        <v>753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46079.885416666664</v>
      </c>
      <c r="C3" s="157"/>
      <c r="D3" s="39">
        <v>656</v>
      </c>
      <c r="E3" s="29"/>
      <c r="F3" s="26">
        <f>SUBTOTAL(3,I17:I106)</f>
        <v>3</v>
      </c>
      <c r="G3" s="27">
        <f>IF(OR(D3="",D3=0),"",F3/D3)</f>
        <v>4.5731707317073168E-3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4.5731707317073168E-3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0.45731707317073167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4.4573170731707314</v>
      </c>
      <c r="N7" s="58"/>
      <c r="O7" s="2"/>
      <c r="P7" s="2"/>
      <c r="Q7" s="86">
        <f>SUM(R5,S5,AC16)</f>
        <v>4.4573170731707314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4.4573170731707314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733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289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289</v>
      </c>
      <c r="D17" s="32" t="s">
        <v>755</v>
      </c>
      <c r="E17" s="33">
        <v>1</v>
      </c>
      <c r="F17" s="36">
        <v>14</v>
      </c>
      <c r="G17" s="36">
        <v>19</v>
      </c>
      <c r="H17" s="38" t="str">
        <f>IF(I17="","",$I$14)</f>
        <v>SCOUTING</v>
      </c>
      <c r="I17" s="34">
        <v>91</v>
      </c>
      <c r="J17" s="13" t="s">
        <v>4</v>
      </c>
      <c r="K17" s="13" t="s">
        <v>63</v>
      </c>
      <c r="L17" s="13" t="s">
        <v>7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289</v>
      </c>
      <c r="D18" s="32" t="s">
        <v>756</v>
      </c>
      <c r="E18" s="33">
        <v>2</v>
      </c>
      <c r="F18" s="36">
        <v>35</v>
      </c>
      <c r="G18" s="36">
        <v>34</v>
      </c>
      <c r="H18" s="38" t="str">
        <f t="shared" ref="H18:H81" si="8">IF(I18="","",$I$14)</f>
        <v>SCOUTING</v>
      </c>
      <c r="I18" s="34">
        <v>183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289</v>
      </c>
      <c r="D19" s="32" t="s">
        <v>757</v>
      </c>
      <c r="E19" s="33">
        <v>2</v>
      </c>
      <c r="F19" s="36">
        <v>36</v>
      </c>
      <c r="G19" s="36">
        <v>36</v>
      </c>
      <c r="H19" s="38" t="str">
        <f t="shared" si="8"/>
        <v>SCOUTING</v>
      </c>
      <c r="I19" s="34">
        <v>213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"E2025289"</v>
      </c>
      <c r="F3" s="45" t="str">
        <f t="shared" ref="F3:F16" si="0">""""&amp;B3&amp;"""" &amp; " : " &amp;C3&amp;","</f>
        <v>"name" : "E2025289",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"E289"</v>
      </c>
      <c r="F4" s="45" t="str">
        <f t="shared" si="0"/>
        <v>"cod" : "E289",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289</v>
      </c>
      <c r="F6" s="45" t="str">
        <f t="shared" si="0"/>
        <v>"number" : 289,</v>
      </c>
    </row>
    <row r="7" spans="2:6" x14ac:dyDescent="0.2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"PANAGIOTA TSICHLI"</v>
      </c>
      <c r="F13" s="45" t="str">
        <f t="shared" si="0"/>
        <v>"Timerkeeper" : "PANAGIOTA TSICHLI",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"THEODOROS TZAMALOUKAS"</v>
      </c>
      <c r="F14" s="45" t="str">
        <f t="shared" si="0"/>
        <v>"Shotclock" : "THEODOROS TZAMALOUKAS",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656</v>
      </c>
      <c r="F25" s="45" t="str">
        <f t="shared" ref="F25:F48" si="1">""""&amp;C25&amp;"""" &amp; " : " &amp;D25&amp;","</f>
        <v>"total_actions" : 656,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 Congratulations for the game"</v>
      </c>
      <c r="F51" s="45" t="str">
        <f>""""&amp;B51&amp;"""" &amp; " : " &amp;C51&amp;","</f>
        <v>"comments" : "Very good job! Congratulations for the game",</v>
      </c>
    </row>
    <row r="52" spans="2:6" x14ac:dyDescent="0.2">
      <c r="B52" s="43" t="s">
        <v>153</v>
      </c>
      <c r="C52" s="43" t="str">
        <f>TEXT('SCOUT &amp; LOGISTICS'!F1,"0,0")</f>
        <v>29_289_PAN_PRS_E2025</v>
      </c>
      <c r="F52" s="45" t="str">
        <f>""""&amp;B52&amp;"""" &amp; " : " &amp;C52</f>
        <v>"result" : 29_289_PAN_PRS_E2025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E289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ATHINA KAROUMPALOU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PANAGIOTA TSICHLI</v>
      </c>
      <c r="R8" s="206"/>
      <c r="S8" s="206"/>
      <c r="T8" s="206"/>
      <c r="U8" s="206"/>
      <c r="V8" s="206" t="str">
        <f>IF('SCOUT &amp; LOGISTICS'!D10="","",'SCOUT &amp; LOGISTICS'!D10)</f>
        <v>THEODOROS TZAMALOUKAS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656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4.5731707317073168E-3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 Congratulations for the game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4.4573170731707314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666E87-CC4D-47C0-8AE8-27615EA45C8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2026-02-26T22:06:03Z</cp:lastPrinted>
  <dcterms:created xsi:type="dcterms:W3CDTF">2023-09-19T19:50:35Z</dcterms:created>
  <dcterms:modified xsi:type="dcterms:W3CDTF">2026-02-26T22:06:09Z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