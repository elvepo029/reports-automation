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FF59D6A0-BAF9-4FFA-918B-64E38833684B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<sst xmlns="http://schemas.openxmlformats.org/spreadsheetml/2006/main" count="3260" uniqueCount="761">
  <si>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</si>
  <si>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</si>
  <si>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</si>
  <si>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</si>
  <si>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</si>
  <si>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</si>
  <si>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</si>
  <si>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</si>
  <si>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</si>
  <si>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</si>
  <si>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</si>
  <si>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</si>
  <si>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</si>
  <si>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</si>
  <si>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</si>
  <si>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</si>
  <si>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</si>
  <si>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</si>
  <si>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</si>
  <si>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</si>
  <si>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</si>
  <si>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</si>
  <si>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</si>
  <si>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</si>
  <si>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</si>
  <si>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</si>
  <si>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</si>
  <si>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</si>
  <si>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</si>
  <si>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</si>
  <si>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</si>
  <si>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</si>
  <si>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</si>
  <si>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</si>
  <si>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</si>
  <si>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</si>
  <si>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</si>
  <si>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</si>
  <si>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</si>
  <si>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</si>
  <si>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</si>
  <si>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</si>
  <si>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</si>
  <si>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</si>
  <si>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</si>
  <si>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</si>
  <si>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</si>
  <si>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</si>
  <si>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</si>
  <si>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</si>
  <si>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</si>
  <si>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</si>
  <si>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</si>
  <si>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</si>
  <si>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</si>
  <si>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</si>
  <si>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</si>
  <si>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</si>
  <si>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</si>
  <si>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</si>
  <si>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</si>
  <si>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</si>
  <si>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</si>
  <si>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</si>
  <si>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</si>
  <si>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</si>
  <si>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</si>
  <si>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</si>
  <si>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</si>
  <si>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</si>
  <si>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</si>
  <si>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</si>
  <si>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</si>
  <si>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</si>
  <si>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</si>
  <si>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</si>
  <si>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</si>
  <si>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</si>
  <si>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</si>
  <si>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</si>
  <si>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</si>
  <si>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</si>
  <si>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</si>
  <si>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</si>
  <si>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</si>
  <si>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</si>
  <si>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</si>
  <si>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</si>
  <si>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</si>
  <si>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</si>
  <si>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</si>
  <si>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</si>
  <si>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</si>
  <si>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</si>
  <si>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</si>
  <si>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</si>
  <si>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</si>
  <si>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</si>
  <si>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</si>
  <si>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</si>
  <si>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</si>
  <si>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</si>
  <si>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</si>
  <si>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</si>
  <si>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</si>
  <si>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</si>
  <si>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</si>
  <si>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</si>
  <si>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</si>
  <si>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</si>
  <si>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</si>
  <si>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</si>
  <si>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</si>
  <si>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</si>
  <si>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</si>
  <si>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</si>
  <si>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</si>
  <si>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</si>
  <si>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</si>
  <si>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</si>
  <si>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</si>
  <si>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</si>
  <si>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</si>
  <si>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</si>
  <si>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</si>
  <si>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</si>
  <si>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</si>
  <si>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</si>
  <si>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</si>
  <si>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</si>
  <si>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</si>
  <si>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</si>
  <si>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</si>
  <si>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</si>
  <si>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</si>
  <si>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</si>
  <si>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</si>
  <si>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</si>
  <si>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</si>
  <si>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</si>
  <si>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</si>
  <si>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</si>
  <si>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</si>
  <si>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</si>
  <si>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</si>
  <si>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</si>
  <si>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</si>
  <si>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</si>
  <si>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</si>
  <si>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</si>
  <si>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</si>
  <si>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</si>
  <si>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</si>
  <si>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</si>
  <si>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</si>
  <si>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</si>
  <si>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</si>
  <si>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</si>
  <si>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</si>
  <si>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</si>
  <si>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</si>
  <si>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</si>
  <si>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</si>
  <si>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</si>
  <si>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</si>
  <si>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</si>
  <si>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</si>
  <si>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</si>
  <si>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</si>
  <si>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</si>
  <si>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</si>
  <si>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</si>
  <si>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</si>
  <si>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</si>
  <si>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</si>
  <si>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</si>
  <si>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</si>
  <si>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</si>
  <si>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</si>
  <si>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</si>
  <si>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</si>
  <si>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</si>
  <si>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</si>
  <si>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</si>
  <si>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</si>
  <si>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</si>
  <si>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</si>
  <si>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</si>
  <si>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</si>
  <si>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</si>
  <si>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</si>
  <si>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</si>
  <si>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</si>
  <si>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</si>
  <si>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</si>
  <si>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</si>
  <si>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</si>
  <si>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</si>
  <si>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</si>
  <si>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</si>
  <si>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</si>
  <si>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</si>
  <si>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</si>
  <si>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</si>
  <si>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</si>
  <si>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</si>
  <si>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</si>
  <si>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</si>
  <si>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</si>
  <si>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</si>
  <si>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</si>
  <si>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</si>
  <si>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</si>
  <si>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</si>
  <si>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</si>
  <si>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</si>
  <si>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</si>
  <si>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</si>
  <si>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</si>
  <si>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</si>
  <si>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</si>
  <si>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</si>
  <si>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</si>
  <si>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</si>
  <si>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</si>
  <si>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</si>
  <si>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</si>
  <si>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</si>
  <si>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</si>
  <si>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</si>
  <si>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</si>
  <si>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</si>
  <si>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</si>
  <si>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</si>
  <si>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</si>
  <si>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</si>
  <si>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</si>
  <si>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</si>
  <si>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</si>
  <si>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</si>
  <si>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</si>
  <si>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</si>
  <si>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</si>
  <si>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</si>
  <si>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</si>
  <si>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</si>
  <si>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</si>
  <si>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</si>
  <si>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</si>
  <si>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</si>
  <si>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</si>
  <si>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</si>
  <si>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</si>
  <si>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</si>
  <si>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</si>
  <si>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</si>
  <si>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</si>
  <si>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</si>
  <si>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</si>
  <si>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</si>
  <si>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</si>
  <si>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</si>
  <si>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</si>
  <si>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</si>
  <si>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</si>
  <si>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</si>
  <si>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</si>
  <si>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</si>
  <si>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</si>
  <si>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</si>
  <si>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</si>
  <si>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</si>
  <si>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</si>
  <si>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</si>
  <si>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</si>
  <si>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</si>
  <si>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</si>
  <si>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</si>
  <si>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</si>
  <si>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</si>
  <si>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</si>
  <si>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</si>
  <si>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</si>
  <si>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</si>
  <si>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</si>
  <si>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</si>
  <si>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</si>
  <si>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</si>
  <si>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</si>
  <si>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</si>
  <si>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</si>
  <si>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</si>
  <si>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</si>
  <si>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</si>
  <si>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</si>
  <si>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</si>
  <si>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</si>
  <si>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</si>
  <si>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</si>
  <si>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</si>
  <si>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</si>
  <si>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</si>
  <si>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</si>
  <si>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</si>
  <si>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</si>
  <si>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</si>
  <si>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</si>
  <si>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</si>
  <si>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</si>
  <si>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</si>
  <si>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</si>
  <si>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</si>
  <si>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</si>
  <si>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</si>
  <si>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</si>
  <si>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</si>
  <si>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</si>
  <si>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</si>
  <si>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</si>
  <si>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</si>
  <si>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</si>
  <si>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</si>
  <si>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</si>
  <si>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</si>
  <si>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</si>
  <si>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</si>
  <si>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</si>
  <si>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</si>
  <si>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</si>
  <si>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</si>
  <si>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</si>
  <si>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</si>
  <si>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</si>
  <si>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</si>
  <si>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</si>
  <si>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</si>
  <si>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</si>
  <si>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</si>
  <si>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</si>
  <si>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</si>
  <si>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</si>
  <si>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</si>
  <si>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</si>
  <si>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</si>
  <si>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</si>
  <si>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</si>
  <si>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</si>
  <si>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</si>
  <si>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</si>
  <si>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</si>
  <si>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</si>
  <si>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</si>
  <si>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</si>
  <si>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</si>
  <si>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</si>
  <si>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</si>
  <si>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</si>
  <si>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</si>
  <si>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</si>
  <si>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</si>
  <si>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</si>
  <si>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</si>
  <si>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</si>
  <si>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</si>
  <si>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</si>
  <si>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</si>
  <si>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</si>
  <si>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</si>
  <si>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</si>
  <si>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</si>
  <si>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</si>
  <si>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</si>
  <si>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</si>
  <si>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</si>
  <si>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</si>
  <si>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</si>
  <si>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</si>
  <si>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</si>
  <si>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</si>
  <si>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</si>
  <si>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</si>
  <si>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</si>
  <si>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</si>
  <si>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</si>
  <si>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</si>
  <si>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</si>
  <si>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</si>
  <si>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</si>
  <si>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</si>
  <si>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</si>
  <si>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</si>
  <si>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</si>
  <si>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</si>
  <si>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</si>
  <si>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</si>
  <si>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</si>
  <si>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</si>
  <si>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</si>
  <si>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</si>
  <si>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</si>
  <si>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</si>
  <si>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</si>
  <si>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</si>
  <si>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</si>
  <si>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</si>
  <si>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</si>
  <si>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</si>
  <si>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</si>
  <si>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</si>
  <si>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</si>
  <si>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</si>
  <si>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</si>
  <si>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</si>
  <si>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</si>
  <si>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</si>
  <si>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</si>
  <si>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</si>
  <si>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</si>
  <si>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</si>
  <si>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</si>
  <si>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</si>
  <si>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</si>
  <si>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</si>
  <si>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</si>
  <si>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</si>
  <si>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</si>
  <si>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</si>
  <si>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</si>
  <si>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</si>
  <si>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</si>
  <si>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</si>
  <si>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</si>
  <si>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</si>
  <si>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</si>
  <si>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</si>
  <si>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</si>
  <si>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</si>
  <si>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</si>
  <si>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</si>
  <si>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</si>
  <si>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</si>
  <si>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</si>
  <si>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</si>
  <si>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</si>
  <si>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</si>
  <si>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</si>
  <si>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</si>
  <si>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</si>
  <si>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</si>
  <si>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</si>
  <si>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</si>
  <si>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</si>
  <si>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</si>
  <si>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</si>
  <si>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</si>
  <si>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</si>
  <si>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</si>
  <si>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</si>
  <si>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</si>
  <si>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</si>
  <si>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</si>
  <si>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</si>
  <si>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</si>
  <si>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</si>
  <si>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</si>
  <si>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</si>
  <si>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</si>
  <si>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</si>
  <si>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</si>
  <si>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</si>
  <si>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</si>
  <si>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</si>
  <si>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</si>
  <si>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</si>
  <si>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</si>
  <si>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</si>
  <si>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</si>
  <si>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</si>
  <si>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</si>
  <si>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</si>
  <si>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</si>
  <si>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</si>
  <si>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</si>
  <si>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</si>
  <si>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</si>
  <si>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</si>
  <si>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</si>
  <si>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</si>
  <si>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</si>
  <si>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</si>
  <si>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</si>
  <si>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</si>
  <si>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</si>
  <si>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</si>
  <si>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</si>
  <si>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</si>
  <si>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</si>
  <si>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</si>
  <si>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</si>
  <si>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</si>
  <si>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</si>
  <si>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</si>
  <si>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</si>
  <si>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</si>
  <si>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</si>
  <si>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</si>
  <si>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</si>
  <si>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</si>
  <si>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</si>
  <si>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</si>
  <si>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</si>
  <si>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</si>
  <si>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</si>
  <si>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</si>
  <si>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</si>
  <si>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</si>
  <si>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</si>
  <si>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</si>
  <si>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</si>
  <si>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</si>
  <si>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</si>
  <si>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</si>
  <si>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</si>
  <si>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</si>
  <si>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</si>
  <si>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</si>
  <si>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</si>
  <si>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</si>
  <si>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</si>
  <si>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</si>
  <si>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</si>
  <si>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</si>
  <si>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</si>
  <si>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</si>
  <si>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</si>
  <si>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</si>
  <si>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</si>
  <si>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</si>
  <si>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</si>
  <si>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</si>
  <si>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</si>
  <si>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</si>
  <si>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</si>
  <si>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</si>
  <si>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</si>
  <si>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</si>
  <si>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</si>
  <si>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</si>
  <si>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</si>
  <si>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</si>
  <si>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</si>
  <si>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</si>
  <si>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</si>
  <si>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</si>
  <si>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</si>
  <si>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</si>
  <si>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</si>
  <si>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</si>
  <si>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</si>
  <si>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</si>
  <si>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</si>
  <si>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</si>
  <si>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</si>
  <si>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</si>
  <si>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</si>
  <si>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</si>
  <si>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</si>
  <si>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</si>
  <si>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</si>
  <si>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</si>
  <si>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</si>
  <si>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</si>
  <si>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</si>
  <si>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</si>
  <si>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</si>
  <si>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</si>
  <si>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</si>
  <si>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</si>
  <si>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</si>
  <si>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</si>
  <si>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</si>
  <si>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</si>
  <si>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</si>
  <si>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</si>
  <si>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</si>
  <si>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</si>
  <si>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</si>
  <si>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</si>
  <si>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</si>
  <si>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</si>
  <si>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</si>
  <si>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</si>
  <si>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</si>
  <si>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</si>
  <si>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</si>
  <si>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</si>
  <si>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</si>
  <si>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</si>
  <si>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</si>
  <si>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</si>
  <si>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</si>
  <si>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</si>
  <si>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</si>
  <si>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</si>
  <si>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</si>
  <si>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</si>
  <si>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</si>
  <si>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</si>
  <si>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</si>
  <si>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</si>
  <si>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</si>
  <si>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</si>
  <si>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</si>
  <si>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</si>
  <si>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</si>
  <si>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</si>
  <si>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</si>
  <si>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</si>
  <si>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</si>
  <si>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</si>
  <si>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</si>
  <si>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</si>
  <si>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</si>
  <si>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</si>
  <si>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</si>
  <si>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</si>
  <si>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</si>
  <si>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</si>
  <si>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</si>
  <si>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</si>
  <si>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</si>
  <si>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</si>
  <si>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</si>
  <si>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</si>
  <si>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</si>
  <si>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</si>
  <si>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</si>
  <si>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</si>
  <si>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</si>
  <si>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</si>
  <si>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</si>
  <si>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</si>
  <si>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</si>
  <si>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</si>
  <si>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</si>
  <si>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</si>
  <si>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</si>
  <si>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</si>
  <si>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</si>
  <si>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</si>
  <si>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</si>
  <si>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</si>
  <si>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</si>
  <si>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</si>
  <si>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</si>
  <si>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</si>
  <si>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</si>
  <si>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</si>
  <si>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</si>
  <si>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</si>
  <si>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</si>
  <si>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</si>
  <si>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</si>
  <si>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</si>
  <si>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</si>
  <si>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</si>
  <si>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</si>
  <si>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</si>
  <si>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</si>
  <si>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</si>
  <si>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</si>
  <si>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</si>
  <si>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</si>
  <si>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</si>
  <si>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</si>
  <si>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</si>
  <si>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</si>
  <si>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</si>
  <si>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</si>
  <si>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</si>
  <si>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</si>
  <si>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</si>
  <si>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</si>
  <si>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</si>
  <si>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</si>
  <si>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</si>
  <si>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</si>
  <si>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</si>
  <si>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</si>
  <si>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</si>
  <si>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</si>
  <si>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</si>
  <si>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</si>
  <si>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</si>
  <si>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</si>
  <si>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</si>
  <si>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</si>
  <si>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</si>
  <si>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</si>
  <si>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</si>
  <si>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</si>
  <si>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</si>
  <si>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</si>
  <si>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</si>
  <si>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</si>
  <si>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</si>
  <si>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</si>
  <si>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</si>
  <si>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</si>
  <si>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</si>
  <si>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</si>
  <si>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</si>
  <si>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</si>
  <si>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</si>
  <si>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</si>
  <si>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</si>
  <si>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</si>
  <si>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</si>
  <si>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</si>
  <si>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</si>
  <si>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</si>
  <si>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</si>
  <si>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</si>
  <si>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</si>
  <si>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</si>
  <si>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</si>
  <si>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</si>
  <si>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</si>
  <si>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</si>
  <si>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</si>
  <si>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</si>
  <si>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</si>
  <si>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</si>
  <si>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</si>
  <si>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</si>
  <si>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</si>
  <si>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</si>
  <si>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</si>
  <si>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</si>
  <si>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</si>
  <si>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</si>
  <si>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</si>
  <si>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</si>
  <si>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</si>
  <si>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</si>
  <si>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</si>
  <si>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</si>
  <si>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</si>
  <si>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</si>
  <si>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</si>
  <si>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LUIS CALLEJA</t>
  </si>
  <si>
    <t>MIGUEL PEÑALBA</t>
  </si>
  <si>
    <t>PABLO KELLER</t>
  </si>
  <si>
    <t>MARIA RUTH TARREGA DE LA RUA</t>
  </si>
  <si>
    <t>NOA GARCIA</t>
  </si>
  <si>
    <t>ALVARO PEÑALBA</t>
  </si>
  <si>
    <t>OSCAR CUESTA</t>
  </si>
  <si>
    <t>8:21</t>
  </si>
  <si>
    <t>5:06</t>
  </si>
  <si>
    <t>9:35</t>
  </si>
  <si>
    <t>Excelente partido, chicos. Revisad lo del tiempo ;) Mis felicitaciones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</si>
</sst>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29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29_290_MAD_MUN_E2025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290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46079.864583333336</v>
      </c>
      <c r="C3" s="157"/>
      <c r="D3" s="39">
        <v>543</v>
      </c>
      <c r="E3" s="29"/>
      <c r="F3" s="26">
        <f>SUBTOTAL(3,I17:I106)</f>
        <v>3</v>
      </c>
      <c r="G3" s="27">
        <f>IF(OR(D3="",D3=0),"",F3/D3)</f>
        <v>5.5248618784530384E-3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Real Madrid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MAD</v>
      </c>
      <c r="I4" s="5"/>
      <c r="J4" s="119" t="s">
        <v>714</v>
      </c>
      <c r="K4" s="54" t="s">
        <v>743</v>
      </c>
      <c r="L4" s="5"/>
      <c r="M4" s="167" t="s">
        <v>760</v>
      </c>
      <c r="N4" s="168"/>
      <c r="O4" s="2"/>
      <c r="P4" s="2"/>
      <c r="Q4" s="84" t="s">
        <v>175</v>
      </c>
      <c r="R4" s="94">
        <f>(IF(G3="",0,G3))</f>
        <v>5.5248618784530384E-3</v>
      </c>
      <c r="S4" s="61">
        <f>SUM(I13:M13)</f>
        <v>0</v>
      </c>
      <c r="T4" s="78"/>
      <c r="U4" s="61">
        <f>AC18</f>
        <v>2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FC Bayern Munich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MUN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0.55248618784530379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2.5524861878453038</v>
      </c>
      <c r="N7" s="58"/>
      <c r="O7" s="2"/>
      <c r="P7" s="2"/>
      <c r="Q7" s="86">
        <f>SUM(R5,S5,AC16)</f>
        <v>2.5524861878453038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2.5524861878453038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290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290</v>
      </c>
      <c r="D17" s="32" t="s">
        <v>757</v>
      </c>
      <c r="E17" s="33">
        <v>1</v>
      </c>
      <c r="F17" s="36">
        <v>0</v>
      </c>
      <c r="G17" s="36">
        <v>2</v>
      </c>
      <c r="H17" s="38" t="str">
        <f>IF(I17="","",$I$14)</f>
        <v>SCOUTING</v>
      </c>
      <c r="I17" s="34">
        <v>12</v>
      </c>
      <c r="J17" s="13" t="s">
        <v>4</v>
      </c>
      <c r="K17" s="13" t="s">
        <v>63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290</v>
      </c>
      <c r="D18" s="32" t="s">
        <v>758</v>
      </c>
      <c r="E18" s="33">
        <v>3</v>
      </c>
      <c r="F18" s="36">
        <v>62</v>
      </c>
      <c r="G18" s="36">
        <v>39</v>
      </c>
      <c r="H18" s="38" t="str">
        <f t="shared" ref="H18:H81" si="8">IF(I18="","",$I$14)</f>
        <v>SCOUTING</v>
      </c>
      <c r="I18" s="34">
        <v>337</v>
      </c>
      <c r="J18" s="13" t="s">
        <v>4</v>
      </c>
      <c r="K18" s="13" t="s">
        <v>62</v>
      </c>
      <c r="L18" s="13" t="s">
        <v>6</v>
      </c>
      <c r="M18" s="13" t="s">
        <v>9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E2025</v>
      </c>
      <c r="C19" s="31">
        <f t="shared" si="3"/>
        <v>290</v>
      </c>
      <c r="D19" s="32" t="s">
        <v>759</v>
      </c>
      <c r="E19" s="33">
        <v>4</v>
      </c>
      <c r="F19" s="36">
        <v>78</v>
      </c>
      <c r="G19" s="36">
        <v>47</v>
      </c>
      <c r="H19" s="38" t="str">
        <f t="shared" si="8"/>
        <v>SCOUTING</v>
      </c>
      <c r="I19" s="34">
        <v>427</v>
      </c>
      <c r="J19" s="13" t="s">
        <v>4</v>
      </c>
      <c r="K19" s="13" t="s">
        <v>63</v>
      </c>
      <c r="L19" s="13" t="s">
        <v>5</v>
      </c>
      <c r="M19" s="13" t="s">
        <v>12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REPORT_E2025290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"E2025290"</v>
      </c>
      <c r="F3" s="45" t="str">
        <f t="shared" ref="F3:F16" si="0">""""&amp;B3&amp;"""" &amp; " : " &amp;C3&amp;","</f>
        <v>"name" : "E2025290",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"E290"</v>
      </c>
      <c r="F4" s="45" t="str">
        <f t="shared" si="0"/>
        <v>"cod" : "E290",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290</v>
      </c>
      <c r="F6" s="45" t="str">
        <f t="shared" si="0"/>
        <v>"number" : 290,</v>
      </c>
    </row>
    <row r="7" spans="2:6" x14ac:dyDescent="0.25">
      <c r="B7" s="43" t="s">
        <v>116</v>
      </c>
      <c r="C7" s="43" t="str">
        <f ca="1">""""&amp;TEXT('SCOUT &amp; LOGISTICS'!B3,"dd/mm/aaaa")&amp;""""</f>
        <v>"26/02/2026"</v>
      </c>
      <c r="F7" s="45" t="str">
        <f t="shared" ca="1" si="0"/>
        <v>"date" : "26/02/2026",</v>
      </c>
    </row>
    <row r="8" spans="2:6" x14ac:dyDescent="0.25">
      <c r="B8" s="43" t="s">
        <v>125</v>
      </c>
      <c r="C8" s="43" t="str">
        <f>""""&amp;'SCOUT &amp; LOGISTICS'!D4 &amp;""""</f>
        <v>"Real Madrid"</v>
      </c>
      <c r="F8" s="45" t="str">
        <f t="shared" si="0"/>
        <v>"home_team" : "Real Madrid",</v>
      </c>
    </row>
    <row r="9" spans="2:6" x14ac:dyDescent="0.25">
      <c r="B9" s="43" t="s">
        <v>126</v>
      </c>
      <c r="C9" s="43" t="str">
        <f>""""&amp;'SCOUT &amp; LOGISTICS'!D5&amp;""""</f>
        <v>"FC Bayern Munich"</v>
      </c>
      <c r="F9" s="45" t="str">
        <f t="shared" si="0"/>
        <v>"away_team" : "FC Bayern Munich",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"LUIS CALLEJA"</v>
      </c>
      <c r="F10" s="45" t="str">
        <f t="shared" si="0"/>
        <v>"Data_entry" : "LUIS CALLEJA",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"MIGUEL PEÑALBA"</v>
      </c>
      <c r="F11" s="45" t="str">
        <f t="shared" si="0"/>
        <v>"Caller_1" : "MIGUEL PEÑALBA",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"PABLO KELLER"</v>
      </c>
      <c r="F12" s="45" t="str">
        <f t="shared" si="0"/>
        <v>"Caller_2" : "PABLO KELLER",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"MARIA RUTH TARREGA DE LA RUA"</v>
      </c>
      <c r="F13" s="45" t="str">
        <f t="shared" si="0"/>
        <v>"Timerkeeper" : "MARIA RUTH TARREGA DE LA RUA",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"NOA GARCIA"</v>
      </c>
      <c r="F14" s="45" t="str">
        <f t="shared" si="0"/>
        <v>"Shotclock" : "NOA GARCIA",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"ALVARO PEÑALBA"</v>
      </c>
      <c r="F15" s="45" t="str">
        <f t="shared" si="0"/>
        <v>"IRS" : "ALVARO PEÑALBA",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543</v>
      </c>
      <c r="F25" s="45" t="str">
        <f t="shared" ref="F25:F48" si="1">""""&amp;C25&amp;"""" &amp; " : " &amp;D25&amp;","</f>
        <v>"total_actions" : 543,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"0,6%"</v>
      </c>
      <c r="F27" s="45" t="str">
        <f t="shared" si="1"/>
        <v>"%_corrections" : "0,6%",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"Excelente partido, chicos. Revisad lo del tiempo ;) Mis felicitaciones"</v>
      </c>
      <c r="F51" s="45" t="str">
        <f>""""&amp;B51&amp;"""" &amp; " : " &amp;C51&amp;","</f>
        <v>"comments" : "Excelente partido, chicos. Revisad lo del tiempo ;) Mis felicitaciones",</v>
      </c>
    </row>
    <row r="52" spans="2:6" x14ac:dyDescent="0.25">
      <c r="B52" s="43" t="s">
        <v>153</v>
      </c>
      <c r="C52" s="43" t="str">
        <f>TEXT('SCOUT &amp; LOGISTICS'!F1,"0,0")</f>
        <v>29_290_MAD_MUN_E2025</v>
      </c>
      <c r="F52" s="45" t="str">
        <f>""""&amp;B52&amp;"""" &amp; " : " &amp;C52</f>
        <v>"result" : 29_290_MAD_MUN_E2025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E290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26/02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Real Madrid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Fc Bayern Munich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LUIS CALLEJA</v>
      </c>
      <c r="C8" s="206"/>
      <c r="D8" s="206"/>
      <c r="E8" s="206"/>
      <c r="F8" s="206"/>
      <c r="G8" s="206" t="str">
        <f>IF('SCOUT &amp; LOGISTICS'!D7="","",'SCOUT &amp; LOGISTICS'!D7)</f>
        <v>MIGUEL PEÑALBA</v>
      </c>
      <c r="H8" s="206"/>
      <c r="I8" s="206"/>
      <c r="J8" s="206"/>
      <c r="K8" s="206"/>
      <c r="L8" s="206" t="str">
        <f>IF('SCOUT &amp; LOGISTICS'!D8="","",'SCOUT &amp; LOGISTICS'!D8)</f>
        <v>PABLO KELLER</v>
      </c>
      <c r="M8" s="206"/>
      <c r="N8" s="206"/>
      <c r="O8" s="206"/>
      <c r="P8" s="206"/>
      <c r="Q8" s="206" t="str">
        <f>IF('SCOUT &amp; LOGISTICS'!D9="","",'SCOUT &amp; LOGISTICS'!D9)</f>
        <v>MARIA RUTH TARREGA DE LA RUA</v>
      </c>
      <c r="R8" s="206"/>
      <c r="S8" s="206"/>
      <c r="T8" s="206"/>
      <c r="U8" s="206"/>
      <c r="V8" s="206" t="str">
        <f>IF('SCOUT &amp; LOGISTICS'!D10="","",'SCOUT &amp; LOGISTICS'!D10)</f>
        <v>NOA GARCIA</v>
      </c>
      <c r="W8" s="206"/>
      <c r="X8" s="206"/>
      <c r="Y8" s="206"/>
      <c r="Z8" s="206"/>
      <c r="AA8" s="206" t="str">
        <f>IF('SCOUT &amp; LOGISTICS'!D11="","",'SCOUT &amp; LOGISTICS'!D11)</f>
        <v>ALVARO PEÑALBA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543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5.5248618784530384E-3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Excelente partido, chicos. Revisad lo del tiempo ;) Mis felicitaciones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2.5524861878453038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9C049C-BF1F-475F-9AC8-D11403687A2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2026-02-26T21:55:53Z</cp:lastPrinted>
  <dcterms:created xsi:type="dcterms:W3CDTF">2023-09-19T19:50:35Z</dcterms:created>
  <dcterms:modified xsi:type="dcterms:W3CDTF">2026-02-26T21:59:35Z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