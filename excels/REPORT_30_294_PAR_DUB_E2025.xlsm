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wdp" ContentType="image/vnd.ms-photo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Metadata/LabelInfo.xml" ContentType="application/vnd.ms-office.classificationlabel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microsoft.com/office/2011/relationships/webextensiontaskpanes" Target="xl/webextensions/taskpanes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6" Type="http://schemas.openxmlformats.org/officeDocument/2006/relationships/custom-properties" Target="docProps/custom.xml"/><Relationship Id="rId5" Type="http://schemas.openxmlformats.org/officeDocument/2006/relationships/extended-properties" Target="docProps/app.xml"/><Relationship Id="rId4" Type="http://schemas.openxmlformats.org/package/2006/relationships/metadata/core-properties" Target="docProps/core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231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c:\temp\"/>
    </mc:Choice>
  </mc:AlternateContent>
  <xr:revisionPtr revIDLastSave="0" documentId="8_{F9D79FB1-A539-4BE2-B46B-5CDC4FB89ABB}" xr6:coauthVersionLast="47" xr6:coauthVersionMax="47" xr10:uidLastSave="{00000000-0000-0000-0000-000000000000}"/>
  <bookViews>
    <workbookView xWindow="-6345" yWindow="-16320" windowWidth="29040" windowHeight="15720" xr2:uid="{00000000-000D-0000-FFFF-FFFF00000000}"/>
  </bookViews>
  <sheets>
    <sheet name="SCOUT &amp; LOGISTICS" sheetId="1" r:id="rId1"/>
    <sheet name="Teams" sheetId="5" state="hidden" r:id="rId2"/>
    <sheet name="GAMES" sheetId="6" state="hidden" r:id="rId3"/>
    <sheet name="json" sheetId="4" state="hidden" r:id="rId4"/>
    <sheet name="Report" sheetId="2" state="hidden" r:id="rId5"/>
  </sheets>
  <functionGroups builtInGroupCount="19"/>
  <definedNames>
    <definedName name="_xlnm._FilterDatabase" localSheetId="0" hidden="1">'SCOUT &amp; LOGISTICS'!$I$16:$M$106</definedName>
    <definedName name="_xleta.N" hidden="1" xlm="1">#NAME?</definedName>
    <definedName name="_xleta.NOW" hidden="1" xlm="1">#NAME?</definedName>
    <definedName name="_xleta.T" hidden="1" xlm="1">#NAME?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10" i="1" l="1"/>
  <c r="D9" i="1"/>
  <c r="D8" i="1"/>
  <c r="D7" i="1"/>
  <c r="D6" i="1"/>
  <c r="D11" i="1"/>
  <c r="B2" i="1" l="1"/>
  <c r="A562" i="6"/>
  <c r="A561" i="6"/>
  <c r="A560" i="6"/>
  <c r="A559" i="6"/>
  <c r="A558" i="6"/>
  <c r="A557" i="6"/>
  <c r="A556" i="6"/>
  <c r="A555" i="6"/>
  <c r="A554" i="6"/>
  <c r="A553" i="6"/>
  <c r="A552" i="6"/>
  <c r="A551" i="6"/>
  <c r="A550" i="6"/>
  <c r="A549" i="6"/>
  <c r="A548" i="6"/>
  <c r="A547" i="6"/>
  <c r="A546" i="6"/>
  <c r="A545" i="6"/>
  <c r="A544" i="6"/>
  <c r="A543" i="6"/>
  <c r="A542" i="6"/>
  <c r="A541" i="6"/>
  <c r="A540" i="6"/>
  <c r="A539" i="6"/>
  <c r="A538" i="6"/>
  <c r="A537" i="6"/>
  <c r="A536" i="6"/>
  <c r="A535" i="6"/>
  <c r="A534" i="6"/>
  <c r="A533" i="6"/>
  <c r="A532" i="6"/>
  <c r="A531" i="6"/>
  <c r="A530" i="6"/>
  <c r="A529" i="6"/>
  <c r="A528" i="6"/>
  <c r="A527" i="6"/>
  <c r="A526" i="6"/>
  <c r="A525" i="6"/>
  <c r="A524" i="6"/>
  <c r="A523" i="6"/>
  <c r="A522" i="6"/>
  <c r="A521" i="6"/>
  <c r="A520" i="6"/>
  <c r="A519" i="6"/>
  <c r="A518" i="6"/>
  <c r="A517" i="6"/>
  <c r="A516" i="6"/>
  <c r="A515" i="6"/>
  <c r="A514" i="6"/>
  <c r="A513" i="6"/>
  <c r="A512" i="6"/>
  <c r="A511" i="6"/>
  <c r="A510" i="6"/>
  <c r="A509" i="6"/>
  <c r="A508" i="6"/>
  <c r="A507" i="6"/>
  <c r="A506" i="6"/>
  <c r="A505" i="6"/>
  <c r="A504" i="6"/>
  <c r="A503" i="6"/>
  <c r="A502" i="6"/>
  <c r="A501" i="6"/>
  <c r="A500" i="6"/>
  <c r="A499" i="6"/>
  <c r="A498" i="6"/>
  <c r="A497" i="6"/>
  <c r="A496" i="6"/>
  <c r="A495" i="6"/>
  <c r="A494" i="6"/>
  <c r="A493" i="6"/>
  <c r="A492" i="6"/>
  <c r="A491" i="6"/>
  <c r="A490" i="6"/>
  <c r="A489" i="6"/>
  <c r="A488" i="6"/>
  <c r="A487" i="6"/>
  <c r="A486" i="6"/>
  <c r="A485" i="6"/>
  <c r="A484" i="6"/>
  <c r="A483" i="6"/>
  <c r="A482" i="6"/>
  <c r="A481" i="6"/>
  <c r="A480" i="6"/>
  <c r="A479" i="6"/>
  <c r="A478" i="6"/>
  <c r="A477" i="6"/>
  <c r="A476" i="6"/>
  <c r="A475" i="6"/>
  <c r="A474" i="6"/>
  <c r="A473" i="6"/>
  <c r="A472" i="6"/>
  <c r="A471" i="6"/>
  <c r="A470" i="6"/>
  <c r="A469" i="6"/>
  <c r="A468" i="6"/>
  <c r="A467" i="6"/>
  <c r="A466" i="6"/>
  <c r="A465" i="6"/>
  <c r="A464" i="6"/>
  <c r="A463" i="6"/>
  <c r="A462" i="6"/>
  <c r="A461" i="6"/>
  <c r="A460" i="6"/>
  <c r="A459" i="6"/>
  <c r="A458" i="6"/>
  <c r="A457" i="6"/>
  <c r="A456" i="6"/>
  <c r="A455" i="6"/>
  <c r="A454" i="6"/>
  <c r="A453" i="6"/>
  <c r="A452" i="6"/>
  <c r="A451" i="6"/>
  <c r="A450" i="6"/>
  <c r="A449" i="6"/>
  <c r="A448" i="6"/>
  <c r="A447" i="6"/>
  <c r="A446" i="6"/>
  <c r="A445" i="6"/>
  <c r="A444" i="6"/>
  <c r="A443" i="6"/>
  <c r="A442" i="6"/>
  <c r="A441" i="6"/>
  <c r="A440" i="6"/>
  <c r="A439" i="6"/>
  <c r="A438" i="6"/>
  <c r="A437" i="6"/>
  <c r="A436" i="6"/>
  <c r="A435" i="6"/>
  <c r="A434" i="6"/>
  <c r="A433" i="6"/>
  <c r="A432" i="6"/>
  <c r="A431" i="6"/>
  <c r="A430" i="6"/>
  <c r="A429" i="6"/>
  <c r="A428" i="6"/>
  <c r="A427" i="6"/>
  <c r="A426" i="6"/>
  <c r="A425" i="6"/>
  <c r="A424" i="6"/>
  <c r="A423" i="6"/>
  <c r="A422" i="6"/>
  <c r="A421" i="6"/>
  <c r="A420" i="6"/>
  <c r="A419" i="6"/>
  <c r="A418" i="6"/>
  <c r="A417" i="6"/>
  <c r="A416" i="6"/>
  <c r="A415" i="6"/>
  <c r="A414" i="6"/>
  <c r="A413" i="6"/>
  <c r="A412" i="6"/>
  <c r="A411" i="6"/>
  <c r="A410" i="6"/>
  <c r="A409" i="6"/>
  <c r="A408" i="6"/>
  <c r="A407" i="6"/>
  <c r="A406" i="6"/>
  <c r="A405" i="6"/>
  <c r="A404" i="6"/>
  <c r="A403" i="6"/>
  <c r="A402" i="6"/>
  <c r="A401" i="6"/>
  <c r="A400" i="6"/>
  <c r="A399" i="6"/>
  <c r="A398" i="6"/>
  <c r="A397" i="6"/>
  <c r="A396" i="6"/>
  <c r="A395" i="6"/>
  <c r="A394" i="6"/>
  <c r="A393" i="6"/>
  <c r="A392" i="6"/>
  <c r="A391" i="6"/>
  <c r="A390" i="6"/>
  <c r="A389" i="6"/>
  <c r="A388" i="6"/>
  <c r="A387" i="6"/>
  <c r="A386" i="6"/>
  <c r="A385" i="6"/>
  <c r="A384" i="6"/>
  <c r="A383" i="6"/>
  <c r="A382" i="6"/>
  <c r="A381" i="6"/>
  <c r="A380" i="6"/>
  <c r="A379" i="6"/>
  <c r="A378" i="6"/>
  <c r="A377" i="6"/>
  <c r="A376" i="6"/>
  <c r="A375" i="6"/>
  <c r="A374" i="6"/>
  <c r="A373" i="6"/>
  <c r="A372" i="6"/>
  <c r="A371" i="6"/>
  <c r="A370" i="6"/>
  <c r="A369" i="6"/>
  <c r="A368" i="6"/>
  <c r="A367" i="6"/>
  <c r="A366" i="6"/>
  <c r="A365" i="6"/>
  <c r="A364" i="6"/>
  <c r="A363" i="6"/>
  <c r="A362" i="6"/>
  <c r="A361" i="6"/>
  <c r="A360" i="6"/>
  <c r="A359" i="6"/>
  <c r="A358" i="6"/>
  <c r="A357" i="6"/>
  <c r="A356" i="6"/>
  <c r="A355" i="6"/>
  <c r="A354" i="6"/>
  <c r="A353" i="6"/>
  <c r="A352" i="6"/>
  <c r="A351" i="6"/>
  <c r="A350" i="6"/>
  <c r="A349" i="6"/>
  <c r="A348" i="6"/>
  <c r="A347" i="6"/>
  <c r="A346" i="6"/>
  <c r="A345" i="6"/>
  <c r="A344" i="6"/>
  <c r="A343" i="6"/>
  <c r="A342" i="6"/>
  <c r="A341" i="6"/>
  <c r="A340" i="6"/>
  <c r="A339" i="6"/>
  <c r="A338" i="6"/>
  <c r="A337" i="6"/>
  <c r="A336" i="6"/>
  <c r="A335" i="6"/>
  <c r="A334" i="6"/>
  <c r="A333" i="6"/>
  <c r="A332" i="6"/>
  <c r="A331" i="6"/>
  <c r="A330" i="6"/>
  <c r="A329" i="6"/>
  <c r="A328" i="6"/>
  <c r="A327" i="6"/>
  <c r="A326" i="6"/>
  <c r="A325" i="6"/>
  <c r="A324" i="6"/>
  <c r="A323" i="6"/>
  <c r="A322" i="6"/>
  <c r="A321" i="6"/>
  <c r="A320" i="6"/>
  <c r="A319" i="6"/>
  <c r="A318" i="6"/>
  <c r="A317" i="6"/>
  <c r="A316" i="6"/>
  <c r="A315" i="6"/>
  <c r="A314" i="6"/>
  <c r="A313" i="6"/>
  <c r="A312" i="6"/>
  <c r="A311" i="6"/>
  <c r="A310" i="6"/>
  <c r="A309" i="6"/>
  <c r="A308" i="6"/>
  <c r="A307" i="6"/>
  <c r="A306" i="6"/>
  <c r="A305" i="6"/>
  <c r="A304" i="6"/>
  <c r="A303" i="6"/>
  <c r="A302" i="6"/>
  <c r="A301" i="6"/>
  <c r="A300" i="6"/>
  <c r="A299" i="6"/>
  <c r="A298" i="6"/>
  <c r="A297" i="6"/>
  <c r="A296" i="6"/>
  <c r="A295" i="6"/>
  <c r="A294" i="6"/>
  <c r="A293" i="6"/>
  <c r="A292" i="6"/>
  <c r="A291" i="6"/>
  <c r="A290" i="6"/>
  <c r="A289" i="6"/>
  <c r="A288" i="6"/>
  <c r="A287" i="6"/>
  <c r="A286" i="6"/>
  <c r="A285" i="6"/>
  <c r="A284" i="6"/>
  <c r="A283" i="6"/>
  <c r="A282" i="6"/>
  <c r="A281" i="6"/>
  <c r="A280" i="6"/>
  <c r="A279" i="6"/>
  <c r="A278" i="6"/>
  <c r="A277" i="6"/>
  <c r="A276" i="6"/>
  <c r="A275" i="6"/>
  <c r="A274" i="6"/>
  <c r="A273" i="6"/>
  <c r="A272" i="6"/>
  <c r="A271" i="6"/>
  <c r="A270" i="6"/>
  <c r="A269" i="6"/>
  <c r="A268" i="6"/>
  <c r="A267" i="6"/>
  <c r="A266" i="6"/>
  <c r="A265" i="6"/>
  <c r="A264" i="6"/>
  <c r="A263" i="6"/>
  <c r="A262" i="6"/>
  <c r="A261" i="6"/>
  <c r="A260" i="6"/>
  <c r="A259" i="6"/>
  <c r="A258" i="6"/>
  <c r="A257" i="6"/>
  <c r="A256" i="6"/>
  <c r="A255" i="6"/>
  <c r="A254" i="6"/>
  <c r="A253" i="6"/>
  <c r="A252" i="6"/>
  <c r="A251" i="6"/>
  <c r="A250" i="6"/>
  <c r="A249" i="6"/>
  <c r="A248" i="6"/>
  <c r="A247" i="6"/>
  <c r="A246" i="6"/>
  <c r="A245" i="6"/>
  <c r="A244" i="6"/>
  <c r="A243" i="6"/>
  <c r="A242" i="6"/>
  <c r="A241" i="6"/>
  <c r="A240" i="6"/>
  <c r="A239" i="6"/>
  <c r="A238" i="6"/>
  <c r="A237" i="6"/>
  <c r="A236" i="6"/>
  <c r="A235" i="6"/>
  <c r="A234" i="6"/>
  <c r="A233" i="6"/>
  <c r="A232" i="6"/>
  <c r="A231" i="6"/>
  <c r="A230" i="6"/>
  <c r="A229" i="6"/>
  <c r="A228" i="6"/>
  <c r="A227" i="6"/>
  <c r="A226" i="6"/>
  <c r="A225" i="6"/>
  <c r="A224" i="6"/>
  <c r="A223" i="6"/>
  <c r="A222" i="6"/>
  <c r="A221" i="6"/>
  <c r="A220" i="6"/>
  <c r="A219" i="6"/>
  <c r="A218" i="6"/>
  <c r="A217" i="6"/>
  <c r="A216" i="6"/>
  <c r="A215" i="6"/>
  <c r="A214" i="6"/>
  <c r="A213" i="6"/>
  <c r="A212" i="6"/>
  <c r="A211" i="6"/>
  <c r="A210" i="6"/>
  <c r="A209" i="6"/>
  <c r="A208" i="6"/>
  <c r="A207" i="6"/>
  <c r="A206" i="6"/>
  <c r="A205" i="6"/>
  <c r="A204" i="6"/>
  <c r="A203" i="6"/>
  <c r="A202" i="6"/>
  <c r="A201" i="6"/>
  <c r="A200" i="6"/>
  <c r="A199" i="6"/>
  <c r="A198" i="6"/>
  <c r="A197" i="6"/>
  <c r="A196" i="6"/>
  <c r="A195" i="6"/>
  <c r="A194" i="6"/>
  <c r="A193" i="6"/>
  <c r="A192" i="6"/>
  <c r="A191" i="6"/>
  <c r="A190" i="6"/>
  <c r="A189" i="6"/>
  <c r="A188" i="6"/>
  <c r="A187" i="6"/>
  <c r="A186" i="6"/>
  <c r="A185" i="6"/>
  <c r="A184" i="6"/>
  <c r="A183" i="6"/>
  <c r="A182" i="6"/>
  <c r="A181" i="6"/>
  <c r="A180" i="6"/>
  <c r="A179" i="6"/>
  <c r="A178" i="6"/>
  <c r="A177" i="6"/>
  <c r="A176" i="6"/>
  <c r="A175" i="6"/>
  <c r="A174" i="6"/>
  <c r="A173" i="6"/>
  <c r="A172" i="6"/>
  <c r="A171" i="6"/>
  <c r="A170" i="6"/>
  <c r="A169" i="6"/>
  <c r="A168" i="6"/>
  <c r="A167" i="6"/>
  <c r="A166" i="6"/>
  <c r="A165" i="6"/>
  <c r="A164" i="6"/>
  <c r="A163" i="6"/>
  <c r="A162" i="6"/>
  <c r="A161" i="6"/>
  <c r="A160" i="6"/>
  <c r="A159" i="6"/>
  <c r="A158" i="6"/>
  <c r="A157" i="6"/>
  <c r="A156" i="6"/>
  <c r="A155" i="6"/>
  <c r="A154" i="6"/>
  <c r="A153" i="6"/>
  <c r="A152" i="6"/>
  <c r="A151" i="6"/>
  <c r="A150" i="6"/>
  <c r="A149" i="6"/>
  <c r="A148" i="6"/>
  <c r="A147" i="6"/>
  <c r="A146" i="6"/>
  <c r="A145" i="6"/>
  <c r="A144" i="6"/>
  <c r="A143" i="6"/>
  <c r="A142" i="6"/>
  <c r="A141" i="6"/>
  <c r="A140" i="6"/>
  <c r="A139" i="6"/>
  <c r="A138" i="6"/>
  <c r="A137" i="6"/>
  <c r="A136" i="6"/>
  <c r="A135" i="6"/>
  <c r="A134" i="6"/>
  <c r="A133" i="6"/>
  <c r="A132" i="6"/>
  <c r="A131" i="6"/>
  <c r="A130" i="6"/>
  <c r="A129" i="6"/>
  <c r="A128" i="6"/>
  <c r="A127" i="6"/>
  <c r="A126" i="6"/>
  <c r="A125" i="6"/>
  <c r="A124" i="6"/>
  <c r="A123" i="6"/>
  <c r="A122" i="6"/>
  <c r="A121" i="6"/>
  <c r="A120" i="6"/>
  <c r="A119" i="6"/>
  <c r="A118" i="6"/>
  <c r="A117" i="6"/>
  <c r="A116" i="6"/>
  <c r="A115" i="6"/>
  <c r="A114" i="6"/>
  <c r="A113" i="6"/>
  <c r="A112" i="6"/>
  <c r="A111" i="6"/>
  <c r="A110" i="6"/>
  <c r="A109" i="6"/>
  <c r="A108" i="6"/>
  <c r="A107" i="6"/>
  <c r="A106" i="6"/>
  <c r="A105" i="6"/>
  <c r="A104" i="6"/>
  <c r="A103" i="6"/>
  <c r="A102" i="6"/>
  <c r="A101" i="6"/>
  <c r="A100" i="6"/>
  <c r="A99" i="6"/>
  <c r="A98" i="6"/>
  <c r="A97" i="6"/>
  <c r="A96" i="6"/>
  <c r="A95" i="6"/>
  <c r="A94" i="6"/>
  <c r="A93" i="6"/>
  <c r="A92" i="6"/>
  <c r="A91" i="6"/>
  <c r="A90" i="6"/>
  <c r="A89" i="6"/>
  <c r="A88" i="6"/>
  <c r="A87" i="6"/>
  <c r="A86" i="6"/>
  <c r="A85" i="6"/>
  <c r="A84" i="6"/>
  <c r="A83" i="6"/>
  <c r="A82" i="6"/>
  <c r="A81" i="6"/>
  <c r="A80" i="6"/>
  <c r="A79" i="6"/>
  <c r="A78" i="6"/>
  <c r="A77" i="6"/>
  <c r="A76" i="6"/>
  <c r="A75" i="6"/>
  <c r="A74" i="6"/>
  <c r="A73" i="6"/>
  <c r="A72" i="6"/>
  <c r="A71" i="6"/>
  <c r="A70" i="6"/>
  <c r="A69" i="6"/>
  <c r="A68" i="6"/>
  <c r="A67" i="6"/>
  <c r="A66" i="6"/>
  <c r="A65" i="6"/>
  <c r="A64" i="6"/>
  <c r="A63" i="6"/>
  <c r="A62" i="6"/>
  <c r="A61" i="6"/>
  <c r="A60" i="6"/>
  <c r="A59" i="6"/>
  <c r="A58" i="6"/>
  <c r="A57" i="6"/>
  <c r="A56" i="6"/>
  <c r="A55" i="6"/>
  <c r="A54" i="6"/>
  <c r="A53" i="6"/>
  <c r="A52" i="6"/>
  <c r="A51" i="6"/>
  <c r="A50" i="6"/>
  <c r="A49" i="6"/>
  <c r="A48" i="6"/>
  <c r="A47" i="6"/>
  <c r="A46" i="6"/>
  <c r="A45" i="6"/>
  <c r="A44" i="6"/>
  <c r="A43" i="6"/>
  <c r="A42" i="6"/>
  <c r="A41" i="6"/>
  <c r="A40" i="6"/>
  <c r="A39" i="6"/>
  <c r="A38" i="6"/>
  <c r="A37" i="6"/>
  <c r="A36" i="6"/>
  <c r="A35" i="6"/>
  <c r="A34" i="6"/>
  <c r="A33" i="6"/>
  <c r="A32" i="6"/>
  <c r="A31" i="6"/>
  <c r="A30" i="6"/>
  <c r="A29" i="6"/>
  <c r="A28" i="6"/>
  <c r="A27" i="6"/>
  <c r="A26" i="6"/>
  <c r="A25" i="6"/>
  <c r="A24" i="6"/>
  <c r="A23" i="6"/>
  <c r="A22" i="6"/>
  <c r="A21" i="6"/>
  <c r="A20" i="6"/>
  <c r="A19" i="6"/>
  <c r="A18" i="6"/>
  <c r="A17" i="6"/>
  <c r="A16" i="6"/>
  <c r="A15" i="6"/>
  <c r="A14" i="6"/>
  <c r="A13" i="6"/>
  <c r="A12" i="6"/>
  <c r="A11" i="6"/>
  <c r="A10" i="6"/>
  <c r="A9" i="6"/>
  <c r="A8" i="6"/>
  <c r="A7" i="6"/>
  <c r="A6" i="6"/>
  <c r="A5" i="6"/>
  <c r="A4" i="6"/>
  <c r="A3" i="6"/>
  <c r="K3" i="1"/>
  <c r="C1" i="1"/>
  <c r="F3" i="1"/>
  <c r="Q17" i="1"/>
  <c r="AF22" i="1"/>
  <c r="AC26" i="1"/>
  <c r="AA29" i="2" s="1"/>
  <c r="AD19" i="1"/>
  <c r="AD28" i="1"/>
  <c r="AD20" i="1"/>
  <c r="AD17" i="1"/>
  <c r="AD16" i="1" s="1"/>
  <c r="AD27" i="1"/>
  <c r="AD21" i="1"/>
  <c r="AD29" i="1"/>
  <c r="AD24" i="1"/>
  <c r="AD25" i="1"/>
  <c r="AD23" i="1"/>
  <c r="AD22" i="1"/>
  <c r="V3" i="1" s="1"/>
  <c r="AD18" i="1"/>
  <c r="U3" i="1" s="1"/>
  <c r="AC37" i="1"/>
  <c r="AG4" i="1" s="1"/>
  <c r="AC19" i="1"/>
  <c r="AF4" i="1" s="1"/>
  <c r="AC28" i="1"/>
  <c r="AE4" i="1" s="1"/>
  <c r="AC20" i="1"/>
  <c r="AD4" i="1" s="1"/>
  <c r="AC17" i="1"/>
  <c r="AC4" i="1" s="1"/>
  <c r="AC27" i="1"/>
  <c r="AB4" i="1" s="1"/>
  <c r="AC21" i="1"/>
  <c r="AA4" i="1" s="1"/>
  <c r="S3" i="1"/>
  <c r="AF42" i="1"/>
  <c r="H5" i="1" l="1"/>
  <c r="D5" i="1" s="1"/>
  <c r="H4" i="1"/>
  <c r="H9" i="1" s="1"/>
  <c r="B3" i="1"/>
  <c r="B4" i="2" s="1"/>
  <c r="V27" i="2"/>
  <c r="Q27" i="2"/>
  <c r="Q29" i="2"/>
  <c r="AA27" i="2"/>
  <c r="V29" i="2"/>
  <c r="AF5" i="1"/>
  <c r="AE5" i="1"/>
  <c r="AD5" i="1"/>
  <c r="M9" i="1" l="1"/>
  <c r="L9" i="1"/>
  <c r="K9" i="1"/>
  <c r="J9" i="1"/>
  <c r="I9" i="1"/>
  <c r="D4" i="1"/>
  <c r="F1" i="1"/>
  <c r="L13" i="1"/>
  <c r="K13" i="1"/>
  <c r="J13" i="1"/>
  <c r="I13" i="1"/>
  <c r="S4" i="1" l="1"/>
  <c r="S5" i="1" s="1"/>
  <c r="AA7" i="2"/>
  <c r="C3" i="4"/>
  <c r="F3" i="4" s="1"/>
  <c r="F1" i="4"/>
  <c r="F24" i="4"/>
  <c r="F17" i="4"/>
  <c r="C6" i="4"/>
  <c r="F6" i="4" s="1"/>
  <c r="C51" i="4"/>
  <c r="F51" i="4" s="1"/>
  <c r="D22" i="4"/>
  <c r="F22" i="4" s="1"/>
  <c r="D21" i="4"/>
  <c r="F21" i="4" s="1"/>
  <c r="D20" i="4"/>
  <c r="F20" i="4" s="1"/>
  <c r="D19" i="4"/>
  <c r="F19" i="4" s="1"/>
  <c r="D18" i="4"/>
  <c r="F18" i="4" s="1"/>
  <c r="C4" i="4"/>
  <c r="F4" i="4" s="1"/>
  <c r="C5" i="4"/>
  <c r="F5" i="4" s="1"/>
  <c r="C52" i="4"/>
  <c r="F52" i="4" s="1"/>
  <c r="D25" i="4"/>
  <c r="C10" i="4" l="1"/>
  <c r="C7" i="4"/>
  <c r="F7" i="4" s="1"/>
  <c r="B9" i="2"/>
  <c r="F25" i="4"/>
  <c r="B3" i="2"/>
  <c r="B19" i="2"/>
  <c r="V19" i="2"/>
  <c r="L19" i="2"/>
  <c r="C9" i="4" l="1"/>
  <c r="F9" i="4" s="1"/>
  <c r="Q6" i="2"/>
  <c r="C16" i="4"/>
  <c r="F16" i="4" s="1"/>
  <c r="G8" i="2"/>
  <c r="C11" i="4"/>
  <c r="F11" i="4" s="1"/>
  <c r="F10" i="4"/>
  <c r="B8" i="2"/>
  <c r="Q8" i="2"/>
  <c r="C13" i="4"/>
  <c r="F13" i="4" s="1"/>
  <c r="L8" i="2"/>
  <c r="C12" i="4"/>
  <c r="F12" i="4" s="1"/>
  <c r="Q106" i="1"/>
  <c r="Q105" i="1"/>
  <c r="Q104" i="1"/>
  <c r="Q103" i="1"/>
  <c r="Q102" i="1"/>
  <c r="Q101" i="1"/>
  <c r="Q100" i="1"/>
  <c r="Q99" i="1"/>
  <c r="Q98" i="1"/>
  <c r="Q97" i="1"/>
  <c r="Q96" i="1"/>
  <c r="Q95" i="1"/>
  <c r="Q94" i="1"/>
  <c r="Q93" i="1"/>
  <c r="Q92" i="1"/>
  <c r="Q91" i="1"/>
  <c r="Q90" i="1"/>
  <c r="Q89" i="1"/>
  <c r="Q88" i="1"/>
  <c r="Q87" i="1"/>
  <c r="Q86" i="1"/>
  <c r="Q85" i="1"/>
  <c r="Q84" i="1"/>
  <c r="Q83" i="1"/>
  <c r="Q82" i="1"/>
  <c r="Q81" i="1"/>
  <c r="Q80" i="1"/>
  <c r="Q79" i="1"/>
  <c r="Q78" i="1"/>
  <c r="Q77" i="1"/>
  <c r="Q76" i="1"/>
  <c r="Q75" i="1"/>
  <c r="Q74" i="1"/>
  <c r="Q73" i="1"/>
  <c r="Q72" i="1"/>
  <c r="Q71" i="1"/>
  <c r="Q70" i="1"/>
  <c r="Q69" i="1"/>
  <c r="Q68" i="1"/>
  <c r="Q67" i="1"/>
  <c r="Q66" i="1"/>
  <c r="Q65" i="1"/>
  <c r="Q64" i="1"/>
  <c r="Q63" i="1"/>
  <c r="Q62" i="1"/>
  <c r="Q61" i="1"/>
  <c r="Q60" i="1"/>
  <c r="Q59" i="1"/>
  <c r="Q58" i="1"/>
  <c r="Q57" i="1"/>
  <c r="Q56" i="1"/>
  <c r="Q55" i="1"/>
  <c r="Q54" i="1"/>
  <c r="Q53" i="1"/>
  <c r="Q52" i="1"/>
  <c r="Q51" i="1"/>
  <c r="Q50" i="1"/>
  <c r="Q49" i="1"/>
  <c r="Q48" i="1"/>
  <c r="Q47" i="1"/>
  <c r="Q46" i="1"/>
  <c r="Q45" i="1"/>
  <c r="Q44" i="1"/>
  <c r="Q43" i="1"/>
  <c r="Q42" i="1"/>
  <c r="Q41" i="1"/>
  <c r="Q40" i="1"/>
  <c r="Q39" i="1"/>
  <c r="Q38" i="1"/>
  <c r="Q37" i="1"/>
  <c r="Q36" i="1"/>
  <c r="Q35" i="1"/>
  <c r="Q34" i="1"/>
  <c r="Q33" i="1"/>
  <c r="Q32" i="1"/>
  <c r="Q31" i="1"/>
  <c r="Q30" i="1"/>
  <c r="Q29" i="1"/>
  <c r="Q28" i="1"/>
  <c r="Q27" i="1"/>
  <c r="Q26" i="1"/>
  <c r="Q25" i="1"/>
  <c r="Q24" i="1"/>
  <c r="Q23" i="1"/>
  <c r="Q22" i="1"/>
  <c r="Q21" i="1"/>
  <c r="Q20" i="1"/>
  <c r="Q19" i="1"/>
  <c r="Q18" i="1"/>
  <c r="AF36" i="1"/>
  <c r="AF28" i="1"/>
  <c r="AF48" i="1"/>
  <c r="AF47" i="1"/>
  <c r="AF46" i="1"/>
  <c r="AF45" i="1"/>
  <c r="AF44" i="1"/>
  <c r="AF43" i="1"/>
  <c r="AF41" i="1"/>
  <c r="AF40" i="1"/>
  <c r="AF39" i="1"/>
  <c r="AF38" i="1"/>
  <c r="AF37" i="1"/>
  <c r="AF35" i="1"/>
  <c r="AF34" i="1"/>
  <c r="AF32" i="1"/>
  <c r="AF33" i="1"/>
  <c r="AF31" i="1"/>
  <c r="AF30" i="1"/>
  <c r="AF29" i="1"/>
  <c r="AF27" i="1"/>
  <c r="AF26" i="1"/>
  <c r="AF25" i="1"/>
  <c r="AF24" i="1"/>
  <c r="AF23" i="1"/>
  <c r="AF21" i="1"/>
  <c r="AF20" i="1"/>
  <c r="AF19" i="1"/>
  <c r="AF18" i="1"/>
  <c r="AF17" i="1"/>
  <c r="AC18" i="1"/>
  <c r="AC29" i="1"/>
  <c r="AC24" i="1"/>
  <c r="AC25" i="1"/>
  <c r="AC23" i="1"/>
  <c r="AC22" i="1"/>
  <c r="AA17" i="1"/>
  <c r="AA19" i="1"/>
  <c r="AA18" i="1"/>
  <c r="Y17" i="1"/>
  <c r="Y18" i="1"/>
  <c r="Q25" i="2" s="1"/>
  <c r="BF21" i="1"/>
  <c r="BF20" i="1"/>
  <c r="BF19" i="1"/>
  <c r="BF18" i="1"/>
  <c r="BF17" i="1"/>
  <c r="V17" i="1"/>
  <c r="V21" i="1"/>
  <c r="V20" i="1"/>
  <c r="V22" i="1"/>
  <c r="V23" i="1"/>
  <c r="V24" i="1"/>
  <c r="V19" i="1"/>
  <c r="V18" i="1"/>
  <c r="V7" i="2"/>
  <c r="Q7" i="2"/>
  <c r="L7" i="2"/>
  <c r="G7" i="2"/>
  <c r="B7" i="2"/>
  <c r="B32" i="2"/>
  <c r="Z13" i="2"/>
  <c r="T13" i="2"/>
  <c r="N13" i="2"/>
  <c r="H13" i="2"/>
  <c r="B13" i="2"/>
  <c r="Z12" i="2"/>
  <c r="T12" i="2"/>
  <c r="N12" i="2"/>
  <c r="H12" i="2"/>
  <c r="B12" i="2"/>
  <c r="B17" i="2"/>
  <c r="AG21" i="1"/>
  <c r="AG20" i="1"/>
  <c r="AG19" i="1"/>
  <c r="AG18" i="1"/>
  <c r="AG17" i="1"/>
  <c r="G12" i="1"/>
  <c r="F12" i="1" s="1"/>
  <c r="I15" i="1"/>
  <c r="H106" i="1"/>
  <c r="H105" i="1"/>
  <c r="H104" i="1"/>
  <c r="H103" i="1"/>
  <c r="H102" i="1"/>
  <c r="H101" i="1"/>
  <c r="H100" i="1"/>
  <c r="H99" i="1"/>
  <c r="H98" i="1"/>
  <c r="H97" i="1"/>
  <c r="H96" i="1"/>
  <c r="H95" i="1"/>
  <c r="H94" i="1"/>
  <c r="H93" i="1"/>
  <c r="H92" i="1"/>
  <c r="H91" i="1"/>
  <c r="H90" i="1"/>
  <c r="H89" i="1"/>
  <c r="H88" i="1"/>
  <c r="H87" i="1"/>
  <c r="H86" i="1"/>
  <c r="H85" i="1"/>
  <c r="H84" i="1"/>
  <c r="H83" i="1"/>
  <c r="H82" i="1"/>
  <c r="H81" i="1"/>
  <c r="H80" i="1"/>
  <c r="H79" i="1"/>
  <c r="H78" i="1"/>
  <c r="H77" i="1"/>
  <c r="H76" i="1"/>
  <c r="H75" i="1"/>
  <c r="H74" i="1"/>
  <c r="H73" i="1"/>
  <c r="H72" i="1"/>
  <c r="H71" i="1"/>
  <c r="H70" i="1"/>
  <c r="H69" i="1"/>
  <c r="H68" i="1"/>
  <c r="H67" i="1"/>
  <c r="H66" i="1"/>
  <c r="H65" i="1"/>
  <c r="H64" i="1"/>
  <c r="H63" i="1"/>
  <c r="H62" i="1"/>
  <c r="H61" i="1"/>
  <c r="H60" i="1"/>
  <c r="H59" i="1"/>
  <c r="H58" i="1"/>
  <c r="H57" i="1"/>
  <c r="H56" i="1"/>
  <c r="H55" i="1"/>
  <c r="H54" i="1"/>
  <c r="H53" i="1"/>
  <c r="H52" i="1"/>
  <c r="H51" i="1"/>
  <c r="H50" i="1"/>
  <c r="H49" i="1"/>
  <c r="H48" i="1"/>
  <c r="H47" i="1"/>
  <c r="H46" i="1"/>
  <c r="H45" i="1"/>
  <c r="H44" i="1"/>
  <c r="H43" i="1"/>
  <c r="H42" i="1"/>
  <c r="H41" i="1"/>
  <c r="H40" i="1"/>
  <c r="H39" i="1"/>
  <c r="H38" i="1"/>
  <c r="H37" i="1"/>
  <c r="H36" i="1"/>
  <c r="H35" i="1"/>
  <c r="H34" i="1"/>
  <c r="H33" i="1"/>
  <c r="H32" i="1"/>
  <c r="H31" i="1"/>
  <c r="H30" i="1"/>
  <c r="H29" i="1"/>
  <c r="H28" i="1"/>
  <c r="H27" i="1"/>
  <c r="H26" i="1"/>
  <c r="H25" i="1"/>
  <c r="H24" i="1"/>
  <c r="H23" i="1"/>
  <c r="H22" i="1"/>
  <c r="H21" i="1"/>
  <c r="H20" i="1"/>
  <c r="H19" i="1"/>
  <c r="H18" i="1"/>
  <c r="H17" i="1"/>
  <c r="C106" i="1"/>
  <c r="B106" i="1" s="1"/>
  <c r="C105" i="1"/>
  <c r="B105" i="1" s="1"/>
  <c r="C104" i="1"/>
  <c r="B104" i="1" s="1"/>
  <c r="C103" i="1"/>
  <c r="B103" i="1" s="1"/>
  <c r="C102" i="1"/>
  <c r="B102" i="1" s="1"/>
  <c r="C101" i="1"/>
  <c r="B101" i="1" s="1"/>
  <c r="C100" i="1"/>
  <c r="B100" i="1" s="1"/>
  <c r="C99" i="1"/>
  <c r="B99" i="1" s="1"/>
  <c r="C98" i="1"/>
  <c r="B98" i="1" s="1"/>
  <c r="C97" i="1"/>
  <c r="B97" i="1" s="1"/>
  <c r="C96" i="1"/>
  <c r="B96" i="1" s="1"/>
  <c r="C95" i="1"/>
  <c r="B95" i="1" s="1"/>
  <c r="C94" i="1"/>
  <c r="B94" i="1" s="1"/>
  <c r="C93" i="1"/>
  <c r="B93" i="1" s="1"/>
  <c r="C92" i="1"/>
  <c r="B92" i="1" s="1"/>
  <c r="C91" i="1"/>
  <c r="B91" i="1" s="1"/>
  <c r="C90" i="1"/>
  <c r="B90" i="1" s="1"/>
  <c r="C89" i="1"/>
  <c r="B89" i="1" s="1"/>
  <c r="C88" i="1"/>
  <c r="B88" i="1" s="1"/>
  <c r="C87" i="1"/>
  <c r="B87" i="1" s="1"/>
  <c r="C86" i="1"/>
  <c r="B86" i="1" s="1"/>
  <c r="C85" i="1"/>
  <c r="B85" i="1" s="1"/>
  <c r="C84" i="1"/>
  <c r="B84" i="1" s="1"/>
  <c r="C83" i="1"/>
  <c r="B83" i="1" s="1"/>
  <c r="C82" i="1"/>
  <c r="B82" i="1" s="1"/>
  <c r="C81" i="1"/>
  <c r="B81" i="1" s="1"/>
  <c r="C80" i="1"/>
  <c r="B80" i="1" s="1"/>
  <c r="C79" i="1"/>
  <c r="B79" i="1" s="1"/>
  <c r="C78" i="1"/>
  <c r="B78" i="1" s="1"/>
  <c r="C77" i="1"/>
  <c r="B77" i="1" s="1"/>
  <c r="C76" i="1"/>
  <c r="B76" i="1" s="1"/>
  <c r="C75" i="1"/>
  <c r="B75" i="1" s="1"/>
  <c r="C74" i="1"/>
  <c r="B74" i="1" s="1"/>
  <c r="C73" i="1"/>
  <c r="B73" i="1" s="1"/>
  <c r="C72" i="1"/>
  <c r="B72" i="1" s="1"/>
  <c r="C71" i="1"/>
  <c r="B71" i="1" s="1"/>
  <c r="C70" i="1"/>
  <c r="B70" i="1" s="1"/>
  <c r="C69" i="1"/>
  <c r="B69" i="1" s="1"/>
  <c r="C68" i="1"/>
  <c r="B68" i="1" s="1"/>
  <c r="C67" i="1"/>
  <c r="B67" i="1" s="1"/>
  <c r="C66" i="1"/>
  <c r="B66" i="1" s="1"/>
  <c r="C65" i="1"/>
  <c r="B65" i="1" s="1"/>
  <c r="C64" i="1"/>
  <c r="B64" i="1" s="1"/>
  <c r="C63" i="1"/>
  <c r="B63" i="1" s="1"/>
  <c r="C62" i="1"/>
  <c r="B62" i="1" s="1"/>
  <c r="C61" i="1"/>
  <c r="B61" i="1" s="1"/>
  <c r="C60" i="1"/>
  <c r="B60" i="1" s="1"/>
  <c r="C59" i="1"/>
  <c r="B59" i="1" s="1"/>
  <c r="C58" i="1"/>
  <c r="B58" i="1" s="1"/>
  <c r="C57" i="1"/>
  <c r="B57" i="1" s="1"/>
  <c r="C56" i="1"/>
  <c r="B56" i="1" s="1"/>
  <c r="C55" i="1"/>
  <c r="B55" i="1" s="1"/>
  <c r="C54" i="1"/>
  <c r="B54" i="1" s="1"/>
  <c r="C53" i="1"/>
  <c r="B53" i="1" s="1"/>
  <c r="C52" i="1"/>
  <c r="B52" i="1" s="1"/>
  <c r="C51" i="1"/>
  <c r="B51" i="1" s="1"/>
  <c r="C50" i="1"/>
  <c r="B50" i="1" s="1"/>
  <c r="C49" i="1"/>
  <c r="B49" i="1" s="1"/>
  <c r="C48" i="1"/>
  <c r="B48" i="1" s="1"/>
  <c r="C47" i="1"/>
  <c r="B47" i="1" s="1"/>
  <c r="C46" i="1"/>
  <c r="B46" i="1" s="1"/>
  <c r="C45" i="1"/>
  <c r="B45" i="1" s="1"/>
  <c r="C44" i="1"/>
  <c r="B44" i="1" s="1"/>
  <c r="C43" i="1"/>
  <c r="B43" i="1" s="1"/>
  <c r="C42" i="1"/>
  <c r="B42" i="1" s="1"/>
  <c r="C41" i="1"/>
  <c r="B41" i="1" s="1"/>
  <c r="C40" i="1"/>
  <c r="B40" i="1" s="1"/>
  <c r="C39" i="1"/>
  <c r="B39" i="1" s="1"/>
  <c r="C38" i="1"/>
  <c r="B38" i="1" s="1"/>
  <c r="C37" i="1"/>
  <c r="B37" i="1" s="1"/>
  <c r="C36" i="1"/>
  <c r="B36" i="1" s="1"/>
  <c r="C35" i="1"/>
  <c r="B35" i="1" s="1"/>
  <c r="C34" i="1"/>
  <c r="B34" i="1" s="1"/>
  <c r="C33" i="1"/>
  <c r="B33" i="1" s="1"/>
  <c r="C32" i="1"/>
  <c r="B32" i="1" s="1"/>
  <c r="C31" i="1"/>
  <c r="B31" i="1" s="1"/>
  <c r="C30" i="1"/>
  <c r="B30" i="1" s="1"/>
  <c r="C29" i="1"/>
  <c r="B29" i="1" s="1"/>
  <c r="C28" i="1"/>
  <c r="B28" i="1" s="1"/>
  <c r="C27" i="1"/>
  <c r="B27" i="1" s="1"/>
  <c r="C26" i="1"/>
  <c r="B26" i="1" s="1"/>
  <c r="C25" i="1"/>
  <c r="B25" i="1" s="1"/>
  <c r="C24" i="1"/>
  <c r="B24" i="1" s="1"/>
  <c r="C23" i="1"/>
  <c r="B23" i="1" s="1"/>
  <c r="C22" i="1"/>
  <c r="B22" i="1" s="1"/>
  <c r="C21" i="1"/>
  <c r="B21" i="1" s="1"/>
  <c r="C20" i="1"/>
  <c r="B20" i="1" s="1"/>
  <c r="C18" i="1"/>
  <c r="B18" i="1" s="1"/>
  <c r="C17" i="1"/>
  <c r="B17" i="1" s="1"/>
  <c r="C19" i="1"/>
  <c r="B19" i="1" s="1"/>
  <c r="H12" i="1"/>
  <c r="J15" i="1"/>
  <c r="K15" i="1"/>
  <c r="L15" i="1"/>
  <c r="AG16" i="1" l="1"/>
  <c r="AC5" i="1"/>
  <c r="Y4" i="1"/>
  <c r="Y5" i="1" s="1"/>
  <c r="B29" i="2"/>
  <c r="AB5" i="1"/>
  <c r="W4" i="1"/>
  <c r="G29" i="2"/>
  <c r="AA5" i="1"/>
  <c r="L27" i="2"/>
  <c r="Z4" i="1"/>
  <c r="Z5" i="1" s="1"/>
  <c r="Y16" i="1"/>
  <c r="D37" i="4" s="1"/>
  <c r="F37" i="4" s="1"/>
  <c r="B25" i="2"/>
  <c r="X4" i="1"/>
  <c r="X5" i="1" s="1"/>
  <c r="L29" i="2"/>
  <c r="B27" i="2"/>
  <c r="U4" i="1"/>
  <c r="U5" i="1" s="1"/>
  <c r="G27" i="2"/>
  <c r="V4" i="1"/>
  <c r="V5" i="1" s="1"/>
  <c r="AA16" i="1"/>
  <c r="AF16" i="1"/>
  <c r="AC16" i="1"/>
  <c r="W5" i="1"/>
  <c r="D36" i="4"/>
  <c r="F36" i="4" s="1"/>
  <c r="D42" i="4"/>
  <c r="F42" i="4" s="1"/>
  <c r="D28" i="4"/>
  <c r="F28" i="4" s="1"/>
  <c r="B20" i="2"/>
  <c r="D46" i="4"/>
  <c r="F46" i="4" s="1"/>
  <c r="D47" i="4"/>
  <c r="F47" i="4" s="1"/>
  <c r="D30" i="4"/>
  <c r="F30" i="4" s="1"/>
  <c r="V20" i="2"/>
  <c r="D39" i="4"/>
  <c r="F39" i="4" s="1"/>
  <c r="D41" i="4"/>
  <c r="F41" i="4" s="1"/>
  <c r="D40" i="4"/>
  <c r="F40" i="4" s="1"/>
  <c r="D43" i="4"/>
  <c r="F43" i="4" s="1"/>
  <c r="D38" i="4"/>
  <c r="F38" i="4" s="1"/>
  <c r="D44" i="4"/>
  <c r="F44" i="4" s="1"/>
  <c r="D29" i="4"/>
  <c r="F29" i="4" s="1"/>
  <c r="L20" i="2"/>
  <c r="D45" i="4"/>
  <c r="F45" i="4" s="1"/>
  <c r="C15" i="4"/>
  <c r="F15" i="4" s="1"/>
  <c r="AA8" i="2"/>
  <c r="D35" i="4"/>
  <c r="F35" i="4" s="1"/>
  <c r="D31" i="4"/>
  <c r="F31" i="4" s="1"/>
  <c r="D32" i="4"/>
  <c r="F32" i="4" s="1"/>
  <c r="D33" i="4"/>
  <c r="F33" i="4" s="1"/>
  <c r="D34" i="4"/>
  <c r="F34" i="4" s="1"/>
  <c r="BF16" i="1"/>
  <c r="T16" i="1"/>
  <c r="R16" i="1"/>
  <c r="AG5" i="1" s="1"/>
  <c r="V16" i="1"/>
  <c r="Z22" i="2"/>
  <c r="B22" i="2"/>
  <c r="H22" i="2"/>
  <c r="N22" i="2"/>
  <c r="T22" i="2"/>
  <c r="D48" i="4" l="1"/>
  <c r="F48" i="4" s="1"/>
  <c r="D49" i="4"/>
  <c r="F49" i="4" s="1"/>
  <c r="G3" i="1"/>
  <c r="D26" i="4"/>
  <c r="V8" i="2"/>
  <c r="C14" i="4"/>
  <c r="F14" i="4" s="1"/>
  <c r="L17" i="2"/>
  <c r="V17" i="2" s="1"/>
  <c r="B6" i="2"/>
  <c r="R4" i="1" l="1"/>
  <c r="R5" i="1" s="1"/>
  <c r="Q7" i="1" s="1"/>
  <c r="F26" i="4"/>
  <c r="D27" i="4"/>
  <c r="F27" i="4" s="1"/>
  <c r="C8" i="4"/>
  <c r="F8" i="4" s="1"/>
  <c r="Q8" i="1" l="1"/>
  <c r="M7" i="1"/>
  <c r="B35" i="2" s="1"/>
</calcChain>
</file>

<file path=xl/sharedStrings.xml><?xml version="1.0" encoding="utf-8"?>
<sst xmlns="http://schemas.openxmlformats.org/spreadsheetml/2006/main" count="3235" uniqueCount="752">
  <si>
    <t>GAME</t>
  </si>
  <si>
    <t>COMMENT</t>
  </si>
  <si>
    <t>COMP</t>
  </si>
  <si>
    <t>SCORESHEET</t>
  </si>
  <si>
    <t>BOXSCORE</t>
  </si>
  <si>
    <t>CRITERIA</t>
  </si>
  <si>
    <t>MISSIDENTITY</t>
  </si>
  <si>
    <t>MISSING</t>
  </si>
  <si>
    <t>FOUL</t>
  </si>
  <si>
    <t>TURNOVER</t>
  </si>
  <si>
    <t>STEAL</t>
  </si>
  <si>
    <t>ASSIST</t>
  </si>
  <si>
    <t>BLOCK</t>
  </si>
  <si>
    <t>LOGISTICS</t>
  </si>
  <si>
    <t>YES</t>
  </si>
  <si>
    <t>NO</t>
  </si>
  <si>
    <t>SLOW</t>
  </si>
  <si>
    <t>OK</t>
  </si>
  <si>
    <t>FAST</t>
  </si>
  <si>
    <t>COACH CHALLENGE</t>
  </si>
  <si>
    <t>DISQUALIFYING FOUL</t>
  </si>
  <si>
    <t>FIGHTING</t>
  </si>
  <si>
    <t>FOUL DRAWN</t>
  </si>
  <si>
    <t>FREE THROW IN</t>
  </si>
  <si>
    <t>INSTANT REPLAY</t>
  </si>
  <si>
    <t>MISSED FREE THROW</t>
  </si>
  <si>
    <t>MISSED THREE POINTER</t>
  </si>
  <si>
    <t>MISSED TWO POINTER</t>
  </si>
  <si>
    <t>OFF REBOUND</t>
  </si>
  <si>
    <t>OFENSIVE FOUL</t>
  </si>
  <si>
    <t>SHOT REJECTED</t>
  </si>
  <si>
    <t>TECH FOUL BENCH</t>
  </si>
  <si>
    <t>TECH FOUL COACH</t>
  </si>
  <si>
    <t>TECHNICAL FOUL</t>
  </si>
  <si>
    <t>THREE POINTER</t>
  </si>
  <si>
    <t>THROW-IN FOUL</t>
  </si>
  <si>
    <t>TIME OUT</t>
  </si>
  <si>
    <t>TIP OFF</t>
  </si>
  <si>
    <t>TV TIME OUT</t>
  </si>
  <si>
    <t>TWO POINTER</t>
  </si>
  <si>
    <t>UNSPORTSMANLIKE FOUL</t>
  </si>
  <si>
    <t>TYPE</t>
  </si>
  <si>
    <t>CATEGORY</t>
  </si>
  <si>
    <t>AREA</t>
  </si>
  <si>
    <t>RESCOUTED</t>
  </si>
  <si>
    <t>SCOUTING</t>
  </si>
  <si>
    <t>JUMP BALL</t>
  </si>
  <si>
    <t>MISSPLACED</t>
  </si>
  <si>
    <t>NOT HAPPENED</t>
  </si>
  <si>
    <t>Points H</t>
  </si>
  <si>
    <t>Points V</t>
  </si>
  <si>
    <t>Quarter</t>
  </si>
  <si>
    <t>Crono</t>
  </si>
  <si>
    <t>00:00</t>
  </si>
  <si>
    <t>mistake TYPE</t>
  </si>
  <si>
    <t>logistics</t>
  </si>
  <si>
    <t>scouting</t>
  </si>
  <si>
    <t>Eval Type</t>
  </si>
  <si>
    <t>areas</t>
  </si>
  <si>
    <t>et</t>
  </si>
  <si>
    <t>TEAM</t>
  </si>
  <si>
    <t>NO TEAM</t>
  </si>
  <si>
    <t>HOME TEAM</t>
  </si>
  <si>
    <t>AWAY TEAM</t>
  </si>
  <si>
    <t>ARRIVAL TIME</t>
  </si>
  <si>
    <t>ARRIVAL</t>
  </si>
  <si>
    <t>LATE</t>
  </si>
  <si>
    <t>CHECK LIST ON TIME</t>
  </si>
  <si>
    <t>COMMUNICATION</t>
  </si>
  <si>
    <t>CORRECTIONS</t>
  </si>
  <si>
    <t>GOOD</t>
  </si>
  <si>
    <t>NOT FLUID</t>
  </si>
  <si>
    <t>%</t>
  </si>
  <si>
    <t>number
of plays:</t>
  </si>
  <si>
    <t>quarters:</t>
  </si>
  <si>
    <t>TIMING</t>
  </si>
  <si>
    <t>FOULS</t>
  </si>
  <si>
    <t>POINTS</t>
  </si>
  <si>
    <t>SUBSTITUTIONS</t>
  </si>
  <si>
    <t>Corrections</t>
  </si>
  <si>
    <t>COMMENTS</t>
  </si>
  <si>
    <t>RESULT</t>
  </si>
  <si>
    <t>TOTAL ACTIONS</t>
  </si>
  <si>
    <t>TOTAL CORRECIONS</t>
  </si>
  <si>
    <t xml:space="preserve"> </t>
  </si>
  <si>
    <t>% CORRECTIONS</t>
  </si>
  <si>
    <t>Home</t>
  </si>
  <si>
    <t>Visitor</t>
  </si>
  <si>
    <t>Q1</t>
  </si>
  <si>
    <t>Q2</t>
  </si>
  <si>
    <t>Q3</t>
  </si>
  <si>
    <t>Q4</t>
  </si>
  <si>
    <t>ET</t>
  </si>
  <si>
    <t>BOXSCORE CORRECTIONS</t>
  </si>
  <si>
    <t>SCORESHEET CORRECTIONS</t>
  </si>
  <si>
    <t>Data entry</t>
  </si>
  <si>
    <t>Caller 1</t>
  </si>
  <si>
    <t>Caller 2</t>
  </si>
  <si>
    <t>Timerkeeper</t>
  </si>
  <si>
    <t>Shotclock</t>
  </si>
  <si>
    <t>Live game manager</t>
  </si>
  <si>
    <t>Oscar</t>
  </si>
  <si>
    <t>Marc</t>
  </si>
  <si>
    <t>Mario</t>
  </si>
  <si>
    <t>Xavi</t>
  </si>
  <si>
    <t>Pablo</t>
  </si>
  <si>
    <t>Oriol</t>
  </si>
  <si>
    <t>Hector</t>
  </si>
  <si>
    <t>IRS</t>
  </si>
  <si>
    <t>SUBSTITUTION</t>
  </si>
  <si>
    <t>team</t>
  </si>
  <si>
    <t>0 to 10</t>
  </si>
  <si>
    <t>num of
corr:</t>
  </si>
  <si>
    <t>Action nmb</t>
  </si>
  <si>
    <t>points missed or not happened</t>
  </si>
  <si>
    <t>Checklist ontime</t>
  </si>
  <si>
    <t>date</t>
  </si>
  <si>
    <t>competition</t>
  </si>
  <si>
    <t>number</t>
  </si>
  <si>
    <t>cod</t>
  </si>
  <si>
    <t>arrival_time</t>
  </si>
  <si>
    <t>check_list_on_time</t>
  </si>
  <si>
    <t>communication</t>
  </si>
  <si>
    <t>corrections</t>
  </si>
  <si>
    <t>rescouted</t>
  </si>
  <si>
    <t>home_team</t>
  </si>
  <si>
    <t>away_team</t>
  </si>
  <si>
    <t>Data_entry</t>
  </si>
  <si>
    <t>Caller_1</t>
  </si>
  <si>
    <t>Caller_2</t>
  </si>
  <si>
    <t>Live_Game_Manager</t>
  </si>
  <si>
    <t>total_actions</t>
  </si>
  <si>
    <t>total_correcions</t>
  </si>
  <si>
    <t>%_corrections</t>
  </si>
  <si>
    <t>no_team</t>
  </si>
  <si>
    <t>q1</t>
  </si>
  <si>
    <t>q2</t>
  </si>
  <si>
    <t>q3</t>
  </si>
  <si>
    <t>q4</t>
  </si>
  <si>
    <t>boxscore_corrections</t>
  </si>
  <si>
    <t>scoresheet_corrections</t>
  </si>
  <si>
    <t>criteria</t>
  </si>
  <si>
    <t>missidentity</t>
  </si>
  <si>
    <t>missing</t>
  </si>
  <si>
    <t>irs</t>
  </si>
  <si>
    <t>substitution</t>
  </si>
  <si>
    <t>coach_challenge</t>
  </si>
  <si>
    <t>not_happened</t>
  </si>
  <si>
    <t>missplaced</t>
  </si>
  <si>
    <t>time_out</t>
  </si>
  <si>
    <t>fouls</t>
  </si>
  <si>
    <t>points</t>
  </si>
  <si>
    <t>comments</t>
  </si>
  <si>
    <t>result</t>
  </si>
  <si>
    <t>part_of_a_sequence</t>
  </si>
  <si>
    <t>}</t>
  </si>
  <si>
    <t>name</t>
  </si>
  <si>
    <t>{</t>
  </si>
  <si>
    <t>},</t>
  </si>
  <si>
    <t>JUMPBALL</t>
  </si>
  <si>
    <t>Jor =</t>
  </si>
  <si>
    <t>IRS / CC</t>
  </si>
  <si>
    <t xml:space="preserve">L G M: </t>
  </si>
  <si>
    <t>COMMENTARY for the TEAM</t>
  </si>
  <si>
    <t>TIME</t>
  </si>
  <si>
    <t>TYPES</t>
  </si>
  <si>
    <t>VALUE</t>
  </si>
  <si>
    <t>DSS FREE THROWS</t>
  </si>
  <si>
    <t>DEF REBOUND</t>
  </si>
  <si>
    <t>&lt;</t>
  </si>
  <si>
    <t>BOXSC / SCORESH</t>
  </si>
  <si>
    <t>Boxscore</t>
  </si>
  <si>
    <t>Scoresheet</t>
  </si>
  <si>
    <t>valor unitario</t>
  </si>
  <si>
    <t>valoración</t>
  </si>
  <si>
    <t>veces</t>
  </si>
  <si>
    <t>LocalClubCode</t>
  </si>
  <si>
    <t>ASV</t>
  </si>
  <si>
    <t>BAR</t>
  </si>
  <si>
    <t>BAS</t>
  </si>
  <si>
    <t>DUB</t>
  </si>
  <si>
    <t>HTA</t>
  </si>
  <si>
    <t>IST</t>
  </si>
  <si>
    <t>MAD</t>
  </si>
  <si>
    <t>MCO</t>
  </si>
  <si>
    <t>MIL</t>
  </si>
  <si>
    <t>MUN</t>
  </si>
  <si>
    <t>OLY</t>
  </si>
  <si>
    <t>PAM</t>
  </si>
  <si>
    <t>PAN</t>
  </si>
  <si>
    <t>PAR</t>
  </si>
  <si>
    <t>PRS</t>
  </si>
  <si>
    <t>RED</t>
  </si>
  <si>
    <t>TEL</t>
  </si>
  <si>
    <t>ULK</t>
  </si>
  <si>
    <t>VIR</t>
  </si>
  <si>
    <t>ZAL</t>
  </si>
  <si>
    <t>ARI</t>
  </si>
  <si>
    <t>BAH</t>
  </si>
  <si>
    <t>BES</t>
  </si>
  <si>
    <t>BOU</t>
  </si>
  <si>
    <t>BUD</t>
  </si>
  <si>
    <t>CLU</t>
  </si>
  <si>
    <t>HAM</t>
  </si>
  <si>
    <t>JER</t>
  </si>
  <si>
    <t>KLA</t>
  </si>
  <si>
    <t>LJU</t>
  </si>
  <si>
    <t>LKB</t>
  </si>
  <si>
    <t>LLI</t>
  </si>
  <si>
    <t>MAN</t>
  </si>
  <si>
    <t>NIN</t>
  </si>
  <si>
    <t>NIO</t>
  </si>
  <si>
    <t>TRN</t>
  </si>
  <si>
    <t>TTK</t>
  </si>
  <si>
    <t>ULM</t>
  </si>
  <si>
    <t>VNC</t>
  </si>
  <si>
    <t>WRO</t>
  </si>
  <si>
    <t>Anadolu Efes Istanbul</t>
  </si>
  <si>
    <t>AS Monaco</t>
  </si>
  <si>
    <t>Baskonia Vitoria-Gasteiz</t>
  </si>
  <si>
    <t>Crvena Zvezda Meridianbet Belgrade</t>
  </si>
  <si>
    <t>Dubai Basketball</t>
  </si>
  <si>
    <t>EA7 Emporio Armani Milan</t>
  </si>
  <si>
    <t>FC Barcelona</t>
  </si>
  <si>
    <t>FC Bayern Munich</t>
  </si>
  <si>
    <t>Fenerbahce Beko Istanbul</t>
  </si>
  <si>
    <t>Hapoel IBI Tel Aviv</t>
  </si>
  <si>
    <t>LDLC ASVEL Villeurbanne</t>
  </si>
  <si>
    <t>Maccabi Rapyd Tel Aviv</t>
  </si>
  <si>
    <t>Olympiacos Piraeus</t>
  </si>
  <si>
    <t>Panathinaikos AKTOR Athens</t>
  </si>
  <si>
    <t>Paris Basketball</t>
  </si>
  <si>
    <t>Partizan Mozzart Bet Belgrade</t>
  </si>
  <si>
    <t>Real Madrid</t>
  </si>
  <si>
    <t>Valencia Basket</t>
  </si>
  <si>
    <t>Virtus Bologna</t>
  </si>
  <si>
    <t>Zalgiris Kaunas</t>
  </si>
  <si>
    <t>LOC</t>
  </si>
  <si>
    <t>VIS</t>
  </si>
  <si>
    <t>ROUTE DOCS (.pdf):</t>
  </si>
  <si>
    <t>REPORT</t>
  </si>
  <si>
    <t>Aris Thessaloniki Betsson</t>
  </si>
  <si>
    <t>Bahcesehir College Istanbul</t>
  </si>
  <si>
    <t>BAXI Manresa</t>
  </si>
  <si>
    <t>Besiktas GAIN Istanbul</t>
  </si>
  <si>
    <t>Buducnost VOLI Podgorica</t>
  </si>
  <si>
    <t>Cedevita Olimpija Ljubljana</t>
  </si>
  <si>
    <t>Cosea JL Bourg-en-Bresse</t>
  </si>
  <si>
    <t>Dolomiti Energia Trento</t>
  </si>
  <si>
    <t>Hapoel Bank Yahav Jerusalem</t>
  </si>
  <si>
    <t>Lietkabelis Panevezys</t>
  </si>
  <si>
    <t>London Lions</t>
  </si>
  <si>
    <t>Neptunas Klaipeda</t>
  </si>
  <si>
    <t>NINERS Chemnitz</t>
  </si>
  <si>
    <t>Panionios Athens</t>
  </si>
  <si>
    <t>ratiopharm Ulm</t>
  </si>
  <si>
    <t>Slask Wroclaw</t>
  </si>
  <si>
    <t>Turk Telekom Ankara</t>
  </si>
  <si>
    <t>U-BT Cluj-Napoca</t>
  </si>
  <si>
    <t>Umana Reyer Venice</t>
  </si>
  <si>
    <t>Veolia Towers Hamburg</t>
  </si>
  <si>
    <t>SeasonCode</t>
  </si>
  <si>
    <t>numP</t>
  </si>
  <si>
    <t>jor</t>
  </si>
  <si>
    <t>PhaseTypeCode</t>
  </si>
  <si>
    <t>RoadClubCode</t>
  </si>
  <si>
    <t>GameLocalDate</t>
  </si>
  <si>
    <t>GameDate</t>
  </si>
  <si>
    <t>E2025</t>
  </si>
  <si>
    <t>RS</t>
  </si>
  <si>
    <t>9/30/2025 7:45:00 PM</t>
  </si>
  <si>
    <t>9/30/2025 8:30:00 PM</t>
  </si>
  <si>
    <t>9/30/2025 8:00:00 PM</t>
  </si>
  <si>
    <t>9/30/2025 6:00:00 PM</t>
  </si>
  <si>
    <t>9/30/2025 8:15:00 PM</t>
  </si>
  <si>
    <t>9/30/2025 8:45:00 PM</t>
  </si>
  <si>
    <t>10/1/2025 7:45:00 PM</t>
  </si>
  <si>
    <t>10/1/2025 7:30:00 PM</t>
  </si>
  <si>
    <t>10/1/2025 8:00:00 PM</t>
  </si>
  <si>
    <t>10/2/2025 8:30:00 PM</t>
  </si>
  <si>
    <t>10/2/2025 8:45:00 PM</t>
  </si>
  <si>
    <t>10/3/2025 7:30:00 PM</t>
  </si>
  <si>
    <t>10/3/2025 9:30:00 PM</t>
  </si>
  <si>
    <t>10/3/2025 8:00:00 PM</t>
  </si>
  <si>
    <t>10/3/2025 8:15:00 PM</t>
  </si>
  <si>
    <t>10/3/2025 8:30:00 PM</t>
  </si>
  <si>
    <t>10/3/2025 7:00:00 PM</t>
  </si>
  <si>
    <t>10/8/2025 8:05:00 PM</t>
  </si>
  <si>
    <t>10/9/2025 8:30:00 PM</t>
  </si>
  <si>
    <t>10/9/2025 8:45:00 PM</t>
  </si>
  <si>
    <t>10/9/2025 9:00:00 PM</t>
  </si>
  <si>
    <t>10/10/2025 8:15:00 PM</t>
  </si>
  <si>
    <t>10/10/2025 8:30:00 PM</t>
  </si>
  <si>
    <t>10/10/2025 7:45:00 PM</t>
  </si>
  <si>
    <t>10/14/2025 8:00:00 PM</t>
  </si>
  <si>
    <t>10/14/2025 8:30:00 PM</t>
  </si>
  <si>
    <t>10/14/2025 7:45:00 PM</t>
  </si>
  <si>
    <t>10/14/2025 8:15:00 PM</t>
  </si>
  <si>
    <t>10/14/2025 7:00:00 PM</t>
  </si>
  <si>
    <t>10/15/2025 8:15:00 PM</t>
  </si>
  <si>
    <t>10/15/2025 8:45:00 PM</t>
  </si>
  <si>
    <t>10/15/2025 8:30:00 PM</t>
  </si>
  <si>
    <t>10/16/2025 6:00:00 PM</t>
  </si>
  <si>
    <t>10/16/2025 7:45:00 PM</t>
  </si>
  <si>
    <t>10/16/2025 9:00:00 PM</t>
  </si>
  <si>
    <t>10/16/2025 7:00:00 PM</t>
  </si>
  <si>
    <t>10/17/2025 7:30:00 PM</t>
  </si>
  <si>
    <t>10/17/2025 8:45:00 PM</t>
  </si>
  <si>
    <t>10/17/2025 7:00:00 PM</t>
  </si>
  <si>
    <t>10/17/2025 8:00:00 PM</t>
  </si>
  <si>
    <t>10/22/2025 8:05:00 PM</t>
  </si>
  <si>
    <t>10/23/2025 9:00:00 PM</t>
  </si>
  <si>
    <t>10/23/2025 8:30:00 PM</t>
  </si>
  <si>
    <t>10/23/2025 8:05:00 PM</t>
  </si>
  <si>
    <t>10/23/2025 7:30:00 PM</t>
  </si>
  <si>
    <t>10/24/2025 7:30:00 PM</t>
  </si>
  <si>
    <t>10/24/2025 8:45:00 PM</t>
  </si>
  <si>
    <t>10/24/2025 8:30:00 PM</t>
  </si>
  <si>
    <t>10/24/2025 8:00:00 PM</t>
  </si>
  <si>
    <t>10/28/2025 8:30:00 PM</t>
  </si>
  <si>
    <t>10/28/2025 7:00:00 PM</t>
  </si>
  <si>
    <t>10/28/2025 8:00:00 PM</t>
  </si>
  <si>
    <t>10/28/2025 8:15:00 PM</t>
  </si>
  <si>
    <t>10/28/2025 8:45:00 PM</t>
  </si>
  <si>
    <t>10/28/2025 9:00:00 PM</t>
  </si>
  <si>
    <t>10/29/2025 7:00:00 PM</t>
  </si>
  <si>
    <t>10/29/2025 8:15:00 PM</t>
  </si>
  <si>
    <t>10/30/2025 8:30:00 PM</t>
  </si>
  <si>
    <t>10/30/2025 8:05:00 PM</t>
  </si>
  <si>
    <t>10/30/2025 9:00:00 PM</t>
  </si>
  <si>
    <t>10/30/2025 7:00:00 PM</t>
  </si>
  <si>
    <t>10/31/2025 7:00:00 PM</t>
  </si>
  <si>
    <t>10/31/2025 8:30:00 PM</t>
  </si>
  <si>
    <t>10/31/2025 8:15:00 PM</t>
  </si>
  <si>
    <t>11/6/2025 8:45:00 PM</t>
  </si>
  <si>
    <t>11/6/2025 8:30:00 PM</t>
  </si>
  <si>
    <t>11/6/2025 8:00:00 PM</t>
  </si>
  <si>
    <t>11/6/2025 5:00:00 PM</t>
  </si>
  <si>
    <t>11/6/2025 6:45:00 PM</t>
  </si>
  <si>
    <t>11/6/2025 8:05:00 PM</t>
  </si>
  <si>
    <t>11/7/2025 6:30:00 PM</t>
  </si>
  <si>
    <t>11/7/2025 8:30:00 PM</t>
  </si>
  <si>
    <t>11/7/2025 8:15:00 PM</t>
  </si>
  <si>
    <t>11/7/2025 7:00:00 PM</t>
  </si>
  <si>
    <t>11/11/2025 6:45:00 PM</t>
  </si>
  <si>
    <t>11/11/2025 8:05:00 PM</t>
  </si>
  <si>
    <t>11/11/2025 8:45:00 PM</t>
  </si>
  <si>
    <t>11/11/2025 8:30:00 PM</t>
  </si>
  <si>
    <t>11/11/2025 5:00:00 PM</t>
  </si>
  <si>
    <t>11/12/2025 8:30:00 PM</t>
  </si>
  <si>
    <t>11/12/2025 8:15:00 PM</t>
  </si>
  <si>
    <t>11/13/2025 6:45:00 PM</t>
  </si>
  <si>
    <t>11/13/2025 8:30:00 PM</t>
  </si>
  <si>
    <t>11/13/2025 8:45:00 PM</t>
  </si>
  <si>
    <t>11/13/2025 8:00:00 PM</t>
  </si>
  <si>
    <t>11/14/2025 6:30:00 PM</t>
  </si>
  <si>
    <t>11/14/2025 5:00:00 PM</t>
  </si>
  <si>
    <t>11/14/2025 8:30:00 PM</t>
  </si>
  <si>
    <t>11/14/2025 8:00:00 PM</t>
  </si>
  <si>
    <t>11/19/2025 8:00:00 PM</t>
  </si>
  <si>
    <t>11/20/2025 6:30:00 PM</t>
  </si>
  <si>
    <t>11/20/2025 8:30:00 PM</t>
  </si>
  <si>
    <t>11/20/2025 8:15:00 PM</t>
  </si>
  <si>
    <t>11/20/2025 8:45:00 PM</t>
  </si>
  <si>
    <t>11/21/2025 8:30:00 PM</t>
  </si>
  <si>
    <t>11/21/2025 8:15:00 PM</t>
  </si>
  <si>
    <t>11/21/2025 9:00:00 PM</t>
  </si>
  <si>
    <t>11/25/2025 5:00:00 PM</t>
  </si>
  <si>
    <t>11/25/2025 7:00:00 PM</t>
  </si>
  <si>
    <t>11/25/2025 8:15:00 PM</t>
  </si>
  <si>
    <t>11/25/2025 8:30:00 PM</t>
  </si>
  <si>
    <t>11/25/2025 6:45:00 PM</t>
  </si>
  <si>
    <t>11/26/2025 7:30:00 PM</t>
  </si>
  <si>
    <t>11/26/2025 8:00:00 PM</t>
  </si>
  <si>
    <t>11/26/2025 8:30:00 PM</t>
  </si>
  <si>
    <t>11/26/2025 8:05:00 PM</t>
  </si>
  <si>
    <t>12/4/2025 7:30:00 PM</t>
  </si>
  <si>
    <t>12/4/2025 8:45:00 PM</t>
  </si>
  <si>
    <t>12/4/2025 8:05:00 PM</t>
  </si>
  <si>
    <t>12/4/2025 8:15:00 PM</t>
  </si>
  <si>
    <t>12/4/2025 7:00:00 PM</t>
  </si>
  <si>
    <t>12/4/2025 6:15:00 PM</t>
  </si>
  <si>
    <t>12/5/2025 8:00:00 PM</t>
  </si>
  <si>
    <t>12/5/2025 8:30:00 PM</t>
  </si>
  <si>
    <t>12/5/2025 8:15:00 PM</t>
  </si>
  <si>
    <t>12/11/2025 8:05:00 PM</t>
  </si>
  <si>
    <t>12/12/2025 5:00:00 PM</t>
  </si>
  <si>
    <t>12/11/2025 8:30:00 PM</t>
  </si>
  <si>
    <t>12/11/2025 8:45:00 PM</t>
  </si>
  <si>
    <t>12/11/2025 9:00:00 PM</t>
  </si>
  <si>
    <t>12/12/2025 7:30:00 PM</t>
  </si>
  <si>
    <t>12/12/2025 8:30:00 PM</t>
  </si>
  <si>
    <t>12/16/2025 5:00:00 PM</t>
  </si>
  <si>
    <t>12/16/2025 8:30:00 PM</t>
  </si>
  <si>
    <t>12/16/2025 6:45:00 PM</t>
  </si>
  <si>
    <t>12/16/2025 8:05:00 PM</t>
  </si>
  <si>
    <t>12/16/2025 8:15:00 PM</t>
  </si>
  <si>
    <t>12/16/2025 8:45:00 PM</t>
  </si>
  <si>
    <t>12/17/2025 8:30:00 PM</t>
  </si>
  <si>
    <t>12/17/2025 8:00:00 PM</t>
  </si>
  <si>
    <t>12/17/2025 7:00:00 PM</t>
  </si>
  <si>
    <t>12/18/2025 8:30:00 PM</t>
  </si>
  <si>
    <t>12/18/2025 7:00:00 PM</t>
  </si>
  <si>
    <t>12/18/2025 8:15:00 PM</t>
  </si>
  <si>
    <t>12/18/2025 8:45:00 PM</t>
  </si>
  <si>
    <t>12/19/2025 6:30:00 PM</t>
  </si>
  <si>
    <t>12/19/2025 7:30:00 PM</t>
  </si>
  <si>
    <t>12/19/2025 8:45:00 PM</t>
  </si>
  <si>
    <t>12/19/2025 8:30:00 PM</t>
  </si>
  <si>
    <t>12/19/2025 8:15:00 PM</t>
  </si>
  <si>
    <t>12/19/2025 7:00:00 PM</t>
  </si>
  <si>
    <t>12/23/2025 7:30:00 PM</t>
  </si>
  <si>
    <t>12/23/2025 6:45:00 PM</t>
  </si>
  <si>
    <t>12/23/2025 8:45:00 PM</t>
  </si>
  <si>
    <t>12/23/2025 8:30:00 PM</t>
  </si>
  <si>
    <t>12/23/2025 7:00:00 PM</t>
  </si>
  <si>
    <t>12/23/2025 5:00:00 PM</t>
  </si>
  <si>
    <t>12/26/2025 7:30:00 PM</t>
  </si>
  <si>
    <t>12/26/2025 6:00:00 PM</t>
  </si>
  <si>
    <t>12/26/2025 8:30:00 PM</t>
  </si>
  <si>
    <t>12/30/2025 8:30:00 PM</t>
  </si>
  <si>
    <t>12/30/2025 8:05:00 PM</t>
  </si>
  <si>
    <t>12/30/2025 8:00:00 PM</t>
  </si>
  <si>
    <t>1/2/2026 6:30:00 PM</t>
  </si>
  <si>
    <t>1/2/2026 8:30:00 PM</t>
  </si>
  <si>
    <t>1/2/2026 9:00:00 PM</t>
  </si>
  <si>
    <t>1/2/2026 8:15:00 PM</t>
  </si>
  <si>
    <t>1/2/2026 8:45:00 PM</t>
  </si>
  <si>
    <t>1/6/2026 7:30:00 PM</t>
  </si>
  <si>
    <t>1/6/2026 8:00:00 PM</t>
  </si>
  <si>
    <t>1/6/2026 8:30:00 PM</t>
  </si>
  <si>
    <t>1/6/2026 6:45:00 PM</t>
  </si>
  <si>
    <t>1/6/2026 7:00:00 PM</t>
  </si>
  <si>
    <t>1/6/2026 8:15:00 PM</t>
  </si>
  <si>
    <t>1/7/2026 6:30:00 PM</t>
  </si>
  <si>
    <t>1/7/2026 8:30:00 PM</t>
  </si>
  <si>
    <t>1/8/2026 5:00:00 PM</t>
  </si>
  <si>
    <t>1/8/2026 8:45:00 PM</t>
  </si>
  <si>
    <t>1/8/2026 8:30:00 PM</t>
  </si>
  <si>
    <t>1/8/2026 8:15:00 PM</t>
  </si>
  <si>
    <t>1/9/2026 7:00:00 PM</t>
  </si>
  <si>
    <t>1/9/2026 8:30:00 PM</t>
  </si>
  <si>
    <t>1/9/2026 8:15:00 PM</t>
  </si>
  <si>
    <t>1/15/2026 6:30:00 PM</t>
  </si>
  <si>
    <t>1/15/2026 7:30:00 PM</t>
  </si>
  <si>
    <t>1/15/2026 8:05:00 PM</t>
  </si>
  <si>
    <t>1/15/2026 8:45:00 PM</t>
  </si>
  <si>
    <t>1/15/2026 5:00:00 PM</t>
  </si>
  <si>
    <t>1/15/2026 8:30:00 PM</t>
  </si>
  <si>
    <t>1/16/2026 6:45:00 PM</t>
  </si>
  <si>
    <t>1/16/2026 8:00:00 PM</t>
  </si>
  <si>
    <t>1/14/2026 8:30:00 PM</t>
  </si>
  <si>
    <t>1/16/2026 8:45:00 PM</t>
  </si>
  <si>
    <t>1/20/2026 6:45:00 PM</t>
  </si>
  <si>
    <t>1/20/2026 8:30:00 PM</t>
  </si>
  <si>
    <t>1/20/2026 6:30:00 PM</t>
  </si>
  <si>
    <t>1/20/2026 4:30:00 PM</t>
  </si>
  <si>
    <t>1/20/2026 8:15:00 PM</t>
  </si>
  <si>
    <t>1/20/2026 8:45:00 PM</t>
  </si>
  <si>
    <t>1/20/2026 8:00:00 PM</t>
  </si>
  <si>
    <t>1/21/2026 8:30:00 PM</t>
  </si>
  <si>
    <t>1/22/2026 6:30:00 PM</t>
  </si>
  <si>
    <t>1/22/2026 8:30:00 PM</t>
  </si>
  <si>
    <t>1/22/2026 8:05:00 PM</t>
  </si>
  <si>
    <t>1/22/2026 8:45:00 PM</t>
  </si>
  <si>
    <t>1/23/2026 6:45:00 PM</t>
  </si>
  <si>
    <t>1/23/2026 8:00:00 PM</t>
  </si>
  <si>
    <t>1/23/2026 8:30:00 PM</t>
  </si>
  <si>
    <t>1/27/2026 8:45:00 PM</t>
  </si>
  <si>
    <t>1/29/2026 6:45:00 PM</t>
  </si>
  <si>
    <t>1/29/2026 7:00:00 PM</t>
  </si>
  <si>
    <t>1/29/2026 8:15:00 PM</t>
  </si>
  <si>
    <t>1/29/2026 8:45:00 PM</t>
  </si>
  <si>
    <t>1/29/2026 8:30:00 PM</t>
  </si>
  <si>
    <t>1/30/2026 7:30:00 PM</t>
  </si>
  <si>
    <t>1/30/2026 8:30:00 PM</t>
  </si>
  <si>
    <t>1/30/2026 8:00:00 PM</t>
  </si>
  <si>
    <t>2/3/2026 6:30:00 PM</t>
  </si>
  <si>
    <t>2/3/2026 8:00:00 PM</t>
  </si>
  <si>
    <t>2/3/2026 5:00:00 PM</t>
  </si>
  <si>
    <t>2/3/2026 8:30:00 PM</t>
  </si>
  <si>
    <t>2/3/2026 9:15:00 PM</t>
  </si>
  <si>
    <t>2/3/2026 8:15:00 PM</t>
  </si>
  <si>
    <t>2/3/2026 7:00:00 PM</t>
  </si>
  <si>
    <t>2/4/2026 8:30:00 PM</t>
  </si>
  <si>
    <t>2/5/2026 5:00:00 PM</t>
  </si>
  <si>
    <t>2/5/2026 8:30:00 PM</t>
  </si>
  <si>
    <t>2/5/2026 8:00:00 PM</t>
  </si>
  <si>
    <t>2/5/2026 8:45:00 PM</t>
  </si>
  <si>
    <t>2/6/2026 6:30:00 PM</t>
  </si>
  <si>
    <t>2/6/2026 8:30:00 PM</t>
  </si>
  <si>
    <t>2/6/2026 8:00:00 PM</t>
  </si>
  <si>
    <t>2/6/2026 8:15:00 PM</t>
  </si>
  <si>
    <t>2/12/2026 6:30:00 PM</t>
  </si>
  <si>
    <t>2/12/2026 8:15:00 PM</t>
  </si>
  <si>
    <t>2/12/2026 8:05:00 PM</t>
  </si>
  <si>
    <t>2/12/2026 8:30:00 PM</t>
  </si>
  <si>
    <t>2/13/2026 8:30:00 PM</t>
  </si>
  <si>
    <t>2/13/2026 7:30:00 PM</t>
  </si>
  <si>
    <t>2/13/2026 8:15:00 PM</t>
  </si>
  <si>
    <t>2/13/2026 7:00:00 PM</t>
  </si>
  <si>
    <t>2/25/2026 6:45:00 PM</t>
  </si>
  <si>
    <t>2/25/2026 8:30:00 PM</t>
  </si>
  <si>
    <t>2/25/2026 7:00:00 PM</t>
  </si>
  <si>
    <t>2/26/2026 7:30:00 PM</t>
  </si>
  <si>
    <t>2/26/2026 8:30:00 PM</t>
  </si>
  <si>
    <t>2/26/2026 8:00:00 PM</t>
  </si>
  <si>
    <t>2/26/2026 5:00:00 PM</t>
  </si>
  <si>
    <t>2/26/2026 7:00:00 PM</t>
  </si>
  <si>
    <t>2/26/2026 8:15:00 PM</t>
  </si>
  <si>
    <t>2/26/2026 8:45:00 PM</t>
  </si>
  <si>
    <t>3/5/2026 8:30:00 PM</t>
  </si>
  <si>
    <t>3/5/2026 6:45:00 PM</t>
  </si>
  <si>
    <t>3/5/2026 8:05:00 PM</t>
  </si>
  <si>
    <t>3/5/2026 8:45:00 PM</t>
  </si>
  <si>
    <t>3/6/2026 6:30:00 PM</t>
  </si>
  <si>
    <t>3/6/2026 8:30:00 PM</t>
  </si>
  <si>
    <t>3/6/2026 8:00:00 PM</t>
  </si>
  <si>
    <t>3/6/2026 8:15:00 PM</t>
  </si>
  <si>
    <t>3/12/2026 8:30:00 PM</t>
  </si>
  <si>
    <t>3/12/2026 8:45:00 PM</t>
  </si>
  <si>
    <t>3/12/2026 8:15:00 PM</t>
  </si>
  <si>
    <t>3/13/2026 7:30:00 PM</t>
  </si>
  <si>
    <t>3/13/2026 8:00:00 PM</t>
  </si>
  <si>
    <t>3/12/2026 5:00:00 PM</t>
  </si>
  <si>
    <t>3/13/2026 8:30:00 PM</t>
  </si>
  <si>
    <t>3/19/2026 8:30:00 PM</t>
  </si>
  <si>
    <t>3/19/2026 8:05:00 PM</t>
  </si>
  <si>
    <t>3/19/2026 8:15:00 PM</t>
  </si>
  <si>
    <t>3/19/2026 8:45:00 PM</t>
  </si>
  <si>
    <t>3/19/2026 6:30:00 PM</t>
  </si>
  <si>
    <t>3/20/2026 6:45:00 PM</t>
  </si>
  <si>
    <t>3/20/2026 8:00:00 PM</t>
  </si>
  <si>
    <t>3/20/2026 8:15:00 PM</t>
  </si>
  <si>
    <t>3/20/2026 7:00:00 PM</t>
  </si>
  <si>
    <t>3/24/2026 7:00:00 PM</t>
  </si>
  <si>
    <t>3/24/2026 5:00:00 PM</t>
  </si>
  <si>
    <t>3/24/2026 8:30:00 PM</t>
  </si>
  <si>
    <t>3/24/2026 9:00:00 PM</t>
  </si>
  <si>
    <t>3/24/2026 8:45:00 PM</t>
  </si>
  <si>
    <t>3/25/2026 8:30:00 PM</t>
  </si>
  <si>
    <t>3/26/2026 8:30:00 PM</t>
  </si>
  <si>
    <t>3/26/2026 8:05:00 PM</t>
  </si>
  <si>
    <t>3/10/2026 8:45:00 PM</t>
  </si>
  <si>
    <t>3/26/2026 8:45:00 PM</t>
  </si>
  <si>
    <t>3/27/2026 8:30:00 PM</t>
  </si>
  <si>
    <t>3/27/2026 6:45:00 PM</t>
  </si>
  <si>
    <t>3/27/2026 8:15:00 PM</t>
  </si>
  <si>
    <t>4/1/2026 8:45:00 PM</t>
  </si>
  <si>
    <t>4/2/2026 8:00:00 PM</t>
  </si>
  <si>
    <t>4/2/2026 7:00:00 PM</t>
  </si>
  <si>
    <t>4/2/2026 8:45:00 PM</t>
  </si>
  <si>
    <t>4/3/2026 8:30:00 PM</t>
  </si>
  <si>
    <t>4/3/2026 6:00:00 PM</t>
  </si>
  <si>
    <t>4/1/2026 7:00:00 PM</t>
  </si>
  <si>
    <t>4/3/2026 8:00:00 PM</t>
  </si>
  <si>
    <t>4/7/2026 9:00:00 PM</t>
  </si>
  <si>
    <t>4/7/2026 8:00:00 PM</t>
  </si>
  <si>
    <t>4/7/2026 8:30:00 PM</t>
  </si>
  <si>
    <t>4/7/2026 6:45:00 PM</t>
  </si>
  <si>
    <t>4/7/2026 8:15:00 PM</t>
  </si>
  <si>
    <t>4/7/2026 7:00:00 PM</t>
  </si>
  <si>
    <t>4/8/2026 7:30:00 PM</t>
  </si>
  <si>
    <t>4/9/2026 8:30:00 PM</t>
  </si>
  <si>
    <t>4/9/2026 7:45:00 PM</t>
  </si>
  <si>
    <t>4/9/2026 6:45:00 PM</t>
  </si>
  <si>
    <t>4/9/2026 9:00:00 PM</t>
  </si>
  <si>
    <t>4/9/2026 8:45:00 PM</t>
  </si>
  <si>
    <t>4/10/2026 7:30:00 PM</t>
  </si>
  <si>
    <t>4/10/2026 6:00:00 PM</t>
  </si>
  <si>
    <t>4/10/2026 8:00:00 PM</t>
  </si>
  <si>
    <t>4/10/2026 8:30:00 PM</t>
  </si>
  <si>
    <t>4/16/2026 8:00:00 PM</t>
  </si>
  <si>
    <t>4/16/2026 8:05:00 PM</t>
  </si>
  <si>
    <t>4/16/2026 8:30:00 PM</t>
  </si>
  <si>
    <t>4/16/2026 8:45:00 PM</t>
  </si>
  <si>
    <t>4/16/2026 8:15:00 PM</t>
  </si>
  <si>
    <t>4/17/2026 8:15:00 PM</t>
  </si>
  <si>
    <t>4/17/2026 7:30:00 PM</t>
  </si>
  <si>
    <t>4/17/2026 6:00:00 PM</t>
  </si>
  <si>
    <t>4/17/2026 8:30:00 PM</t>
  </si>
  <si>
    <t>4/17/2026 7:00:00 PM</t>
  </si>
  <si>
    <t>U2025</t>
  </si>
  <si>
    <t>9/30/2025 7:00:00 PM</t>
  </si>
  <si>
    <t>10/1/2025 6:00:00 PM</t>
  </si>
  <si>
    <t>9/30/2025 7:30:00 PM</t>
  </si>
  <si>
    <t>10/1/2025 6:30:00 PM</t>
  </si>
  <si>
    <t>10/8/2025 8:45:00 PM</t>
  </si>
  <si>
    <t>10/8/2025 8:00:00 PM</t>
  </si>
  <si>
    <t>10/8/2025 7:00:00 PM</t>
  </si>
  <si>
    <t>10/8/2025 6:00:00 PM</t>
  </si>
  <si>
    <t>10/7/2025 6:00:00 PM</t>
  </si>
  <si>
    <t>10/7/2025 7:00:00 PM</t>
  </si>
  <si>
    <t>10/8/2025 7:30:00 PM</t>
  </si>
  <si>
    <t>10/15/2025 7:00:00 PM</t>
  </si>
  <si>
    <t>10/15/2025 8:00:00 PM</t>
  </si>
  <si>
    <t>10/14/2025 7:30:00 PM</t>
  </si>
  <si>
    <t>10/14/2025 6:30:00 PM</t>
  </si>
  <si>
    <t>10/16/2025 8:30:00 PM</t>
  </si>
  <si>
    <t>10/14/2025 6:00:00 PM</t>
  </si>
  <si>
    <t>10/15/2025 6:30:00 PM</t>
  </si>
  <si>
    <t>10/15/2025 6:00:00 PM</t>
  </si>
  <si>
    <t>10/21/2025 8:00:00 PM</t>
  </si>
  <si>
    <t>10/21/2025 7:00:00 PM</t>
  </si>
  <si>
    <t>10/22/2025 6:00:00 PM</t>
  </si>
  <si>
    <t>10/21/2025 6:00:00 PM</t>
  </si>
  <si>
    <t>10/22/2025 7:00:00 PM</t>
  </si>
  <si>
    <t>10/22/2025 7:30:00 PM</t>
  </si>
  <si>
    <t>10/22/2025 8:00:00 PM</t>
  </si>
  <si>
    <t>10/28/2025 7:30:00 PM</t>
  </si>
  <si>
    <t>10/29/2025 7:30:00 PM</t>
  </si>
  <si>
    <t>10/29/2025 8:45:00 PM</t>
  </si>
  <si>
    <t>10/29/2025 8:30:00 PM</t>
  </si>
  <si>
    <t>10/28/2025 6:30:00 PM</t>
  </si>
  <si>
    <t>10/29/2025 6:00:00 PM</t>
  </si>
  <si>
    <t>10/29/2025 5:00:00 PM</t>
  </si>
  <si>
    <t>11/5/2025 7:00:00 PM</t>
  </si>
  <si>
    <t>11/5/2025 5:00:00 PM</t>
  </si>
  <si>
    <t>11/5/2025 6:00:00 PM</t>
  </si>
  <si>
    <t>11/5/2025 8:00:00 PM</t>
  </si>
  <si>
    <t>11/4/2025 7:30:00 PM</t>
  </si>
  <si>
    <t>11/4/2025 7:00:00 PM</t>
  </si>
  <si>
    <t>11/4/2025 8:00:00 PM</t>
  </si>
  <si>
    <t>11/4/2025 5:00:00 PM</t>
  </si>
  <si>
    <t>11/11/2025 7:00:00 PM</t>
  </si>
  <si>
    <t>11/12/2025 6:30:00 PM</t>
  </si>
  <si>
    <t>11/12/2025 6:00:00 PM</t>
  </si>
  <si>
    <t>11/12/2025 6:45:00 PM</t>
  </si>
  <si>
    <t>11/12/2025 7:00:00 PM</t>
  </si>
  <si>
    <t>11/18/2025 7:00:00 PM</t>
  </si>
  <si>
    <t>11/18/2025 6:00:00 PM</t>
  </si>
  <si>
    <t>11/19/2025 6:30:00 PM</t>
  </si>
  <si>
    <t>11/19/2025 8:30:00 PM</t>
  </si>
  <si>
    <t>11/18/2025 8:00:00 PM</t>
  </si>
  <si>
    <t>11/19/2025 5:00:00 PM</t>
  </si>
  <si>
    <t>12/4/2025 6:30:00 PM</t>
  </si>
  <si>
    <t>12/5/2025 8:45:00 PM</t>
  </si>
  <si>
    <t>12/4/2025 8:00:00 PM</t>
  </si>
  <si>
    <t>12/4/2025 5:00:00 PM</t>
  </si>
  <si>
    <t>12/5/2025 6:00:00 PM</t>
  </si>
  <si>
    <t>12/5/2025 7:30:00 PM</t>
  </si>
  <si>
    <t>12/10/2025 6:00:00 PM</t>
  </si>
  <si>
    <t>12/10/2025 5:00:00 PM</t>
  </si>
  <si>
    <t>12/10/2025 7:00:00 PM</t>
  </si>
  <si>
    <t>12/9/2025 8:00:00 PM</t>
  </si>
  <si>
    <t>12/10/2025 8:45:00 PM</t>
  </si>
  <si>
    <t>12/9/2025 7:30:00 PM</t>
  </si>
  <si>
    <t>12/9/2025 7:00:00 PM</t>
  </si>
  <si>
    <t>12/9/2025 6:00:00 PM</t>
  </si>
  <si>
    <t>12/16/2025 6:30:00 PM</t>
  </si>
  <si>
    <t>12/17/2025 7:30:00 PM</t>
  </si>
  <si>
    <t>12/17/2025 5:00:00 PM</t>
  </si>
  <si>
    <t>12/16/2025 6:00:00 PM</t>
  </si>
  <si>
    <t>12/17/2025 6:30:00 PM</t>
  </si>
  <si>
    <t>12/16/2025 8:00:00 PM</t>
  </si>
  <si>
    <t>12/30/2025 6:00:00 PM</t>
  </si>
  <si>
    <t>1/2/2026 5:00:00 PM</t>
  </si>
  <si>
    <t>12/30/2025 5:00:00 PM</t>
  </si>
  <si>
    <t>12/30/2025 7:30:00 PM</t>
  </si>
  <si>
    <t>1/2/2026 7:00:00 PM</t>
  </si>
  <si>
    <t>12/30/2025 6:15:00 PM</t>
  </si>
  <si>
    <t>1/7/2026 7:00:00 PM</t>
  </si>
  <si>
    <t>1/6/2026 8:45:00 PM</t>
  </si>
  <si>
    <t>1/6/2026 6:30:00 PM</t>
  </si>
  <si>
    <t>1/7/2026 7:45:00 PM</t>
  </si>
  <si>
    <t>1/7/2026 8:00:00 PM</t>
  </si>
  <si>
    <t>1/6/2026 6:00:00 PM</t>
  </si>
  <si>
    <t>1/7/2026 6:00:00 PM</t>
  </si>
  <si>
    <t>1/7/2026 5:00:00 PM</t>
  </si>
  <si>
    <t>1/14/2026 8:00:00 PM</t>
  </si>
  <si>
    <t>1/13/2026 6:00:00 PM</t>
  </si>
  <si>
    <t>1/13/2026 5:00:00 PM</t>
  </si>
  <si>
    <t>1/14/2026 7:00:00 PM</t>
  </si>
  <si>
    <t>1/14/2026 5:00:00 PM</t>
  </si>
  <si>
    <t>1/13/2026 8:00:00 PM</t>
  </si>
  <si>
    <t>1/14/2026 7:30:00 PM</t>
  </si>
  <si>
    <t>1/20/2026 7:00:00 PM</t>
  </si>
  <si>
    <t>1/21/2026 8:45:00 PM</t>
  </si>
  <si>
    <t>1/21/2026 7:30:00 PM</t>
  </si>
  <si>
    <t>1/21/2026 6:00:00 PM</t>
  </si>
  <si>
    <t>1/21/2026 6:30:00 PM</t>
  </si>
  <si>
    <t>1/28/2026 7:30:00 PM</t>
  </si>
  <si>
    <t>1/28/2026 8:00:00 PM</t>
  </si>
  <si>
    <t>1/28/2026 8:45:00 PM</t>
  </si>
  <si>
    <t>1/28/2026 6:00:00 PM</t>
  </si>
  <si>
    <t>1/28/2026 5:00:00 PM</t>
  </si>
  <si>
    <t>1/28/2026 6:30:00 PM</t>
  </si>
  <si>
    <t>1/27/2026 5:00:00 PM</t>
  </si>
  <si>
    <t>1/27/2026 8:00:00 PM</t>
  </si>
  <si>
    <t>1/27/2026 7:00:00 PM</t>
  </si>
  <si>
    <t>2/4/2026 8:00:00 PM</t>
  </si>
  <si>
    <t>2/4/2026 8:45:00 PM</t>
  </si>
  <si>
    <t>2/5/2026 7:30:00 PM</t>
  </si>
  <si>
    <t>2/4/2026 7:30:00 PM</t>
  </si>
  <si>
    <t>2/4/2026 7:00:00 PM</t>
  </si>
  <si>
    <t>2/4/2026 6:00:00 PM</t>
  </si>
  <si>
    <t>2/10/2026 7:00:00 PM</t>
  </si>
  <si>
    <t>2/11/2026 7:30:00 PM</t>
  </si>
  <si>
    <t>2/11/2026 8:00:00 PM</t>
  </si>
  <si>
    <t>2/11/2026 6:00:00 PM</t>
  </si>
  <si>
    <t>2/11/2026 8:30:00 PM</t>
  </si>
  <si>
    <t>2/10/2026 6:30:00 PM</t>
  </si>
  <si>
    <t>2/11/2026 5:00:00 PM</t>
  </si>
  <si>
    <t>2/10/2026 8:00:00 PM</t>
  </si>
  <si>
    <t>2/11/2026 7:00:00 PM</t>
  </si>
  <si>
    <t>Local Team</t>
  </si>
  <si>
    <t>Visitor Team</t>
  </si>
  <si>
    <t>ROUTE FILE(.xlsm):</t>
  </si>
  <si>
    <t>By Menjuanes</t>
  </si>
  <si>
    <t>Data entry Name</t>
  </si>
  <si>
    <t>Caller 1 Name</t>
  </si>
  <si>
    <t>Caller 2 Name</t>
  </si>
  <si>
    <t>Timerkeeper Name</t>
  </si>
  <si>
    <t>Shotclock Name</t>
  </si>
  <si>
    <t>Ahora</t>
  </si>
  <si>
    <t>Antes</t>
  </si>
  <si>
    <t>IRS Name</t>
  </si>
  <si>
    <t>SINSA SEKULIC</t>
  </si>
  <si>
    <t>PETAR VUJACIC</t>
  </si>
  <si>
    <t>LAZAR VUJICIC</t>
  </si>
  <si>
    <t>LAZAR KNEZEVIC</t>
  </si>
  <si>
    <t>KAROLINA RADINOVIC</t>
  </si>
  <si>
    <t>JOVANA KRIVOKUCA</t>
  </si>
  <si>
    <t>SEBASTIAN BLANZ</t>
  </si>
  <si>
    <t>MANUEL HERZOG</t>
  </si>
  <si>
    <t>THOMAS ROEHLICH</t>
  </si>
  <si>
    <t>JURGEN JOST</t>
  </si>
  <si>
    <t>ANDREAS GREPPMAYR</t>
  </si>
  <si>
    <t>ROBERT TAVASZI</t>
  </si>
  <si>
    <t>EMMANOUIL SMPOKOS</t>
  </si>
  <si>
    <t>TILEMACHOS KAVVADIAS</t>
  </si>
  <si>
    <t>PANAGIOTIS MORAITIS</t>
  </si>
  <si>
    <t>MARIA MERIKA</t>
  </si>
  <si>
    <t>PANAGIOTA TSICHLI</t>
  </si>
  <si>
    <t>KONSTANTINOS TROUPIS</t>
  </si>
  <si>
    <t>CAN KUTLUATA</t>
  </si>
  <si>
    <t>OZBEK ENDER</t>
  </si>
  <si>
    <t>SERTAC DSTEL</t>
  </si>
  <si>
    <t>SERHAT LEVENT</t>
  </si>
  <si>
    <t>AHMET ERKASAP</t>
  </si>
  <si>
    <t>MURAT KUS</t>
  </si>
  <si>
    <t>SINISA SEKULIC</t>
  </si>
  <si>
    <t>c:\temp</t>
  </si>
  <si>
    <t>C:\Users\mario.enjuanes\EUROLEAGUE\EB STATS - General\SEASON 2025-26\Reports\Eurocup</t>
  </si>
  <si>
    <t>ANA KRSTIC</t>
  </si>
  <si>
    <t>SARA PROJOVIC</t>
  </si>
  <si>
    <t>IVANA VASILJEVIC</t>
  </si>
  <si>
    <t>PETAR VASILJEVIC</t>
  </si>
  <si>
    <t>PREDAG VASILJEVIC</t>
  </si>
  <si>
    <t>MARIO ENJUANES</t>
  </si>
  <si>
    <t>Very good job!</t>
  </si>
  <si>
    <t>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</si>
</sst>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164" formatCode="000"/>
    <numFmt numFmtId="165" formatCode="0.0%"/>
    <numFmt numFmtId="166" formatCode="dd/mm/yyyy;@"/>
    <numFmt numFmtId="167" formatCode="00"/>
    <numFmt numFmtId="168" formatCode="0.0"/>
    <numFmt numFmtId="169" formatCode="dd\-mmm\-yy"/>
  </numFmts>
  <fonts count="59" x14ac:knownFonts="1">
    <font>
      <sz val="10"/>
      <name val="Arial"/>
    </font>
    <font>
      <sz val="10"/>
      <name val="Arial Narrow"/>
      <family val="2"/>
    </font>
    <font>
      <b/>
      <sz val="10"/>
      <color indexed="9"/>
      <name val="Arial Narrow"/>
      <family val="2"/>
    </font>
    <font>
      <sz val="12"/>
      <name val="Arial"/>
      <family val="2"/>
    </font>
    <font>
      <sz val="8"/>
      <name val="Arial"/>
      <family val="2"/>
    </font>
    <font>
      <sz val="8"/>
      <name val="Arial Narrow"/>
      <family val="2"/>
    </font>
    <font>
      <b/>
      <sz val="8"/>
      <name val="Arial Narrow"/>
      <family val="2"/>
    </font>
    <font>
      <sz val="10"/>
      <color indexed="9"/>
      <name val="Arial Narrow"/>
      <family val="2"/>
    </font>
    <font>
      <b/>
      <sz val="8"/>
      <color indexed="9"/>
      <name val="Arial Narrow"/>
      <family val="2"/>
    </font>
    <font>
      <b/>
      <sz val="10"/>
      <name val="Arial Narrow"/>
      <family val="2"/>
    </font>
    <font>
      <b/>
      <sz val="8"/>
      <color indexed="22"/>
      <name val="Arial Narrow"/>
      <family val="2"/>
    </font>
    <font>
      <sz val="8"/>
      <color theme="2" tint="-9.9978637043366805E-2"/>
      <name val="Arial Narrow"/>
      <family val="2"/>
    </font>
    <font>
      <i/>
      <sz val="8"/>
      <name val="Arial Narrow"/>
      <family val="2"/>
    </font>
    <font>
      <sz val="10"/>
      <color theme="2" tint="-0.249977111117893"/>
      <name val="Arial Narrow"/>
      <family val="2"/>
    </font>
    <font>
      <b/>
      <sz val="8"/>
      <color theme="0"/>
      <name val="Arial Narrow"/>
      <family val="2"/>
    </font>
    <font>
      <b/>
      <i/>
      <sz val="8"/>
      <name val="Arial Narrow"/>
      <family val="2"/>
    </font>
    <font>
      <sz val="8"/>
      <color indexed="9"/>
      <name val="Arial Narrow"/>
      <family val="2"/>
    </font>
    <font>
      <sz val="8"/>
      <color theme="1"/>
      <name val="Arial Narrow"/>
      <family val="2"/>
    </font>
    <font>
      <sz val="10"/>
      <name val="Lato"/>
      <family val="2"/>
    </font>
    <font>
      <sz val="8"/>
      <name val="Lato"/>
      <family val="2"/>
    </font>
    <font>
      <b/>
      <sz val="10"/>
      <name val="Lato"/>
      <family val="2"/>
    </font>
    <font>
      <b/>
      <sz val="10"/>
      <color theme="0"/>
      <name val="Lato"/>
      <family val="2"/>
    </font>
    <font>
      <b/>
      <sz val="12"/>
      <color theme="0"/>
      <name val="Lato"/>
      <family val="2"/>
    </font>
    <font>
      <b/>
      <sz val="8"/>
      <name val="Lato"/>
      <family val="2"/>
    </font>
    <font>
      <sz val="10"/>
      <name val="Arial"/>
      <family val="2"/>
    </font>
    <font>
      <b/>
      <sz val="10"/>
      <color theme="1"/>
      <name val="Arial Narrow"/>
      <family val="2"/>
    </font>
    <font>
      <b/>
      <sz val="8"/>
      <color theme="5" tint="-0.249977111117893"/>
      <name val="Arial Narrow"/>
      <family val="2"/>
    </font>
    <font>
      <b/>
      <sz val="8"/>
      <color theme="5" tint="-0.249977111117893"/>
      <name val="Arial"/>
      <family val="2"/>
    </font>
    <font>
      <sz val="16"/>
      <name val="Lato"/>
      <family val="2"/>
    </font>
    <font>
      <i/>
      <sz val="8"/>
      <color theme="1"/>
      <name val="Lato"/>
      <family val="2"/>
    </font>
    <font>
      <b/>
      <sz val="10"/>
      <color rgb="FF0F1820"/>
      <name val="Lato"/>
      <family val="2"/>
    </font>
    <font>
      <sz val="8"/>
      <color rgb="FF0F1820"/>
      <name val="Lato"/>
      <family val="2"/>
    </font>
    <font>
      <b/>
      <sz val="12"/>
      <color rgb="FF0F1820"/>
      <name val="Lato"/>
      <family val="2"/>
    </font>
    <font>
      <sz val="10"/>
      <color rgb="FF0F1820"/>
      <name val="Lato"/>
      <family val="2"/>
    </font>
    <font>
      <sz val="8"/>
      <color theme="2" tint="-0.499984740745262"/>
      <name val="Arial Narrow"/>
      <family val="2"/>
    </font>
    <font>
      <sz val="8"/>
      <color theme="2" tint="-0.249977111117893"/>
      <name val="Arial Narrow"/>
      <family val="2"/>
    </font>
    <font>
      <sz val="8"/>
      <color theme="0"/>
      <name val="Arial Narrow"/>
      <family val="2"/>
    </font>
    <font>
      <sz val="8"/>
      <color theme="0"/>
      <name val="Arial"/>
      <family val="2"/>
    </font>
    <font>
      <sz val="10"/>
      <color theme="0"/>
      <name val="Arial"/>
      <family val="2"/>
    </font>
    <font>
      <i/>
      <sz val="8"/>
      <color theme="0"/>
      <name val="Arial Narrow"/>
      <family val="2"/>
    </font>
    <font>
      <b/>
      <sz val="10"/>
      <color theme="0"/>
      <name val="Arial"/>
      <family val="2"/>
    </font>
    <font>
      <b/>
      <sz val="8"/>
      <color theme="0"/>
      <name val="Arial"/>
      <family val="2"/>
    </font>
    <font>
      <b/>
      <i/>
      <sz val="8"/>
      <color theme="0"/>
      <name val="Arial Narrow"/>
      <family val="2"/>
    </font>
    <font>
      <sz val="10"/>
      <color theme="1"/>
      <name val="Arial"/>
      <family val="2"/>
    </font>
    <font>
      <b/>
      <sz val="8"/>
      <color theme="1"/>
      <name val="Arial Narrow"/>
      <family val="2"/>
    </font>
    <font>
      <sz val="8"/>
      <color theme="1"/>
      <name val="Arial"/>
      <family val="2"/>
    </font>
    <font>
      <b/>
      <sz val="8"/>
      <color theme="0" tint="-0.249977111117893"/>
      <name val="Arial Narrow"/>
      <family val="2"/>
    </font>
    <font>
      <b/>
      <sz val="10"/>
      <color theme="0" tint="-0.249977111117893"/>
      <name val="Arial Narrow"/>
      <family val="2"/>
    </font>
    <font>
      <b/>
      <sz val="10"/>
      <color theme="0" tint="-0.249977111117893"/>
      <name val="Arial"/>
      <family val="2"/>
    </font>
    <font>
      <b/>
      <sz val="10"/>
      <name val="Arial"/>
      <family val="2"/>
    </font>
    <font>
      <b/>
      <sz val="8"/>
      <name val="Arial"/>
      <family val="2"/>
    </font>
    <font>
      <i/>
      <sz val="8"/>
      <color theme="1"/>
      <name val="Arial Narrow"/>
      <family val="2"/>
    </font>
    <font>
      <b/>
      <sz val="10"/>
      <color theme="1"/>
      <name val="Arial"/>
      <family val="2"/>
    </font>
    <font>
      <sz val="11"/>
      <color indexed="8"/>
      <name val="Calibri"/>
      <family val="2"/>
    </font>
    <font>
      <sz val="10"/>
      <color indexed="8"/>
      <name val="Arial"/>
      <family val="2"/>
    </font>
    <font>
      <sz val="8"/>
      <color theme="0"/>
      <name val="Lato"/>
      <family val="2"/>
    </font>
    <font>
      <sz val="8"/>
      <color theme="0" tint="-0.249977111117893"/>
      <name val="Arial Narrow"/>
      <family val="2"/>
    </font>
    <font>
      <b/>
      <sz val="8"/>
      <color theme="4" tint="-0.249977111117893"/>
      <name val="Arial Narrow"/>
      <family val="2"/>
    </font>
    <font>
      <b/>
      <sz val="8"/>
      <color theme="4" tint="-0.249977111117893"/>
      <name val="Arial"/>
      <family val="2"/>
    </font>
  </fonts>
  <fills count="23">
    <fill>
      <patternFill patternType="none"/>
    </fill>
    <fill>
      <patternFill patternType="gray125"/>
    </fill>
    <fill>
      <patternFill patternType="solid">
        <fgColor indexed="6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23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5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0C2D53"/>
        <bgColor indexed="64"/>
      </patternFill>
    </fill>
    <fill>
      <patternFill patternType="solid">
        <fgColor rgb="FFD0D4D5"/>
        <bgColor indexed="64"/>
      </patternFill>
    </fill>
    <fill>
      <patternFill patternType="solid">
        <fgColor rgb="FFE8EEF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indexed="22"/>
        <bgColor indexed="0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5" tint="0.59999389629810485"/>
        <bgColor indexed="64"/>
      </patternFill>
    </fill>
  </fills>
  <borders count="4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rgb="FFD7E3EB"/>
      </left>
      <right style="medium">
        <color rgb="FFD7E3EB"/>
      </right>
      <top style="medium">
        <color rgb="FFD7E3EB"/>
      </top>
      <bottom style="medium">
        <color rgb="FFD7E3EB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</borders>
  <cellStyleXfs count="3">
    <xf numFmtId="0" fontId="0" fillId="0" borderId="0"/>
    <xf numFmtId="0" fontId="54" fillId="0" borderId="0"/>
    <xf numFmtId="0" fontId="54" fillId="0" borderId="0"/>
  </cellStyleXfs>
  <cellXfs count="213">
    <xf numFmtId="0" fontId="0" fillId="0" borderId="0" xfId="0"/>
    <xf numFmtId="0" fontId="1" fillId="3" borderId="0" xfId="0" applyFont="1" applyFill="1"/>
    <xf numFmtId="0" fontId="1" fillId="3" borderId="0" xfId="0" applyFont="1" applyFill="1" applyAlignment="1">
      <alignment horizontal="center" vertical="center"/>
    </xf>
    <xf numFmtId="0" fontId="3" fillId="0" borderId="0" xfId="0" applyFont="1"/>
    <xf numFmtId="0" fontId="4" fillId="0" borderId="0" xfId="0" applyFont="1"/>
    <xf numFmtId="0" fontId="5" fillId="3" borderId="0" xfId="0" applyFont="1" applyFill="1" applyAlignment="1">
      <alignment horizontal="center" vertical="center"/>
    </xf>
    <xf numFmtId="0" fontId="8" fillId="2" borderId="2" xfId="0" applyFont="1" applyFill="1" applyBorder="1" applyAlignment="1">
      <alignment horizontal="center" vertical="center"/>
    </xf>
    <xf numFmtId="0" fontId="8" fillId="2" borderId="13" xfId="0" applyFont="1" applyFill="1" applyBorder="1" applyAlignment="1">
      <alignment horizontal="center" vertical="center"/>
    </xf>
    <xf numFmtId="0" fontId="5" fillId="3" borderId="0" xfId="0" applyFont="1" applyFill="1" applyAlignment="1">
      <alignment horizontal="right" vertical="center"/>
    </xf>
    <xf numFmtId="0" fontId="8" fillId="2" borderId="1" xfId="0" applyFont="1" applyFill="1" applyBorder="1" applyAlignment="1">
      <alignment horizontal="center" vertical="center"/>
    </xf>
    <xf numFmtId="164" fontId="9" fillId="7" borderId="10" xfId="0" applyNumberFormat="1" applyFont="1" applyFill="1" applyBorder="1" applyAlignment="1">
      <alignment horizontal="centerContinuous" vertical="center"/>
    </xf>
    <xf numFmtId="164" fontId="9" fillId="7" borderId="11" xfId="0" applyNumberFormat="1" applyFont="1" applyFill="1" applyBorder="1" applyAlignment="1">
      <alignment horizontal="centerContinuous" vertical="center"/>
    </xf>
    <xf numFmtId="164" fontId="9" fillId="7" borderId="9" xfId="0" applyNumberFormat="1" applyFont="1" applyFill="1" applyBorder="1" applyAlignment="1">
      <alignment horizontal="centerContinuous" vertical="center"/>
    </xf>
    <xf numFmtId="0" fontId="5" fillId="9" borderId="7" xfId="0" applyFont="1" applyFill="1" applyBorder="1" applyAlignment="1" applyProtection="1">
      <alignment horizontal="center" vertical="center"/>
      <protection locked="0"/>
    </xf>
    <xf numFmtId="0" fontId="5" fillId="11" borderId="12" xfId="0" applyFont="1" applyFill="1" applyBorder="1" applyAlignment="1" applyProtection="1">
      <alignment horizontal="center" vertical="center"/>
      <protection locked="0"/>
    </xf>
    <xf numFmtId="0" fontId="5" fillId="11" borderId="1" xfId="0" applyFont="1" applyFill="1" applyBorder="1" applyAlignment="1" applyProtection="1">
      <alignment horizontal="center" vertical="center"/>
      <protection locked="0"/>
    </xf>
    <xf numFmtId="0" fontId="6" fillId="11" borderId="1" xfId="0" applyFont="1" applyFill="1" applyBorder="1" applyAlignment="1" applyProtection="1">
      <alignment horizontal="center" vertical="center"/>
      <protection locked="0"/>
    </xf>
    <xf numFmtId="0" fontId="5" fillId="3" borderId="0" xfId="0" applyFont="1" applyFill="1"/>
    <xf numFmtId="0" fontId="8" fillId="2" borderId="14" xfId="0" applyFont="1" applyFill="1" applyBorder="1" applyAlignment="1">
      <alignment horizontal="center" vertical="center"/>
    </xf>
    <xf numFmtId="0" fontId="8" fillId="2" borderId="8" xfId="0" applyFont="1" applyFill="1" applyBorder="1" applyAlignment="1">
      <alignment horizontal="center" vertical="center"/>
    </xf>
    <xf numFmtId="0" fontId="6" fillId="3" borderId="0" xfId="0" applyFont="1" applyFill="1"/>
    <xf numFmtId="0" fontId="10" fillId="4" borderId="10" xfId="0" applyFont="1" applyFill="1" applyBorder="1" applyAlignment="1">
      <alignment horizontal="center" vertical="center"/>
    </xf>
    <xf numFmtId="0" fontId="10" fillId="4" borderId="4" xfId="0" applyFont="1" applyFill="1" applyBorder="1" applyAlignment="1">
      <alignment horizontal="center" vertical="center"/>
    </xf>
    <xf numFmtId="0" fontId="8" fillId="2" borderId="3" xfId="0" applyFont="1" applyFill="1" applyBorder="1" applyAlignment="1">
      <alignment horizontal="center" vertical="center"/>
    </xf>
    <xf numFmtId="0" fontId="12" fillId="3" borderId="5" xfId="0" applyFont="1" applyFill="1" applyBorder="1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6" fillId="12" borderId="3" xfId="0" applyFont="1" applyFill="1" applyBorder="1" applyAlignment="1">
      <alignment horizontal="center" vertical="center"/>
    </xf>
    <xf numFmtId="165" fontId="6" fillId="12" borderId="2" xfId="0" applyNumberFormat="1" applyFont="1" applyFill="1" applyBorder="1" applyAlignment="1">
      <alignment horizontal="center" vertical="center"/>
    </xf>
    <xf numFmtId="0" fontId="8" fillId="2" borderId="28" xfId="0" applyFont="1" applyFill="1" applyBorder="1" applyAlignment="1">
      <alignment horizontal="center" vertical="center"/>
    </xf>
    <xf numFmtId="0" fontId="5" fillId="12" borderId="4" xfId="0" applyFont="1" applyFill="1" applyBorder="1" applyAlignment="1">
      <alignment horizontal="center" vertical="center"/>
    </xf>
    <xf numFmtId="0" fontId="15" fillId="3" borderId="5" xfId="0" applyFont="1" applyFill="1" applyBorder="1" applyAlignment="1">
      <alignment horizontal="center" vertical="center"/>
    </xf>
    <xf numFmtId="164" fontId="16" fillId="6" borderId="6" xfId="0" applyNumberFormat="1" applyFont="1" applyFill="1" applyBorder="1" applyAlignment="1">
      <alignment horizontal="center" vertical="center"/>
    </xf>
    <xf numFmtId="49" fontId="5" fillId="0" borderId="7" xfId="0" applyNumberFormat="1" applyFont="1" applyBorder="1" applyAlignment="1" applyProtection="1">
      <alignment horizontal="center" vertical="center" wrapText="1"/>
      <protection locked="0"/>
    </xf>
    <xf numFmtId="49" fontId="5" fillId="9" borderId="7" xfId="0" applyNumberFormat="1" applyFont="1" applyFill="1" applyBorder="1" applyAlignment="1" applyProtection="1">
      <alignment horizontal="center" vertical="center" wrapText="1"/>
      <protection locked="0"/>
    </xf>
    <xf numFmtId="0" fontId="5" fillId="0" borderId="7" xfId="0" applyFont="1" applyBorder="1" applyAlignment="1" applyProtection="1">
      <alignment horizontal="center" vertical="center"/>
      <protection locked="0"/>
    </xf>
    <xf numFmtId="0" fontId="5" fillId="0" borderId="7" xfId="0" applyFont="1" applyBorder="1" applyAlignment="1" applyProtection="1">
      <alignment horizontal="left" vertical="center" wrapText="1"/>
      <protection locked="0"/>
    </xf>
    <xf numFmtId="167" fontId="5" fillId="0" borderId="7" xfId="0" applyNumberFormat="1" applyFont="1" applyBorder="1" applyAlignment="1" applyProtection="1">
      <alignment horizontal="center" vertical="center" wrapText="1"/>
      <protection locked="0"/>
    </xf>
    <xf numFmtId="167" fontId="5" fillId="3" borderId="0" xfId="0" applyNumberFormat="1" applyFont="1" applyFill="1" applyAlignment="1">
      <alignment horizontal="center" vertical="center"/>
    </xf>
    <xf numFmtId="0" fontId="5" fillId="8" borderId="7" xfId="0" applyFont="1" applyFill="1" applyBorder="1" applyAlignment="1">
      <alignment horizontal="center" vertical="center" wrapText="1"/>
    </xf>
    <xf numFmtId="0" fontId="9" fillId="13" borderId="10" xfId="0" applyFont="1" applyFill="1" applyBorder="1" applyAlignment="1" applyProtection="1">
      <alignment horizontal="center" vertical="center"/>
      <protection locked="0"/>
    </xf>
    <xf numFmtId="0" fontId="5" fillId="8" borderId="3" xfId="0" applyFont="1" applyFill="1" applyBorder="1" applyAlignment="1">
      <alignment horizontal="center" vertical="center" wrapText="1"/>
    </xf>
    <xf numFmtId="49" fontId="11" fillId="3" borderId="0" xfId="0" applyNumberFormat="1" applyFont="1" applyFill="1" applyAlignment="1">
      <alignment horizontal="center" vertical="center"/>
    </xf>
    <xf numFmtId="0" fontId="5" fillId="3" borderId="0" xfId="0" applyFont="1" applyFill="1" applyProtection="1">
      <protection locked="0"/>
    </xf>
    <xf numFmtId="0" fontId="19" fillId="0" borderId="0" xfId="0" applyFont="1" applyAlignment="1" applyProtection="1">
      <alignment horizontal="left" vertical="center"/>
      <protection hidden="1"/>
    </xf>
    <xf numFmtId="0" fontId="23" fillId="13" borderId="0" xfId="0" applyFont="1" applyFill="1" applyAlignment="1" applyProtection="1">
      <alignment horizontal="left" vertical="center"/>
      <protection hidden="1"/>
    </xf>
    <xf numFmtId="0" fontId="19" fillId="13" borderId="0" xfId="0" applyFont="1" applyFill="1" applyAlignment="1" applyProtection="1">
      <alignment horizontal="left" vertical="center"/>
      <protection hidden="1"/>
    </xf>
    <xf numFmtId="0" fontId="19" fillId="0" borderId="0" xfId="0" applyFont="1" applyAlignment="1" applyProtection="1">
      <alignment horizontal="left" vertical="center" wrapText="1"/>
      <protection hidden="1"/>
    </xf>
    <xf numFmtId="0" fontId="18" fillId="0" borderId="0" xfId="0" applyFont="1" applyProtection="1">
      <protection hidden="1"/>
    </xf>
    <xf numFmtId="0" fontId="18" fillId="10" borderId="0" xfId="0" applyFont="1" applyFill="1" applyProtection="1">
      <protection hidden="1"/>
    </xf>
    <xf numFmtId="164" fontId="7" fillId="6" borderId="33" xfId="0" applyNumberFormat="1" applyFont="1" applyFill="1" applyBorder="1" applyAlignment="1">
      <alignment horizontal="center" vertical="center"/>
    </xf>
    <xf numFmtId="164" fontId="7" fillId="6" borderId="34" xfId="0" applyNumberFormat="1" applyFont="1" applyFill="1" applyBorder="1" applyAlignment="1">
      <alignment horizontal="center" vertical="center"/>
    </xf>
    <xf numFmtId="0" fontId="20" fillId="10" borderId="0" xfId="0" applyFont="1" applyFill="1" applyProtection="1">
      <protection hidden="1"/>
    </xf>
    <xf numFmtId="0" fontId="20" fillId="0" borderId="0" xfId="0" applyFont="1" applyProtection="1">
      <protection hidden="1"/>
    </xf>
    <xf numFmtId="0" fontId="5" fillId="3" borderId="3" xfId="0" applyFont="1" applyFill="1" applyBorder="1" applyAlignment="1">
      <alignment horizontal="right" vertical="center"/>
    </xf>
    <xf numFmtId="0" fontId="34" fillId="3" borderId="0" xfId="0" applyFont="1" applyFill="1" applyAlignment="1">
      <alignment horizontal="left" vertical="center"/>
    </xf>
    <xf numFmtId="0" fontId="5" fillId="3" borderId="11" xfId="0" applyFont="1" applyFill="1" applyBorder="1" applyAlignment="1">
      <alignment horizontal="center" vertical="center" wrapText="1"/>
    </xf>
    <xf numFmtId="0" fontId="5" fillId="3" borderId="9" xfId="0" applyFont="1" applyFill="1" applyBorder="1" applyAlignment="1">
      <alignment horizontal="center" vertical="center"/>
    </xf>
    <xf numFmtId="0" fontId="5" fillId="3" borderId="0" xfId="0" applyFont="1" applyFill="1" applyAlignment="1" applyProtection="1">
      <alignment horizontal="center" vertical="center"/>
      <protection hidden="1"/>
    </xf>
    <xf numFmtId="168" fontId="6" fillId="3" borderId="0" xfId="0" applyNumberFormat="1" applyFont="1" applyFill="1" applyAlignment="1">
      <alignment horizontal="center" vertical="center"/>
    </xf>
    <xf numFmtId="0" fontId="35" fillId="13" borderId="2" xfId="0" applyFont="1" applyFill="1" applyBorder="1" applyAlignment="1" applyProtection="1">
      <alignment horizontal="left" vertical="center" wrapText="1"/>
      <protection locked="0"/>
    </xf>
    <xf numFmtId="0" fontId="6" fillId="3" borderId="0" xfId="0" applyFont="1" applyFill="1" applyAlignment="1">
      <alignment horizontal="center" vertical="center"/>
    </xf>
    <xf numFmtId="0" fontId="36" fillId="0" borderId="0" xfId="0" applyFont="1" applyAlignment="1">
      <alignment horizontal="center" vertical="center"/>
    </xf>
    <xf numFmtId="0" fontId="36" fillId="0" borderId="0" xfId="0" applyFont="1" applyAlignment="1">
      <alignment horizontal="left" vertical="center"/>
    </xf>
    <xf numFmtId="0" fontId="37" fillId="0" borderId="0" xfId="0" applyFont="1"/>
    <xf numFmtId="0" fontId="38" fillId="0" borderId="0" xfId="0" applyFont="1"/>
    <xf numFmtId="0" fontId="39" fillId="5" borderId="0" xfId="0" applyFont="1" applyFill="1" applyAlignment="1">
      <alignment horizontal="center" vertical="center"/>
    </xf>
    <xf numFmtId="0" fontId="39" fillId="5" borderId="0" xfId="0" applyFont="1" applyFill="1" applyAlignment="1">
      <alignment horizontal="left" vertical="center"/>
    </xf>
    <xf numFmtId="0" fontId="14" fillId="10" borderId="0" xfId="0" applyFont="1" applyFill="1" applyAlignment="1">
      <alignment horizontal="center" vertical="center"/>
    </xf>
    <xf numFmtId="0" fontId="38" fillId="0" borderId="0" xfId="0" applyFont="1" applyAlignment="1">
      <alignment horizontal="left"/>
    </xf>
    <xf numFmtId="0" fontId="38" fillId="0" borderId="0" xfId="0" applyFont="1" applyAlignment="1">
      <alignment horizontal="center" vertical="center"/>
    </xf>
    <xf numFmtId="0" fontId="14" fillId="0" borderId="0" xfId="0" applyFont="1" applyAlignment="1">
      <alignment horizontal="center" vertical="center"/>
    </xf>
    <xf numFmtId="0" fontId="14" fillId="0" borderId="0" xfId="0" applyFont="1" applyAlignment="1">
      <alignment horizontal="left" vertical="center"/>
    </xf>
    <xf numFmtId="0" fontId="41" fillId="0" borderId="0" xfId="0" applyFont="1"/>
    <xf numFmtId="0" fontId="37" fillId="0" borderId="0" xfId="0" applyFont="1" applyAlignment="1">
      <alignment horizontal="left"/>
    </xf>
    <xf numFmtId="0" fontId="37" fillId="0" borderId="0" xfId="0" applyFont="1" applyAlignment="1">
      <alignment horizontal="center" vertical="center"/>
    </xf>
    <xf numFmtId="0" fontId="42" fillId="5" borderId="0" xfId="0" applyFont="1" applyFill="1" applyAlignment="1">
      <alignment horizontal="center" vertical="center"/>
    </xf>
    <xf numFmtId="0" fontId="14" fillId="10" borderId="0" xfId="0" applyFont="1" applyFill="1" applyAlignment="1">
      <alignment horizontal="left" vertical="center"/>
    </xf>
    <xf numFmtId="0" fontId="14" fillId="0" borderId="0" xfId="0" applyFont="1" applyAlignment="1">
      <alignment horizontal="right" wrapText="1"/>
    </xf>
    <xf numFmtId="0" fontId="38" fillId="0" borderId="0" xfId="0" applyFont="1" applyAlignment="1">
      <alignment horizontal="center"/>
    </xf>
    <xf numFmtId="0" fontId="36" fillId="5" borderId="0" xfId="0" applyFont="1" applyFill="1" applyAlignment="1">
      <alignment horizontal="center" vertical="center"/>
    </xf>
    <xf numFmtId="0" fontId="36" fillId="0" borderId="0" xfId="0" applyFont="1" applyAlignment="1">
      <alignment horizontal="right" vertical="center"/>
    </xf>
    <xf numFmtId="0" fontId="39" fillId="0" borderId="0" xfId="0" applyFont="1" applyAlignment="1">
      <alignment horizontal="center" vertical="center"/>
    </xf>
    <xf numFmtId="0" fontId="36" fillId="5" borderId="0" xfId="0" applyFont="1" applyFill="1" applyAlignment="1">
      <alignment horizontal="left" vertical="center"/>
    </xf>
    <xf numFmtId="0" fontId="14" fillId="5" borderId="0" xfId="0" applyFont="1" applyFill="1" applyAlignment="1">
      <alignment horizontal="left" vertical="center"/>
    </xf>
    <xf numFmtId="0" fontId="17" fillId="0" borderId="0" xfId="0" applyFont="1" applyAlignment="1">
      <alignment horizontal="center" vertical="center"/>
    </xf>
    <xf numFmtId="0" fontId="17" fillId="17" borderId="0" xfId="0" applyFont="1" applyFill="1" applyAlignment="1">
      <alignment horizontal="center" vertical="center"/>
    </xf>
    <xf numFmtId="0" fontId="17" fillId="18" borderId="0" xfId="0" applyFont="1" applyFill="1" applyAlignment="1">
      <alignment horizontal="center" vertical="center"/>
    </xf>
    <xf numFmtId="0" fontId="43" fillId="0" borderId="0" xfId="0" applyFont="1"/>
    <xf numFmtId="0" fontId="45" fillId="0" borderId="0" xfId="0" applyFont="1"/>
    <xf numFmtId="0" fontId="44" fillId="0" borderId="0" xfId="0" applyFont="1" applyAlignment="1">
      <alignment horizontal="center" vertical="center"/>
    </xf>
    <xf numFmtId="0" fontId="44" fillId="10" borderId="0" xfId="0" applyFont="1" applyFill="1" applyAlignment="1">
      <alignment horizontal="center" vertical="center"/>
    </xf>
    <xf numFmtId="0" fontId="24" fillId="0" borderId="0" xfId="0" applyFont="1"/>
    <xf numFmtId="0" fontId="40" fillId="0" borderId="0" xfId="0" applyFont="1" applyAlignment="1">
      <alignment horizontal="center"/>
    </xf>
    <xf numFmtId="0" fontId="46" fillId="19" borderId="0" xfId="0" applyFont="1" applyFill="1" applyAlignment="1">
      <alignment horizontal="center" vertical="center"/>
    </xf>
    <xf numFmtId="0" fontId="47" fillId="19" borderId="0" xfId="0" applyFont="1" applyFill="1" applyAlignment="1">
      <alignment horizontal="center" vertical="center"/>
    </xf>
    <xf numFmtId="0" fontId="48" fillId="19" borderId="0" xfId="0" applyFont="1" applyFill="1"/>
    <xf numFmtId="0" fontId="12" fillId="5" borderId="0" xfId="0" applyFont="1" applyFill="1" applyAlignment="1">
      <alignment horizontal="center" vertical="center"/>
    </xf>
    <xf numFmtId="0" fontId="24" fillId="0" borderId="0" xfId="0" applyFont="1" applyAlignment="1">
      <alignment horizontal="left"/>
    </xf>
    <xf numFmtId="0" fontId="49" fillId="0" borderId="0" xfId="0" applyFont="1"/>
    <xf numFmtId="0" fontId="24" fillId="0" borderId="0" xfId="0" applyFont="1" applyAlignment="1">
      <alignment horizontal="center" vertical="center"/>
    </xf>
    <xf numFmtId="0" fontId="50" fillId="0" borderId="0" xfId="0" applyFont="1"/>
    <xf numFmtId="0" fontId="4" fillId="0" borderId="0" xfId="0" applyFont="1" applyAlignment="1">
      <alignment horizontal="left"/>
    </xf>
    <xf numFmtId="0" fontId="4" fillId="0" borderId="0" xfId="0" applyFont="1" applyAlignment="1">
      <alignment horizontal="center" vertical="center"/>
    </xf>
    <xf numFmtId="0" fontId="15" fillId="5" borderId="0" xfId="0" applyFont="1" applyFill="1" applyAlignment="1">
      <alignment horizontal="center" vertical="center"/>
    </xf>
    <xf numFmtId="0" fontId="12" fillId="5" borderId="0" xfId="0" applyFont="1" applyFill="1" applyAlignment="1">
      <alignment horizontal="left" vertical="center"/>
    </xf>
    <xf numFmtId="0" fontId="51" fillId="5" borderId="0" xfId="0" applyFont="1" applyFill="1" applyAlignment="1">
      <alignment horizontal="center" vertical="center"/>
    </xf>
    <xf numFmtId="0" fontId="52" fillId="0" borderId="0" xfId="0" applyFont="1"/>
    <xf numFmtId="0" fontId="53" fillId="20" borderId="36" xfId="1" applyFont="1" applyFill="1" applyBorder="1" applyAlignment="1">
      <alignment horizontal="center"/>
    </xf>
    <xf numFmtId="0" fontId="53" fillId="0" borderId="37" xfId="1" applyFont="1" applyBorder="1" applyAlignment="1">
      <alignment wrapText="1"/>
    </xf>
    <xf numFmtId="0" fontId="53" fillId="0" borderId="37" xfId="1" applyFont="1" applyBorder="1" applyAlignment="1">
      <alignment horizontal="right" wrapText="1"/>
    </xf>
    <xf numFmtId="169" fontId="53" fillId="0" borderId="37" xfId="1" applyNumberFormat="1" applyFont="1" applyBorder="1" applyAlignment="1">
      <alignment horizontal="right" wrapText="1"/>
    </xf>
    <xf numFmtId="0" fontId="53" fillId="0" borderId="37" xfId="2" applyFont="1" applyBorder="1" applyAlignment="1">
      <alignment wrapText="1"/>
    </xf>
    <xf numFmtId="0" fontId="53" fillId="0" borderId="37" xfId="2" applyFont="1" applyBorder="1" applyAlignment="1">
      <alignment horizontal="right" wrapText="1"/>
    </xf>
    <xf numFmtId="169" fontId="53" fillId="0" borderId="37" xfId="2" applyNumberFormat="1" applyFont="1" applyBorder="1" applyAlignment="1">
      <alignment horizontal="right" wrapText="1"/>
    </xf>
    <xf numFmtId="0" fontId="6" fillId="3" borderId="38" xfId="0" applyFont="1" applyFill="1" applyBorder="1" applyAlignment="1">
      <alignment horizontal="center" vertical="center"/>
    </xf>
    <xf numFmtId="0" fontId="5" fillId="3" borderId="23" xfId="0" applyFont="1" applyFill="1" applyBorder="1" applyAlignment="1">
      <alignment horizontal="center" vertical="center" wrapText="1"/>
    </xf>
    <xf numFmtId="0" fontId="5" fillId="3" borderId="39" xfId="0" applyFont="1" applyFill="1" applyBorder="1" applyAlignment="1">
      <alignment horizontal="center" vertical="center" wrapText="1"/>
    </xf>
    <xf numFmtId="0" fontId="25" fillId="11" borderId="31" xfId="0" applyFont="1" applyFill="1" applyBorder="1" applyAlignment="1" applyProtection="1">
      <alignment horizontal="center" vertical="center"/>
      <protection hidden="1"/>
    </xf>
    <xf numFmtId="0" fontId="11" fillId="3" borderId="0" xfId="0" applyFont="1" applyFill="1" applyAlignment="1" applyProtection="1">
      <alignment horizontal="center" vertical="center"/>
      <protection hidden="1"/>
    </xf>
    <xf numFmtId="0" fontId="34" fillId="3" borderId="0" xfId="0" applyFont="1" applyFill="1" applyAlignment="1">
      <alignment horizontal="right" vertical="center"/>
    </xf>
    <xf numFmtId="0" fontId="56" fillId="3" borderId="0" xfId="0" applyFont="1" applyFill="1" applyAlignment="1" applyProtection="1">
      <alignment horizontal="left" vertical="center"/>
      <protection hidden="1"/>
    </xf>
    <xf numFmtId="0" fontId="5" fillId="19" borderId="0" xfId="0" applyFont="1" applyFill="1" applyAlignment="1" applyProtection="1">
      <alignment horizontal="left" vertical="center"/>
      <protection locked="0"/>
    </xf>
    <xf numFmtId="0" fontId="5" fillId="19" borderId="0" xfId="0" applyFont="1" applyFill="1" applyAlignment="1" applyProtection="1">
      <alignment horizontal="right" vertical="center"/>
      <protection hidden="1"/>
    </xf>
    <xf numFmtId="164" fontId="25" fillId="22" borderId="32" xfId="0" applyNumberFormat="1" applyFont="1" applyFill="1" applyBorder="1" applyAlignment="1" applyProtection="1">
      <alignment horizontal="center" vertical="center"/>
      <protection locked="0"/>
    </xf>
    <xf numFmtId="0" fontId="5" fillId="22" borderId="3" xfId="0" applyFont="1" applyFill="1" applyBorder="1" applyAlignment="1" applyProtection="1">
      <alignment horizontal="center" vertical="center"/>
      <protection locked="0"/>
    </xf>
    <xf numFmtId="0" fontId="5" fillId="22" borderId="2" xfId="0" applyFont="1" applyFill="1" applyBorder="1" applyAlignment="1" applyProtection="1">
      <alignment horizontal="center" vertical="center"/>
      <protection locked="0"/>
    </xf>
    <xf numFmtId="0" fontId="17" fillId="10" borderId="25" xfId="0" applyFont="1" applyFill="1" applyBorder="1" applyAlignment="1">
      <alignment horizontal="center" vertical="center"/>
    </xf>
    <xf numFmtId="0" fontId="17" fillId="10" borderId="40" xfId="0" applyFont="1" applyFill="1" applyBorder="1" applyAlignment="1">
      <alignment horizontal="center" vertical="center"/>
    </xf>
    <xf numFmtId="0" fontId="17" fillId="10" borderId="28" xfId="0" applyFont="1" applyFill="1" applyBorder="1" applyAlignment="1">
      <alignment horizontal="center" vertical="center"/>
    </xf>
    <xf numFmtId="0" fontId="56" fillId="3" borderId="0" xfId="0" applyFont="1" applyFill="1" applyAlignment="1" applyProtection="1">
      <alignment horizontal="center" vertical="center"/>
      <protection locked="0"/>
    </xf>
    <xf numFmtId="0" fontId="56" fillId="3" borderId="11" xfId="0" applyFont="1" applyFill="1" applyBorder="1" applyAlignment="1" applyProtection="1">
      <alignment horizontal="center" vertical="center"/>
      <protection locked="0"/>
    </xf>
    <xf numFmtId="0" fontId="56" fillId="3" borderId="9" xfId="0" applyFont="1" applyFill="1" applyBorder="1" applyAlignment="1" applyProtection="1">
      <alignment horizontal="center" vertical="center"/>
      <protection locked="0"/>
    </xf>
    <xf numFmtId="0" fontId="5" fillId="0" borderId="15" xfId="0" applyFont="1" applyBorder="1" applyAlignment="1">
      <alignment horizontal="center" vertical="center"/>
    </xf>
    <xf numFmtId="0" fontId="5" fillId="0" borderId="16" xfId="0" applyFont="1" applyBorder="1" applyAlignment="1">
      <alignment horizontal="center" vertical="center"/>
    </xf>
    <xf numFmtId="0" fontId="5" fillId="0" borderId="17" xfId="0" applyFont="1" applyBorder="1" applyAlignment="1">
      <alignment horizontal="center" vertical="center"/>
    </xf>
    <xf numFmtId="0" fontId="5" fillId="0" borderId="41" xfId="0" applyFont="1" applyBorder="1" applyAlignment="1">
      <alignment horizontal="center" vertical="center"/>
    </xf>
    <xf numFmtId="0" fontId="5" fillId="0" borderId="29" xfId="0" applyFont="1" applyBorder="1" applyAlignment="1">
      <alignment horizontal="center" vertical="center"/>
    </xf>
    <xf numFmtId="0" fontId="5" fillId="0" borderId="6" xfId="0" applyFont="1" applyBorder="1" applyAlignment="1">
      <alignment horizontal="center" vertical="center"/>
    </xf>
    <xf numFmtId="0" fontId="5" fillId="0" borderId="30" xfId="0" applyFont="1" applyBorder="1" applyAlignment="1">
      <alignment horizontal="center" vertical="center"/>
    </xf>
    <xf numFmtId="0" fontId="5" fillId="0" borderId="42" xfId="0" applyFont="1" applyBorder="1" applyAlignment="1">
      <alignment horizontal="center" vertical="center"/>
    </xf>
    <xf numFmtId="0" fontId="5" fillId="0" borderId="43" xfId="0" applyFont="1" applyBorder="1" applyAlignment="1">
      <alignment horizontal="center" vertical="center"/>
    </xf>
    <xf numFmtId="0" fontId="5" fillId="0" borderId="18" xfId="0" applyFont="1" applyBorder="1" applyAlignment="1">
      <alignment horizontal="center" vertical="center"/>
    </xf>
    <xf numFmtId="0" fontId="5" fillId="0" borderId="19" xfId="0" applyFont="1" applyBorder="1" applyAlignment="1">
      <alignment horizontal="center" vertical="center"/>
    </xf>
    <xf numFmtId="0" fontId="5" fillId="0" borderId="20" xfId="0" applyFont="1" applyBorder="1" applyAlignment="1">
      <alignment horizontal="center" vertical="center"/>
    </xf>
    <xf numFmtId="0" fontId="5" fillId="0" borderId="44" xfId="0" applyFont="1" applyBorder="1" applyAlignment="1">
      <alignment horizontal="center" vertical="center"/>
    </xf>
    <xf numFmtId="0" fontId="5" fillId="0" borderId="45" xfId="0" applyFont="1" applyBorder="1" applyAlignment="1">
      <alignment horizontal="center" vertical="center"/>
    </xf>
    <xf numFmtId="0" fontId="5" fillId="0" borderId="31" xfId="0" applyFont="1" applyBorder="1" applyAlignment="1">
      <alignment horizontal="center" vertical="center"/>
    </xf>
    <xf numFmtId="0" fontId="5" fillId="0" borderId="7" xfId="0" applyFont="1" applyBorder="1" applyAlignment="1">
      <alignment horizontal="center" vertical="center"/>
    </xf>
    <xf numFmtId="0" fontId="5" fillId="0" borderId="46" xfId="0" applyFont="1" applyBorder="1" applyAlignment="1">
      <alignment horizontal="center" vertical="center"/>
    </xf>
    <xf numFmtId="0" fontId="5" fillId="0" borderId="32" xfId="0" applyFont="1" applyBorder="1" applyAlignment="1">
      <alignment horizontal="center" vertical="center"/>
    </xf>
    <xf numFmtId="0" fontId="5" fillId="0" borderId="0" xfId="0" applyFont="1"/>
    <xf numFmtId="0" fontId="5" fillId="0" borderId="25" xfId="0" applyFont="1" applyBorder="1"/>
    <xf numFmtId="0" fontId="5" fillId="0" borderId="40" xfId="0" applyFont="1" applyBorder="1"/>
    <xf numFmtId="0" fontId="5" fillId="0" borderId="21" xfId="0" applyFont="1" applyBorder="1"/>
    <xf numFmtId="0" fontId="5" fillId="0" borderId="23" xfId="0" applyFont="1" applyBorder="1"/>
    <xf numFmtId="0" fontId="5" fillId="0" borderId="39" xfId="0" applyFont="1" applyBorder="1"/>
    <xf numFmtId="0" fontId="5" fillId="3" borderId="3" xfId="0" applyFont="1" applyFill="1" applyBorder="1" applyAlignment="1">
      <alignment horizontal="right" vertical="center"/>
    </xf>
    <xf numFmtId="0" fontId="4" fillId="0" borderId="1" xfId="0" applyFont="1" applyBorder="1" applyAlignment="1">
      <alignment horizontal="right"/>
    </xf>
    <xf numFmtId="0" fontId="26" fillId="10" borderId="16" xfId="0" applyFont="1" applyFill="1" applyBorder="1" applyAlignment="1" applyProtection="1">
      <alignment horizontal="center" vertical="center"/>
      <protection locked="0"/>
    </xf>
    <xf numFmtId="0" fontId="27" fillId="10" borderId="16" xfId="0" applyFont="1" applyFill="1" applyBorder="1" applyAlignment="1" applyProtection="1">
      <alignment horizontal="center" vertical="center"/>
      <protection locked="0"/>
    </xf>
    <xf numFmtId="0" fontId="27" fillId="10" borderId="17" xfId="0" applyFont="1" applyFill="1" applyBorder="1" applyAlignment="1" applyProtection="1">
      <alignment horizontal="center" vertical="center"/>
      <protection locked="0"/>
    </xf>
    <xf numFmtId="0" fontId="26" fillId="10" borderId="19" xfId="0" applyFont="1" applyFill="1" applyBorder="1" applyAlignment="1" applyProtection="1">
      <alignment horizontal="center" vertical="center"/>
      <protection locked="0"/>
    </xf>
    <xf numFmtId="0" fontId="27" fillId="10" borderId="19" xfId="0" applyFont="1" applyFill="1" applyBorder="1" applyAlignment="1" applyProtection="1">
      <alignment horizontal="center" vertical="center"/>
      <protection locked="0"/>
    </xf>
    <xf numFmtId="0" fontId="27" fillId="10" borderId="20" xfId="0" applyFont="1" applyFill="1" applyBorder="1" applyAlignment="1" applyProtection="1">
      <alignment horizontal="center" vertical="center"/>
      <protection locked="0"/>
    </xf>
    <xf numFmtId="0" fontId="26" fillId="10" borderId="1" xfId="0" applyFont="1" applyFill="1" applyBorder="1" applyAlignment="1" applyProtection="1">
      <alignment horizontal="center" vertical="center"/>
      <protection locked="0"/>
    </xf>
    <xf numFmtId="0" fontId="27" fillId="10" borderId="1" xfId="0" applyFont="1" applyFill="1" applyBorder="1" applyAlignment="1" applyProtection="1">
      <alignment horizontal="center" vertical="center"/>
      <protection locked="0"/>
    </xf>
    <xf numFmtId="0" fontId="27" fillId="10" borderId="2" xfId="0" applyFont="1" applyFill="1" applyBorder="1" applyAlignment="1" applyProtection="1">
      <alignment horizontal="center" vertical="center"/>
      <protection locked="0"/>
    </xf>
    <xf numFmtId="0" fontId="5" fillId="3" borderId="15" xfId="0" applyFont="1" applyFill="1" applyBorder="1" applyAlignment="1">
      <alignment horizontal="right" vertical="center"/>
    </xf>
    <xf numFmtId="0" fontId="5" fillId="3" borderId="16" xfId="0" applyFont="1" applyFill="1" applyBorder="1" applyAlignment="1">
      <alignment horizontal="right" vertical="center"/>
    </xf>
    <xf numFmtId="0" fontId="5" fillId="3" borderId="29" xfId="0" applyFont="1" applyFill="1" applyBorder="1" applyAlignment="1">
      <alignment horizontal="right" vertical="center"/>
    </xf>
    <xf numFmtId="0" fontId="5" fillId="3" borderId="6" xfId="0" applyFont="1" applyFill="1" applyBorder="1" applyAlignment="1">
      <alignment horizontal="right" vertical="center"/>
    </xf>
    <xf numFmtId="0" fontId="5" fillId="3" borderId="18" xfId="0" applyFont="1" applyFill="1" applyBorder="1" applyAlignment="1">
      <alignment horizontal="right" vertical="center"/>
    </xf>
    <xf numFmtId="0" fontId="4" fillId="0" borderId="19" xfId="0" applyFont="1" applyBorder="1" applyAlignment="1">
      <alignment horizontal="right"/>
    </xf>
    <xf numFmtId="0" fontId="4" fillId="0" borderId="16" xfId="0" applyFont="1" applyBorder="1" applyAlignment="1">
      <alignment horizontal="right"/>
    </xf>
    <xf numFmtId="0" fontId="26" fillId="13" borderId="1" xfId="0" applyFont="1" applyFill="1" applyBorder="1" applyAlignment="1" applyProtection="1">
      <alignment horizontal="center" vertical="center"/>
      <protection locked="0"/>
    </xf>
    <xf numFmtId="0" fontId="27" fillId="13" borderId="1" xfId="0" applyFont="1" applyFill="1" applyBorder="1" applyAlignment="1" applyProtection="1">
      <alignment horizontal="center" vertical="center"/>
      <protection locked="0"/>
    </xf>
    <xf numFmtId="0" fontId="27" fillId="13" borderId="2" xfId="0" applyFont="1" applyFill="1" applyBorder="1" applyAlignment="1" applyProtection="1">
      <alignment horizontal="center" vertical="center"/>
      <protection locked="0"/>
    </xf>
    <xf numFmtId="166" fontId="25" fillId="13" borderId="26" xfId="0" applyNumberFormat="1" applyFont="1" applyFill="1" applyBorder="1" applyAlignment="1" applyProtection="1">
      <alignment horizontal="center" vertical="center"/>
      <protection locked="0"/>
    </xf>
    <xf numFmtId="166" fontId="25" fillId="13" borderId="27" xfId="0" applyNumberFormat="1" applyFont="1" applyFill="1" applyBorder="1" applyAlignment="1" applyProtection="1">
      <alignment horizontal="center" vertical="center"/>
      <protection locked="0"/>
    </xf>
    <xf numFmtId="0" fontId="2" fillId="2" borderId="10" xfId="0" applyFont="1" applyFill="1" applyBorder="1" applyAlignment="1">
      <alignment horizontal="left" vertical="center"/>
    </xf>
    <xf numFmtId="0" fontId="0" fillId="0" borderId="9" xfId="0" applyBorder="1" applyAlignment="1">
      <alignment horizontal="left" vertical="center"/>
    </xf>
    <xf numFmtId="0" fontId="57" fillId="21" borderId="16" xfId="0" applyFont="1" applyFill="1" applyBorder="1" applyAlignment="1" applyProtection="1">
      <alignment horizontal="center" vertical="center"/>
      <protection hidden="1"/>
    </xf>
    <xf numFmtId="0" fontId="58" fillId="21" borderId="16" xfId="0" applyFont="1" applyFill="1" applyBorder="1" applyAlignment="1" applyProtection="1">
      <alignment horizontal="center" vertical="center"/>
      <protection hidden="1"/>
    </xf>
    <xf numFmtId="0" fontId="58" fillId="21" borderId="17" xfId="0" applyFont="1" applyFill="1" applyBorder="1" applyAlignment="1" applyProtection="1">
      <alignment horizontal="center" vertical="center"/>
      <protection hidden="1"/>
    </xf>
    <xf numFmtId="0" fontId="5" fillId="3" borderId="19" xfId="0" applyFont="1" applyFill="1" applyBorder="1" applyAlignment="1">
      <alignment horizontal="right" vertical="center"/>
    </xf>
    <xf numFmtId="0" fontId="13" fillId="13" borderId="25" xfId="0" applyFont="1" applyFill="1" applyBorder="1" applyAlignment="1" applyProtection="1">
      <alignment vertical="top" wrapText="1"/>
      <protection locked="0"/>
    </xf>
    <xf numFmtId="0" fontId="0" fillId="13" borderId="28" xfId="0" applyFill="1" applyBorder="1" applyAlignment="1" applyProtection="1">
      <alignment vertical="top" wrapText="1"/>
      <protection locked="0"/>
    </xf>
    <xf numFmtId="0" fontId="0" fillId="13" borderId="21" xfId="0" applyFill="1" applyBorder="1" applyAlignment="1" applyProtection="1">
      <alignment vertical="top" wrapText="1"/>
      <protection locked="0"/>
    </xf>
    <xf numFmtId="0" fontId="0" fillId="13" borderId="22" xfId="0" applyFill="1" applyBorder="1" applyAlignment="1" applyProtection="1">
      <alignment vertical="top" wrapText="1"/>
      <protection locked="0"/>
    </xf>
    <xf numFmtId="0" fontId="0" fillId="13" borderId="23" xfId="0" applyFill="1" applyBorder="1" applyAlignment="1" applyProtection="1">
      <alignment vertical="top" wrapText="1"/>
      <protection locked="0"/>
    </xf>
    <xf numFmtId="0" fontId="0" fillId="13" borderId="24" xfId="0" applyFill="1" applyBorder="1" applyAlignment="1" applyProtection="1">
      <alignment vertical="top" wrapText="1"/>
      <protection locked="0"/>
    </xf>
    <xf numFmtId="0" fontId="57" fillId="21" borderId="19" xfId="0" applyFont="1" applyFill="1" applyBorder="1" applyAlignment="1" applyProtection="1">
      <alignment horizontal="center" vertical="center"/>
      <protection hidden="1"/>
    </xf>
    <xf numFmtId="0" fontId="58" fillId="21" borderId="19" xfId="0" applyFont="1" applyFill="1" applyBorder="1" applyAlignment="1" applyProtection="1">
      <alignment horizontal="center" vertical="center"/>
      <protection hidden="1"/>
    </xf>
    <xf numFmtId="0" fontId="58" fillId="21" borderId="20" xfId="0" applyFont="1" applyFill="1" applyBorder="1" applyAlignment="1" applyProtection="1">
      <alignment horizontal="center" vertical="center"/>
      <protection hidden="1"/>
    </xf>
    <xf numFmtId="0" fontId="18" fillId="10" borderId="0" xfId="0" applyFont="1" applyFill="1" applyProtection="1">
      <protection hidden="1"/>
    </xf>
    <xf numFmtId="0" fontId="19" fillId="10" borderId="35" xfId="0" applyFont="1" applyFill="1" applyBorder="1" applyProtection="1">
      <protection hidden="1"/>
    </xf>
    <xf numFmtId="0" fontId="19" fillId="10" borderId="0" xfId="0" applyFont="1" applyFill="1" applyProtection="1">
      <protection hidden="1"/>
    </xf>
    <xf numFmtId="0" fontId="21" fillId="14" borderId="35" xfId="0" applyFont="1" applyFill="1" applyBorder="1" applyAlignment="1" applyProtection="1">
      <alignment horizontal="center" vertical="center"/>
      <protection hidden="1"/>
    </xf>
    <xf numFmtId="0" fontId="31" fillId="16" borderId="35" xfId="0" applyFont="1" applyFill="1" applyBorder="1" applyAlignment="1" applyProtection="1">
      <alignment horizontal="center" vertical="center"/>
      <protection hidden="1"/>
    </xf>
    <xf numFmtId="0" fontId="19" fillId="0" borderId="35" xfId="0" applyFont="1" applyBorder="1" applyAlignment="1" applyProtection="1">
      <alignment horizontal="center" vertical="center"/>
      <protection hidden="1"/>
    </xf>
    <xf numFmtId="0" fontId="32" fillId="15" borderId="35" xfId="0" applyFont="1" applyFill="1" applyBorder="1" applyAlignment="1" applyProtection="1">
      <alignment horizontal="center" vertical="center"/>
      <protection hidden="1"/>
    </xf>
    <xf numFmtId="0" fontId="31" fillId="0" borderId="35" xfId="0" applyFont="1" applyBorder="1" applyAlignment="1" applyProtection="1">
      <alignment horizontal="center" vertical="center" wrapText="1"/>
      <protection hidden="1"/>
    </xf>
    <xf numFmtId="0" fontId="22" fillId="14" borderId="35" xfId="0" applyFont="1" applyFill="1" applyBorder="1" applyAlignment="1" applyProtection="1">
      <alignment horizontal="center" vertical="center"/>
      <protection hidden="1"/>
    </xf>
    <xf numFmtId="0" fontId="31" fillId="0" borderId="35" xfId="0" applyFont="1" applyBorder="1" applyAlignment="1" applyProtection="1">
      <alignment horizontal="center" vertical="center"/>
      <protection hidden="1"/>
    </xf>
    <xf numFmtId="0" fontId="30" fillId="0" borderId="35" xfId="0" applyFont="1" applyBorder="1" applyAlignment="1" applyProtection="1">
      <alignment horizontal="center" vertical="center"/>
      <protection hidden="1"/>
    </xf>
    <xf numFmtId="0" fontId="33" fillId="0" borderId="35" xfId="0" applyFont="1" applyBorder="1" applyAlignment="1" applyProtection="1">
      <alignment horizontal="center" vertical="center"/>
      <protection hidden="1"/>
    </xf>
    <xf numFmtId="165" fontId="31" fillId="0" borderId="35" xfId="0" applyNumberFormat="1" applyFont="1" applyBorder="1" applyAlignment="1" applyProtection="1">
      <alignment horizontal="center" vertical="center"/>
      <protection hidden="1"/>
    </xf>
    <xf numFmtId="0" fontId="31" fillId="16" borderId="35" xfId="0" applyFont="1" applyFill="1" applyBorder="1" applyAlignment="1" applyProtection="1">
      <alignment horizontal="center" vertical="center" wrapText="1"/>
      <protection hidden="1"/>
    </xf>
    <xf numFmtId="0" fontId="55" fillId="0" borderId="0" xfId="0" applyFont="1" applyAlignment="1" applyProtection="1">
      <alignment horizontal="left"/>
      <protection hidden="1"/>
    </xf>
    <xf numFmtId="0" fontId="31" fillId="0" borderId="35" xfId="0" applyFont="1" applyBorder="1" applyAlignment="1" applyProtection="1">
      <alignment horizontal="right" vertical="center"/>
      <protection hidden="1"/>
    </xf>
    <xf numFmtId="0" fontId="18" fillId="0" borderId="0" xfId="0" applyFont="1" applyProtection="1">
      <protection hidden="1"/>
    </xf>
    <xf numFmtId="0" fontId="29" fillId="0" borderId="35" xfId="0" applyFont="1" applyBorder="1" applyAlignment="1" applyProtection="1">
      <alignment horizontal="left" vertical="top" wrapText="1"/>
      <protection hidden="1"/>
    </xf>
    <xf numFmtId="168" fontId="28" fillId="0" borderId="35" xfId="0" applyNumberFormat="1" applyFont="1" applyBorder="1" applyAlignment="1" applyProtection="1">
      <alignment horizontal="center" vertical="center"/>
      <protection hidden="1"/>
    </xf>
  </cellXfs>
  <cellStyles count="3">
    <cellStyle name="Normal" xfId="0" builtinId="0"/>
    <cellStyle name="Normal_GAMES" xfId="1" xr:uid="{1BBA6648-3BED-4B49-8D02-0EBFED4B43C3}"/>
    <cellStyle name="Normal_GAMESu" xfId="2" xr:uid="{91D7BEC9-217D-4256-AD35-B7505A4DC5AF}"/>
  </cellStyles>
  <dxfs count="3">
    <dxf>
      <fill>
        <patternFill>
          <bgColor rgb="FF0C2D53"/>
        </patternFill>
      </fill>
    </dxf>
    <dxf>
      <fill>
        <patternFill>
          <bgColor rgb="FF0C2D53"/>
        </patternFill>
      </fill>
    </dxf>
    <dxf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FFFFCC"/>
      <color rgb="FF0C2D53"/>
      <color rgb="FF0F1820"/>
      <color rgb="FF808080"/>
      <color rgb="FFF8CBAD"/>
      <color rgb="FFFFF4D1"/>
      <color rgb="FFE8EEF2"/>
      <color rgb="FFD0D4D5"/>
      <color rgb="FFD7E3EB"/>
      <color rgb="FFD9D9D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12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openxmlformats.org/officeDocument/2006/relationships/customXml" Target="../customXml/item2.xml"/><Relationship Id="rId5" Type="http://schemas.openxmlformats.org/officeDocument/2006/relationships/worksheet" Target="worksheets/sheet5.xml"/><Relationship Id="rId10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2" Type="http://schemas.microsoft.com/office/2007/relationships/hdphoto" Target="../media/hdphoto1.wdp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28575</xdr:colOff>
      <xdr:row>0</xdr:row>
      <xdr:rowOff>190501</xdr:rowOff>
    </xdr:from>
    <xdr:to>
      <xdr:col>6</xdr:col>
      <xdr:colOff>219075</xdr:colOff>
      <xdr:row>0</xdr:row>
      <xdr:rowOff>333375</xdr:rowOff>
    </xdr:to>
    <xdr:sp macro="[0]!EXPORTAR_PDF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7ABCD88F-F256-864C-4A61-FE17850E3474}"/>
            </a:ext>
          </a:extLst>
        </xdr:cNvPr>
        <xdr:cNvSpPr/>
      </xdr:nvSpPr>
      <xdr:spPr bwMode="auto">
        <a:xfrm>
          <a:off x="2095500" y="190501"/>
          <a:ext cx="714375" cy="142874"/>
        </a:xfrm>
        <a:prstGeom prst="roundRect">
          <a:avLst/>
        </a:prstGeom>
        <a:solidFill>
          <a:srgbClr val="FFF4D1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marL="0" indent="0" algn="ctr"/>
          <a:r>
            <a:rPr lang="en-US" sz="800">
              <a:solidFill>
                <a:schemeClr val="tx1"/>
              </a:solidFill>
              <a:latin typeface="Lato" panose="020F0502020204030203" pitchFamily="34" charset="0"/>
              <a:ea typeface="+mn-ea"/>
              <a:cs typeface="+mn-cs"/>
            </a:rPr>
            <a:t>Report PDF</a:t>
          </a:r>
        </a:p>
      </xdr:txBody>
    </xdr:sp>
    <xdr:clientData/>
  </xdr:twoCellAnchor>
  <xdr:twoCellAnchor>
    <xdr:from>
      <xdr:col>6</xdr:col>
      <xdr:colOff>266700</xdr:colOff>
      <xdr:row>0</xdr:row>
      <xdr:rowOff>66674</xdr:rowOff>
    </xdr:from>
    <xdr:to>
      <xdr:col>7</xdr:col>
      <xdr:colOff>447675</xdr:colOff>
      <xdr:row>0</xdr:row>
      <xdr:rowOff>190499</xdr:rowOff>
    </xdr:to>
    <xdr:sp macro="[0]!GRABAR_new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CAA8C49C-DC01-47FA-86AF-1EB6678D2E16}"/>
            </a:ext>
          </a:extLst>
        </xdr:cNvPr>
        <xdr:cNvSpPr/>
      </xdr:nvSpPr>
      <xdr:spPr bwMode="auto">
        <a:xfrm>
          <a:off x="2857500" y="66674"/>
          <a:ext cx="704850" cy="123825"/>
        </a:xfrm>
        <a:prstGeom prst="roundRect">
          <a:avLst/>
        </a:prstGeom>
        <a:solidFill>
          <a:srgbClr val="FFF4D1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r>
            <a:rPr lang="en-US" sz="800">
              <a:solidFill>
                <a:schemeClr val="bg2">
                  <a:lumMod val="75000"/>
                </a:schemeClr>
              </a:solidFill>
              <a:latin typeface="Lato" panose="020F0502020204030203" pitchFamily="34" charset="0"/>
            </a:rPr>
            <a:t>copiarNew</a:t>
          </a:r>
        </a:p>
      </xdr:txBody>
    </xdr:sp>
    <xdr:clientData/>
  </xdr:twoCellAnchor>
  <xdr:twoCellAnchor>
    <xdr:from>
      <xdr:col>5</xdr:col>
      <xdr:colOff>34925</xdr:colOff>
      <xdr:row>0</xdr:row>
      <xdr:rowOff>53977</xdr:rowOff>
    </xdr:from>
    <xdr:to>
      <xdr:col>6</xdr:col>
      <xdr:colOff>228600</xdr:colOff>
      <xdr:row>0</xdr:row>
      <xdr:rowOff>171451</xdr:rowOff>
    </xdr:to>
    <xdr:sp macro="[0]!GRABAR_REPORT" textlink="">
      <xdr:nvSpPr>
        <xdr:cNvPr id="4" name="Rectángulo: esquinas redondeadas 3">
          <a:extLst>
            <a:ext uri="{FF2B5EF4-FFF2-40B4-BE49-F238E27FC236}">
              <a16:creationId xmlns:a16="http://schemas.microsoft.com/office/drawing/2014/main" id="{756CEE3A-B137-42BE-B188-91D945D4B6DE}"/>
            </a:ext>
          </a:extLst>
        </xdr:cNvPr>
        <xdr:cNvSpPr/>
      </xdr:nvSpPr>
      <xdr:spPr bwMode="auto">
        <a:xfrm>
          <a:off x="2101850" y="53977"/>
          <a:ext cx="717550" cy="117474"/>
        </a:xfrm>
        <a:prstGeom prst="roundRect">
          <a:avLst/>
        </a:prstGeom>
        <a:solidFill>
          <a:schemeClr val="accent4">
            <a:lumMod val="60000"/>
            <a:lumOff val="40000"/>
          </a:schemeClr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r>
            <a:rPr lang="en-US" sz="800">
              <a:latin typeface="Lato" panose="020F0502020204030203" pitchFamily="34" charset="0"/>
              <a:ea typeface="+mn-ea"/>
              <a:cs typeface="+mn-cs"/>
            </a:rPr>
            <a:t>Grabar</a:t>
          </a:r>
          <a:r>
            <a:rPr lang="en-US" sz="800" baseline="0">
              <a:latin typeface="Lato" panose="020F0502020204030203" pitchFamily="34" charset="0"/>
              <a:ea typeface="+mn-ea"/>
              <a:cs typeface="+mn-cs"/>
            </a:rPr>
            <a:t> Report</a:t>
          </a:r>
          <a:endParaRPr lang="en-US" sz="800">
            <a:latin typeface="Lato" panose="020F0502020204030203" pitchFamily="34" charset="0"/>
            <a:ea typeface="+mn-ea"/>
            <a:cs typeface="+mn-cs"/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49901</xdr:colOff>
      <xdr:row>0</xdr:row>
      <xdr:rowOff>113876</xdr:rowOff>
    </xdr:from>
    <xdr:to>
      <xdr:col>31</xdr:col>
      <xdr:colOff>325437</xdr:colOff>
      <xdr:row>34</xdr:row>
      <xdr:rowOff>468313</xdr:rowOff>
    </xdr:to>
    <xdr:pic>
      <xdr:nvPicPr>
        <xdr:cNvPr id="5" name="Imagen 4">
          <a:extLst>
            <a:ext uri="{FF2B5EF4-FFF2-40B4-BE49-F238E27FC236}">
              <a16:creationId xmlns:a16="http://schemas.microsoft.com/office/drawing/2014/main" id="{F9704B88-ED9A-89BD-4148-09558E562AB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alphaModFix amt="26000"/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saturation sat="400000"/>
                  </a14:imgEffect>
                  <a14:imgEffect>
                    <a14:brightnessContrast contrast="-55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01" y="113876"/>
          <a:ext cx="7276411" cy="9768312"/>
        </a:xfrm>
        <a:prstGeom prst="rect">
          <a:avLst/>
        </a:prstGeom>
      </xdr:spPr>
    </xdr:pic>
    <xdr:clientData/>
  </xdr:twoCellAnchor>
  <xdr:twoCellAnchor editAs="oneCell">
    <xdr:from>
      <xdr:col>1</xdr:col>
      <xdr:colOff>9073</xdr:colOff>
      <xdr:row>0</xdr:row>
      <xdr:rowOff>70754</xdr:rowOff>
    </xdr:from>
    <xdr:to>
      <xdr:col>8</xdr:col>
      <xdr:colOff>95252</xdr:colOff>
      <xdr:row>2</xdr:row>
      <xdr:rowOff>93024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65DC91EC-8394-9EE6-61E5-A47EFF52EEA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350386" y="70754"/>
          <a:ext cx="1514929" cy="68902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0" row="0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FFD5D44E-8939-4AB1-AFDD-ADD1E51F9286}">
  <we:reference id="wa200005502" version="1.0.0.11" store="es-ES" storeType="OMEX"/>
  <we:alternateReferences>
    <we:reference id="wa200005502" version="1.0.0.11" store="" storeType="OMEX"/>
  </we:alternateReferences>
  <we:properties>
    <we:property name="docId" value="&quot;pEdO9UY3z8BPl7yfG8otf&quot;"/>
  </we:properties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_xldudf_GPT</we:customFunctionIds>
        <we:customFunctionIds>_xldudf_GPT_LIST</we:customFunctionIds>
        <we:customFunctionIds>_xldudf_GPT_HLIST</we:customFunctionIds>
        <we:customFunctionIds>_xldudf_GPT_CLASSIFY</we:customFunctionIds>
        <we:customFunctionIds>_xldudf_GPT_TRANSLATE</we:customFunctionIds>
        <we:customFunctionIds>_xldudf_GPT_EXTRACT</we:customFunctionIds>
        <we:customFunctionIds>_xldudf_GPT_TAG</we:customFunctionIds>
        <we:customFunctionIds>_xldudf_GPT_CONVERT</we:customFunctionIds>
        <we:customFunctionIds>_xldudf_GPT_FORMAT</we:customFunctionIds>
        <we:customFunctionIds>_xldudf_GPT_SUMMARIZE</we:customFunctionIds>
        <we:customFunctionIds>_xldudf_GPT_TABLE</we:customFunctionIds>
        <we:customFunctionIds>_xldudf_GPT_FILL</we:customFunctionIds>
        <we:customFunctionIds>_xldudf_GPT_SPLIT</we:customFunctionIds>
        <we:customFunctionIds>_xldudf_GPT_HSPLIT</we:customFunctionIds>
        <we:customFunctionIds>_xldudf_GPT_EDIT</we:customFunctionIds>
        <we:customFunctionIds>_xldudf_GPT_MATCH</we:customFunctionIds>
        <we:customFunctionIds>_xldudf_GPT_VISION</we:customFunctionIds>
        <we:customFunctionIds>_xldudf_GPT_WEB</we:customFunctionIds>
      </we:customFunctionIdList>
    </a:ext>
  </we:extLst>
</we:webextension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1:DD111"/>
  <sheetViews>
    <sheetView tabSelected="1" zoomScaleNormal="100" workbookViewId="0">
      <pane xSplit="7" ySplit="16" topLeftCell="H17" activePane="bottomRight" state="frozen"/>
      <selection pane="topRight" activeCell="H1" sqref="H1"/>
      <selection pane="bottomLeft" activeCell="A17" sqref="A17"/>
      <selection pane="bottomRight" activeCell="B3" sqref="B3:C3"/>
    </sheetView>
  </sheetViews>
  <sheetFormatPr defaultColWidth="0" defaultRowHeight="15" x14ac:dyDescent="0.2"/>
  <cols>
    <col min="1" max="1" width="1.5703125" customWidth="1"/>
    <col min="2" max="3" width="6.85546875" style="3" customWidth="1"/>
    <col min="4" max="7" width="7.85546875" style="3" customWidth="1"/>
    <col min="8" max="8" width="12.42578125" style="4" customWidth="1"/>
    <col min="9" max="9" width="11.85546875" style="3" bestFit="1" customWidth="1"/>
    <col min="10" max="13" width="22" style="3" customWidth="1"/>
    <col min="14" max="14" width="41.140625" style="3" bestFit="1" customWidth="1"/>
    <col min="15" max="15" width="13.5703125" hidden="1" customWidth="1"/>
    <col min="16" max="16" width="5.42578125" hidden="1" customWidth="1"/>
    <col min="17" max="17" width="21.140625" style="87" hidden="1" customWidth="1"/>
    <col min="18" max="18" width="2.7109375" hidden="1" customWidth="1"/>
    <col min="19" max="20" width="2.7109375" style="91" hidden="1" customWidth="1"/>
    <col min="21" max="21" width="2.7109375" style="97" hidden="1" customWidth="1"/>
    <col min="22" max="24" width="2.7109375" style="91" hidden="1" customWidth="1"/>
    <col min="25" max="25" width="2.7109375" style="98" hidden="1" customWidth="1"/>
    <col min="26" max="26" width="9.5703125" style="87" hidden="1" customWidth="1"/>
    <col min="27" max="27" width="2.7109375" style="91" hidden="1" customWidth="1"/>
    <col min="28" max="28" width="2.7109375" style="97" hidden="1" customWidth="1"/>
    <col min="29" max="29" width="2.7109375" style="99" hidden="1" customWidth="1"/>
    <col min="30" max="30" width="2.7109375" style="91" hidden="1" customWidth="1"/>
    <col min="31" max="31" width="2.7109375" style="97" hidden="1" customWidth="1"/>
    <col min="32" max="46" width="2.7109375" style="91" hidden="1" customWidth="1"/>
    <col min="47" max="47" width="2.7109375" style="99" hidden="1" customWidth="1"/>
    <col min="48" max="48" width="2.7109375" style="91" hidden="1" customWidth="1"/>
    <col min="49" max="52" width="2.7109375" style="99" hidden="1" customWidth="1"/>
    <col min="53" max="53" width="2.7109375" style="91" hidden="1" customWidth="1"/>
    <col min="54" max="54" width="2.7109375" style="99" hidden="1" customWidth="1"/>
    <col min="55" max="71" width="2.7109375" style="91" hidden="1" customWidth="1"/>
    <col min="72" max="16384" width="2.7109375" style="64" hidden="1"/>
  </cols>
  <sheetData>
    <row r="1" spans="1:108" s="63" customFormat="1" ht="32.25" customHeight="1" thickBot="1" x14ac:dyDescent="0.3">
      <c r="A1" s="42"/>
      <c r="B1" s="53" t="s">
        <v>160</v>
      </c>
      <c r="C1" s="114" t="str">
        <f>TEXT(IF(C2/10=INT(C2/10),INT(C2/10),INT(C2/10)+1),"00")</f>
        <v>30</v>
      </c>
      <c r="D1" s="124" t="s">
        <v>751</v>
      </c>
      <c r="E1" s="125">
        <v>2025</v>
      </c>
      <c r="F1" s="120" t="str">
        <f>TEXT(C1,"00") &amp; "_" &amp; TEXT(C2,"000")&amp; "_" &amp; H4 &amp; "_" &amp; H5 &amp; "_" &amp; B2</f>
        <v>30_294_PAR_DUB_E2025</v>
      </c>
      <c r="G1" s="5"/>
      <c r="H1" s="5"/>
      <c r="I1" s="5"/>
      <c r="J1" s="8" t="s">
        <v>707</v>
      </c>
      <c r="K1" s="121" t="s">
        <v>742</v>
      </c>
      <c r="L1" s="121"/>
      <c r="M1" s="122" t="s">
        <v>239</v>
      </c>
      <c r="N1" s="121" t="s">
        <v>742</v>
      </c>
      <c r="O1" s="5"/>
      <c r="P1" s="5"/>
      <c r="Q1" s="84" t="s">
        <v>169</v>
      </c>
      <c r="R1" s="93"/>
      <c r="S1" s="61"/>
      <c r="T1" s="61"/>
      <c r="U1" s="62"/>
      <c r="V1" s="61"/>
      <c r="W1" s="61"/>
      <c r="X1" s="61"/>
      <c r="Y1" s="61"/>
      <c r="Z1" s="84"/>
      <c r="AA1" s="61"/>
      <c r="AB1" s="62"/>
      <c r="AC1" s="61"/>
      <c r="AD1" s="61"/>
      <c r="AE1" s="62"/>
      <c r="AF1" s="61"/>
      <c r="AG1" s="61"/>
      <c r="AH1" s="61"/>
      <c r="AI1" s="61"/>
      <c r="AM1" s="61"/>
      <c r="AN1" s="61"/>
      <c r="AO1" s="61"/>
      <c r="AP1" s="61"/>
      <c r="AQ1" s="61"/>
      <c r="AR1" s="61"/>
      <c r="AS1" s="61"/>
      <c r="AT1" s="61"/>
      <c r="AU1" s="61"/>
      <c r="AV1" s="61"/>
      <c r="AW1" s="61"/>
      <c r="AX1" s="61"/>
      <c r="AY1" s="61"/>
      <c r="AZ1" s="61"/>
      <c r="BA1" s="61"/>
      <c r="BB1" s="61"/>
      <c r="BC1" s="61"/>
      <c r="BD1" s="61"/>
      <c r="BE1" s="61"/>
      <c r="BF1" s="61"/>
      <c r="BG1" s="25"/>
      <c r="BH1" s="25"/>
      <c r="BI1" s="25"/>
      <c r="BJ1" s="25"/>
      <c r="BK1" s="25"/>
      <c r="BL1" s="25"/>
      <c r="BM1" s="25"/>
      <c r="BN1" s="25"/>
      <c r="BO1" s="25"/>
      <c r="BP1" s="25"/>
      <c r="BQ1" s="25"/>
      <c r="BR1" s="25"/>
      <c r="BS1" s="25"/>
      <c r="BT1" s="61"/>
      <c r="BU1" s="61"/>
      <c r="BV1" s="61"/>
      <c r="BW1" s="61"/>
      <c r="BX1" s="61"/>
      <c r="BY1" s="61"/>
      <c r="BZ1" s="61"/>
      <c r="CA1" s="61"/>
      <c r="CB1" s="61"/>
      <c r="CC1" s="61"/>
      <c r="CD1" s="61"/>
      <c r="CE1" s="61"/>
      <c r="CF1" s="61"/>
      <c r="CG1" s="61"/>
      <c r="CH1" s="61"/>
      <c r="CI1" s="61"/>
      <c r="CJ1" s="61"/>
      <c r="CK1" s="61"/>
      <c r="CL1" s="61"/>
      <c r="CM1" s="61"/>
      <c r="CN1" s="61"/>
      <c r="CO1" s="61"/>
      <c r="CP1" s="61"/>
      <c r="CQ1" s="61"/>
      <c r="CR1" s="61"/>
      <c r="CS1" s="61"/>
      <c r="CT1" s="61"/>
      <c r="CU1" s="61"/>
      <c r="CV1" s="61"/>
      <c r="CW1" s="61"/>
      <c r="CX1" s="61"/>
      <c r="CY1" s="61"/>
      <c r="CZ1" s="61"/>
      <c r="DA1" s="61"/>
      <c r="DB1" s="61"/>
      <c r="DC1" s="61"/>
      <c r="DD1" s="61"/>
    </row>
    <row r="2" spans="1:108" ht="26.25" thickBot="1" x14ac:dyDescent="0.25">
      <c r="A2" s="1"/>
      <c r="B2" s="117" t="str">
        <f>D1&amp;E1</f>
        <v>E2025</v>
      </c>
      <c r="C2" s="123">
        <v>294</v>
      </c>
      <c r="D2" s="115" t="s">
        <v>73</v>
      </c>
      <c r="E2" s="116"/>
      <c r="F2" s="55" t="s">
        <v>112</v>
      </c>
      <c r="G2" s="56" t="s">
        <v>72</v>
      </c>
      <c r="H2" s="5"/>
      <c r="I2" s="5"/>
      <c r="J2" s="8" t="s">
        <v>240</v>
      </c>
      <c r="K2" s="121"/>
      <c r="L2" s="2"/>
      <c r="M2" s="57"/>
      <c r="N2" s="121"/>
      <c r="O2" s="2"/>
      <c r="P2" s="2"/>
      <c r="Q2" s="84"/>
      <c r="R2" s="94" t="s">
        <v>72</v>
      </c>
      <c r="S2" s="61" t="s">
        <v>13</v>
      </c>
      <c r="T2" s="64"/>
      <c r="U2" s="61" t="s">
        <v>5</v>
      </c>
      <c r="V2" s="61" t="s">
        <v>6</v>
      </c>
      <c r="W2" s="61" t="s">
        <v>47</v>
      </c>
      <c r="X2" s="61" t="s">
        <v>75</v>
      </c>
      <c r="Y2" s="65" t="s">
        <v>48</v>
      </c>
      <c r="Z2" s="105" t="s">
        <v>7</v>
      </c>
      <c r="AA2" s="65" t="s">
        <v>46</v>
      </c>
      <c r="AB2" s="65" t="s">
        <v>78</v>
      </c>
      <c r="AC2" s="65" t="s">
        <v>19</v>
      </c>
      <c r="AD2" s="65" t="s">
        <v>24</v>
      </c>
      <c r="AE2" s="65" t="s">
        <v>36</v>
      </c>
      <c r="AF2" s="67" t="s">
        <v>76</v>
      </c>
      <c r="AG2" s="67" t="s">
        <v>114</v>
      </c>
      <c r="AH2" s="61"/>
      <c r="AI2" s="61"/>
      <c r="AJ2" s="64"/>
      <c r="AK2" s="64"/>
      <c r="AL2" s="64"/>
      <c r="AM2" s="61"/>
      <c r="AN2" s="61"/>
      <c r="AO2" s="61"/>
      <c r="AP2" s="61"/>
      <c r="AQ2" s="61"/>
      <c r="AR2" s="61"/>
      <c r="AS2" s="61"/>
      <c r="AT2" s="61"/>
      <c r="AU2" s="61"/>
      <c r="AV2" s="61"/>
      <c r="AW2" s="61"/>
      <c r="AX2" s="61"/>
      <c r="AY2" s="61"/>
      <c r="AZ2" s="61"/>
      <c r="BA2" s="61"/>
      <c r="BB2" s="61"/>
      <c r="BC2" s="61"/>
      <c r="BD2" s="61"/>
      <c r="BE2" s="61"/>
      <c r="BF2" s="61"/>
      <c r="BG2" s="25"/>
      <c r="BH2" s="25"/>
      <c r="BI2" s="25"/>
      <c r="BJ2" s="25"/>
      <c r="BK2" s="25"/>
      <c r="BL2" s="25"/>
      <c r="BM2" s="25"/>
      <c r="BN2" s="25"/>
      <c r="BO2" s="25"/>
      <c r="BP2" s="25"/>
      <c r="BQ2" s="25"/>
      <c r="BR2" s="25"/>
      <c r="BS2" s="25"/>
      <c r="BT2" s="61"/>
      <c r="BU2" s="61"/>
      <c r="BV2" s="61"/>
      <c r="BW2" s="61"/>
      <c r="BX2" s="61"/>
      <c r="BY2" s="61"/>
      <c r="BZ2" s="61"/>
      <c r="CA2" s="61"/>
      <c r="CB2" s="61"/>
      <c r="CC2" s="61"/>
      <c r="CD2" s="61"/>
      <c r="CE2" s="61"/>
      <c r="CF2" s="61"/>
      <c r="CG2" s="61"/>
      <c r="CH2" s="61"/>
      <c r="CI2" s="61"/>
      <c r="CJ2" s="61"/>
      <c r="CK2" s="61"/>
      <c r="CL2" s="61"/>
      <c r="CM2" s="61"/>
      <c r="CN2" s="61"/>
      <c r="CO2" s="61"/>
      <c r="CP2" s="61"/>
      <c r="CQ2" s="61"/>
      <c r="CR2" s="61"/>
      <c r="CS2" s="61"/>
      <c r="CT2" s="61"/>
      <c r="CU2" s="61"/>
      <c r="CV2" s="61"/>
      <c r="CW2" s="61"/>
      <c r="CX2" s="61"/>
      <c r="CY2" s="61"/>
      <c r="CZ2" s="61"/>
      <c r="DA2" s="61"/>
      <c r="DB2" s="61"/>
      <c r="DC2" s="61"/>
      <c r="DD2" s="61"/>
    </row>
    <row r="3" spans="1:108" ht="13.5" thickBot="1" x14ac:dyDescent="0.25">
      <c r="A3" s="1"/>
      <c r="B3" s="177">
        <f ca="1">IF(ISERROR(VLOOKUP($B$2&amp;TEXT($C$2,"000"),GAMES!$A$3:$I$562,8,FALSE)),NOW(),VLOOKUP($B$2&amp;TEXT($C$2,"000"),GAMES!$A$3:$I$562,8,FALSE))</f>
        <v>46086.854166666664</v>
      </c>
      <c r="C3" s="178"/>
      <c r="D3" s="39">
        <v>0</v>
      </c>
      <c r="E3" s="29"/>
      <c r="F3" s="26">
        <f>SUBTOTAL(3,I17:I106)</f>
        <v>0</v>
      </c>
      <c r="G3" s="27" t="str">
        <f>IF(OR(D3="",D3=0),"",F3/D3)</f>
        <v/>
      </c>
      <c r="H3" s="5"/>
      <c r="I3" s="5"/>
      <c r="J3" s="119" t="s">
        <v>715</v>
      </c>
      <c r="K3" s="54" t="str">
        <f>"N:\2024-2025 Season\Stats &amp; Systems\Stats\Estadisticas\Jornadas" &amp; "\EuroCup\Jornada01"</f>
        <v>N:\2024-2025 Season\Stats &amp; Systems\Stats\Estadisticas\Jornadas\EuroCup\Jornada01</v>
      </c>
      <c r="L3" s="5"/>
      <c r="M3" s="179" t="s">
        <v>163</v>
      </c>
      <c r="N3" s="180"/>
      <c r="O3" s="2"/>
      <c r="P3" s="2"/>
      <c r="Q3" s="84" t="s">
        <v>173</v>
      </c>
      <c r="R3" s="94">
        <v>100</v>
      </c>
      <c r="S3" s="61">
        <f>1</f>
        <v>1</v>
      </c>
      <c r="T3" s="78"/>
      <c r="U3" s="61">
        <f>AD18</f>
        <v>0.5</v>
      </c>
      <c r="V3" s="61">
        <f>AD22</f>
        <v>1</v>
      </c>
      <c r="W3" s="61">
        <v>1</v>
      </c>
      <c r="X3" s="61">
        <v>1</v>
      </c>
      <c r="Y3" s="61">
        <v>2</v>
      </c>
      <c r="Z3" s="84">
        <v>2.5</v>
      </c>
      <c r="AA3" s="61">
        <v>5</v>
      </c>
      <c r="AB3" s="61">
        <v>5</v>
      </c>
      <c r="AC3" s="61">
        <v>10</v>
      </c>
      <c r="AD3" s="61">
        <v>10</v>
      </c>
      <c r="AE3" s="61">
        <v>10</v>
      </c>
      <c r="AF3" s="61">
        <v>15</v>
      </c>
      <c r="AG3" s="61">
        <v>20</v>
      </c>
      <c r="AH3" s="61"/>
      <c r="AI3" s="61"/>
      <c r="AJ3" s="64"/>
      <c r="AK3" s="64"/>
      <c r="AL3" s="64"/>
      <c r="AM3" s="61"/>
      <c r="AN3" s="61"/>
      <c r="AO3" s="61"/>
      <c r="AP3" s="61"/>
      <c r="AQ3" s="61"/>
      <c r="AR3" s="61"/>
      <c r="AS3" s="61"/>
      <c r="AT3" s="61"/>
      <c r="AU3" s="61"/>
      <c r="AV3" s="61"/>
      <c r="AW3" s="61"/>
      <c r="AX3" s="61"/>
      <c r="AY3" s="61"/>
      <c r="AZ3" s="61"/>
      <c r="BA3" s="61"/>
      <c r="BB3" s="61"/>
      <c r="BC3" s="61"/>
      <c r="BD3" s="61"/>
      <c r="BE3" s="61"/>
      <c r="BF3" s="61"/>
      <c r="BG3" s="25"/>
      <c r="BH3" s="25"/>
      <c r="BI3" s="25"/>
      <c r="BJ3" s="25"/>
      <c r="BK3" s="25"/>
      <c r="BL3" s="25"/>
      <c r="BM3" s="25"/>
      <c r="BN3" s="25"/>
      <c r="BO3" s="25"/>
      <c r="BP3" s="25"/>
      <c r="BQ3" s="25"/>
      <c r="BR3" s="25"/>
      <c r="BS3" s="25"/>
      <c r="BT3" s="61"/>
      <c r="BU3" s="61"/>
      <c r="BV3" s="61"/>
      <c r="BW3" s="61"/>
      <c r="BX3" s="61"/>
      <c r="BY3" s="61"/>
      <c r="BZ3" s="61"/>
      <c r="CA3" s="61"/>
      <c r="CB3" s="61"/>
      <c r="CC3" s="61"/>
      <c r="CD3" s="61"/>
      <c r="CE3" s="61"/>
      <c r="CF3" s="61"/>
      <c r="CG3" s="61"/>
      <c r="CH3" s="61"/>
      <c r="CI3" s="61"/>
      <c r="CJ3" s="61"/>
      <c r="CK3" s="61"/>
      <c r="CL3" s="61"/>
      <c r="CM3" s="61"/>
      <c r="CN3" s="61"/>
      <c r="CO3" s="61"/>
      <c r="CP3" s="61"/>
      <c r="CQ3" s="61"/>
      <c r="CR3" s="61"/>
      <c r="CS3" s="61"/>
      <c r="CT3" s="61"/>
      <c r="CU3" s="61"/>
      <c r="CV3" s="61"/>
      <c r="CW3" s="61"/>
      <c r="CX3" s="61"/>
      <c r="CY3" s="61"/>
      <c r="CZ3" s="61"/>
      <c r="DA3" s="61"/>
      <c r="DB3" s="61"/>
      <c r="DC3" s="61"/>
      <c r="DD3" s="61"/>
    </row>
    <row r="4" spans="1:108" ht="12.75" x14ac:dyDescent="0.2">
      <c r="A4" s="2"/>
      <c r="B4" s="167" t="s">
        <v>86</v>
      </c>
      <c r="C4" s="168"/>
      <c r="D4" s="181" t="str">
        <f>IF(ISERROR(VLOOKUP(H4,Teams!$B$2:$C$44,2,FALSE)),"Local Team",VLOOKUP(H4,Teams!$B$2:$C$44,2,FALSE))</f>
        <v>Partizan Mozzart Bet Belgrade</v>
      </c>
      <c r="E4" s="182"/>
      <c r="F4" s="182"/>
      <c r="G4" s="183"/>
      <c r="H4" s="118" t="str">
        <f>IF(ISERROR(VLOOKUP($B$2&amp;TEXT($C$2,"000"),GAMES!$A$3:$I$562,6,FALSE)),"LOC",VLOOKUP($B$2&amp;TEXT($C$2,"000"),GAMES!$A$3:$I$562,6,FALSE))</f>
        <v>PAR</v>
      </c>
      <c r="I4" s="5"/>
      <c r="J4" s="119" t="s">
        <v>714</v>
      </c>
      <c r="K4" s="54" t="s">
        <v>743</v>
      </c>
      <c r="L4" s="5"/>
      <c r="M4" s="185" t="s">
        <v>750</v>
      </c>
      <c r="N4" s="186"/>
      <c r="O4" s="2"/>
      <c r="P4" s="2"/>
      <c r="Q4" s="84" t="s">
        <v>175</v>
      </c>
      <c r="R4" s="94">
        <f>(IF(G3="",0,G3))</f>
        <v>0</v>
      </c>
      <c r="S4" s="61">
        <f>SUM(I13:M13)</f>
        <v>0</v>
      </c>
      <c r="T4" s="78"/>
      <c r="U4" s="61">
        <f>AC18</f>
        <v>0</v>
      </c>
      <c r="V4" s="61">
        <f>+AC22</f>
        <v>0</v>
      </c>
      <c r="W4" s="61">
        <f>AC24</f>
        <v>0</v>
      </c>
      <c r="X4" s="61">
        <f>AC29</f>
        <v>0</v>
      </c>
      <c r="Y4" s="61">
        <f>AC25</f>
        <v>0</v>
      </c>
      <c r="Z4" s="84">
        <f>AC23</f>
        <v>0</v>
      </c>
      <c r="AA4" s="61">
        <f>AC21</f>
        <v>0</v>
      </c>
      <c r="AB4" s="61">
        <f>AC27</f>
        <v>0</v>
      </c>
      <c r="AC4" s="61">
        <f>AC17</f>
        <v>0</v>
      </c>
      <c r="AD4" s="61">
        <f>AC20</f>
        <v>0</v>
      </c>
      <c r="AE4" s="61">
        <f>AC28</f>
        <v>0</v>
      </c>
      <c r="AF4" s="61">
        <f>AC19</f>
        <v>0</v>
      </c>
      <c r="AG4" s="61">
        <f>AC37</f>
        <v>0</v>
      </c>
      <c r="AH4" s="61"/>
      <c r="AI4" s="61"/>
      <c r="AJ4" s="64"/>
      <c r="AK4" s="64"/>
      <c r="AL4" s="64"/>
      <c r="AM4" s="61"/>
      <c r="AN4" s="61"/>
      <c r="AO4" s="61"/>
      <c r="AP4" s="61"/>
      <c r="AQ4" s="61"/>
      <c r="AR4" s="61"/>
      <c r="AS4" s="61"/>
      <c r="AT4" s="61"/>
      <c r="AU4" s="61"/>
      <c r="AV4" s="61"/>
      <c r="AW4" s="61"/>
      <c r="AX4" s="61"/>
      <c r="AY4" s="61"/>
      <c r="AZ4" s="61"/>
      <c r="BA4" s="61"/>
      <c r="BB4" s="61"/>
      <c r="BC4" s="61"/>
      <c r="BD4" s="61"/>
      <c r="BE4" s="61"/>
      <c r="BF4" s="61"/>
      <c r="BG4" s="25"/>
      <c r="BH4" s="25"/>
      <c r="BI4" s="25"/>
      <c r="BJ4" s="25"/>
      <c r="BK4" s="25"/>
      <c r="BL4" s="25"/>
      <c r="BM4" s="25"/>
      <c r="BN4" s="25"/>
      <c r="BO4" s="25"/>
      <c r="BP4" s="25"/>
      <c r="BQ4" s="25"/>
      <c r="BR4" s="25"/>
      <c r="BS4" s="25"/>
      <c r="BT4" s="61"/>
      <c r="BU4" s="61"/>
      <c r="BV4" s="61"/>
      <c r="BW4" s="61"/>
      <c r="BX4" s="61"/>
      <c r="BY4" s="61"/>
      <c r="BZ4" s="61"/>
      <c r="CA4" s="61"/>
      <c r="CB4" s="61"/>
      <c r="CC4" s="61"/>
      <c r="CD4" s="61"/>
      <c r="CE4" s="61"/>
      <c r="CF4" s="61"/>
      <c r="CG4" s="61"/>
      <c r="CH4" s="61"/>
      <c r="CI4" s="61"/>
      <c r="CJ4" s="61"/>
      <c r="CK4" s="61"/>
      <c r="CL4" s="61"/>
      <c r="CM4" s="61"/>
      <c r="CN4" s="61"/>
      <c r="CO4" s="61"/>
      <c r="CP4" s="61"/>
      <c r="CQ4" s="61"/>
      <c r="CR4" s="61"/>
      <c r="CS4" s="61"/>
      <c r="CT4" s="61"/>
      <c r="CU4" s="61"/>
      <c r="CV4" s="61"/>
      <c r="CW4" s="61"/>
      <c r="CX4" s="61"/>
      <c r="CY4" s="61"/>
      <c r="CZ4" s="61"/>
      <c r="DA4" s="61"/>
      <c r="DB4" s="61"/>
      <c r="DC4" s="61"/>
      <c r="DD4" s="61"/>
    </row>
    <row r="5" spans="1:108" ht="13.5" thickBot="1" x14ac:dyDescent="0.25">
      <c r="A5" s="2"/>
      <c r="B5" s="171" t="s">
        <v>87</v>
      </c>
      <c r="C5" s="184"/>
      <c r="D5" s="191" t="str">
        <f>IF(ISERROR(VLOOKUP(H5,Teams!$B$2:$C$44,2,FALSE)),"Visitor Team",VLOOKUP(H5,Teams!$B$2:$C$44,2,FALSE))</f>
        <v>Dubai Basketball</v>
      </c>
      <c r="E5" s="192"/>
      <c r="F5" s="192"/>
      <c r="G5" s="193"/>
      <c r="H5" s="118" t="str">
        <f>IF(ISERROR(VLOOKUP($B$2&amp;TEXT($C$2,"000"),GAMES!$A$3:$I$562,7,FALSE)),"VIS",VLOOKUP($B$2&amp;TEXT($C$2,"000"),GAMES!$A$3:$I$562,7,FALSE))</f>
        <v>DUB</v>
      </c>
      <c r="I5" s="5"/>
      <c r="J5" s="5"/>
      <c r="K5" s="5"/>
      <c r="L5" s="5"/>
      <c r="M5" s="187"/>
      <c r="N5" s="188"/>
      <c r="O5" s="2"/>
      <c r="P5" s="2"/>
      <c r="Q5" s="89" t="s">
        <v>174</v>
      </c>
      <c r="R5" s="94">
        <f>R4*R3</f>
        <v>0</v>
      </c>
      <c r="S5" s="70">
        <f t="shared" ref="S5" si="0">S4*S3</f>
        <v>0</v>
      </c>
      <c r="T5" s="92"/>
      <c r="U5" s="70">
        <f t="shared" ref="U5:AG5" si="1">U4*U3</f>
        <v>0</v>
      </c>
      <c r="V5" s="70">
        <f t="shared" si="1"/>
        <v>0</v>
      </c>
      <c r="W5" s="70">
        <f t="shared" si="1"/>
        <v>0</v>
      </c>
      <c r="X5" s="70">
        <f t="shared" si="1"/>
        <v>0</v>
      </c>
      <c r="Y5" s="70">
        <f t="shared" si="1"/>
        <v>0</v>
      </c>
      <c r="Z5" s="89">
        <f t="shared" si="1"/>
        <v>0</v>
      </c>
      <c r="AA5" s="70">
        <f t="shared" si="1"/>
        <v>0</v>
      </c>
      <c r="AB5" s="70">
        <f t="shared" si="1"/>
        <v>0</v>
      </c>
      <c r="AC5" s="70">
        <f t="shared" si="1"/>
        <v>0</v>
      </c>
      <c r="AD5" s="70">
        <f t="shared" si="1"/>
        <v>0</v>
      </c>
      <c r="AE5" s="70">
        <f t="shared" si="1"/>
        <v>0</v>
      </c>
      <c r="AF5" s="70">
        <f t="shared" si="1"/>
        <v>0</v>
      </c>
      <c r="AG5" s="70">
        <f t="shared" si="1"/>
        <v>0</v>
      </c>
      <c r="AH5" s="61"/>
      <c r="AI5" s="61"/>
      <c r="AJ5" s="64"/>
      <c r="AK5" s="64"/>
      <c r="AL5" s="64"/>
      <c r="AM5" s="61"/>
      <c r="AN5" s="61"/>
      <c r="AO5" s="61"/>
      <c r="AP5" s="61"/>
      <c r="AQ5" s="61"/>
      <c r="AR5" s="61"/>
      <c r="AS5" s="61"/>
      <c r="AT5" s="61"/>
      <c r="AU5" s="61"/>
      <c r="AV5" s="61"/>
      <c r="AW5" s="61"/>
      <c r="AX5" s="61"/>
      <c r="AY5" s="61"/>
      <c r="AZ5" s="61"/>
      <c r="BA5" s="61"/>
      <c r="BB5" s="61"/>
      <c r="BC5" s="61"/>
      <c r="BD5" s="61"/>
      <c r="BE5" s="61"/>
      <c r="BF5" s="61"/>
      <c r="BG5" s="25"/>
      <c r="BH5" s="25"/>
      <c r="BI5" s="25"/>
      <c r="BJ5" s="25"/>
      <c r="BK5" s="25"/>
      <c r="BL5" s="25"/>
      <c r="BM5" s="25"/>
      <c r="BN5" s="25"/>
      <c r="BO5" s="25"/>
      <c r="BP5" s="25"/>
      <c r="BQ5" s="25"/>
      <c r="BR5" s="25"/>
      <c r="BS5" s="25"/>
      <c r="BT5" s="61"/>
      <c r="BU5" s="61"/>
      <c r="BV5" s="61"/>
      <c r="BW5" s="61"/>
      <c r="BX5" s="61"/>
      <c r="BY5" s="61"/>
      <c r="BZ5" s="61"/>
      <c r="CA5" s="61"/>
      <c r="CB5" s="61"/>
      <c r="CC5" s="61"/>
      <c r="CD5" s="61"/>
      <c r="CE5" s="61"/>
      <c r="CF5" s="61"/>
      <c r="CG5" s="61"/>
      <c r="CH5" s="61"/>
      <c r="CI5" s="61"/>
      <c r="CJ5" s="61"/>
      <c r="CK5" s="61"/>
      <c r="CL5" s="61"/>
      <c r="CM5" s="61"/>
      <c r="CN5" s="61"/>
      <c r="CO5" s="61"/>
      <c r="CP5" s="61"/>
      <c r="CQ5" s="61"/>
      <c r="CR5" s="61"/>
      <c r="CS5" s="61"/>
      <c r="CT5" s="61"/>
      <c r="CU5" s="61"/>
      <c r="CV5" s="61"/>
      <c r="CW5" s="61"/>
      <c r="CX5" s="61"/>
      <c r="CY5" s="61"/>
      <c r="CZ5" s="61"/>
      <c r="DA5" s="61"/>
      <c r="DB5" s="61"/>
      <c r="DC5" s="61"/>
      <c r="DD5" s="61"/>
    </row>
    <row r="6" spans="1:108" ht="13.5" thickBot="1" x14ac:dyDescent="0.25">
      <c r="A6" s="2"/>
      <c r="B6" s="167" t="s">
        <v>95</v>
      </c>
      <c r="C6" s="168"/>
      <c r="D6" s="158" t="str">
        <f>H7</f>
        <v>Data entry Name</v>
      </c>
      <c r="E6" s="159"/>
      <c r="F6" s="159"/>
      <c r="G6" s="160"/>
      <c r="H6" s="5"/>
      <c r="I6" s="5"/>
      <c r="J6" s="5"/>
      <c r="K6" s="5"/>
      <c r="L6" s="2"/>
      <c r="M6" s="189"/>
      <c r="N6" s="190"/>
      <c r="O6" s="2"/>
      <c r="P6" s="2"/>
      <c r="Q6" s="91"/>
      <c r="R6" s="95"/>
      <c r="S6" s="64"/>
      <c r="T6" s="64"/>
      <c r="U6" s="68"/>
      <c r="V6" s="64"/>
      <c r="W6" s="64"/>
      <c r="X6" s="64"/>
      <c r="Y6" s="64"/>
      <c r="Z6" s="106"/>
      <c r="AA6" s="64"/>
      <c r="AB6" s="68"/>
      <c r="AC6" s="64"/>
      <c r="AD6" s="69"/>
      <c r="AE6" s="68"/>
      <c r="AF6" s="64"/>
      <c r="AG6" s="64"/>
      <c r="AH6" s="61"/>
      <c r="AI6" s="61"/>
      <c r="AJ6" s="64"/>
      <c r="AK6" s="64"/>
      <c r="AL6" s="64"/>
      <c r="AM6" s="61"/>
      <c r="AN6" s="61"/>
      <c r="AO6" s="61"/>
      <c r="AP6" s="61"/>
      <c r="AQ6" s="61"/>
      <c r="AR6" s="61"/>
      <c r="AS6" s="61"/>
      <c r="AT6" s="61"/>
      <c r="AU6" s="61"/>
      <c r="AV6" s="61"/>
      <c r="AW6" s="61"/>
      <c r="AX6" s="61"/>
      <c r="AY6" s="61"/>
      <c r="AZ6" s="61"/>
      <c r="BA6" s="61"/>
      <c r="BB6" s="61"/>
      <c r="BC6" s="61"/>
      <c r="BD6" s="61"/>
      <c r="BE6" s="61"/>
      <c r="BF6" s="61"/>
      <c r="BG6" s="25"/>
      <c r="BH6" s="25"/>
      <c r="BI6" s="25"/>
      <c r="BJ6" s="25"/>
      <c r="BK6" s="25"/>
      <c r="BL6" s="25"/>
      <c r="BM6" s="25"/>
      <c r="BN6" s="25"/>
      <c r="BO6" s="25"/>
      <c r="BP6" s="25"/>
      <c r="BQ6" s="25"/>
      <c r="BR6" s="25"/>
      <c r="BS6" s="25"/>
      <c r="BT6" s="61"/>
      <c r="BU6" s="61"/>
      <c r="BV6" s="61"/>
      <c r="BW6" s="61"/>
      <c r="BX6" s="61"/>
      <c r="BY6" s="61"/>
      <c r="BZ6" s="61"/>
      <c r="CA6" s="61"/>
      <c r="CB6" s="61"/>
      <c r="CC6" s="61"/>
      <c r="CD6" s="61"/>
      <c r="CE6" s="61"/>
      <c r="CF6" s="61"/>
      <c r="CG6" s="61"/>
      <c r="CH6" s="61"/>
      <c r="CI6" s="61"/>
      <c r="CJ6" s="61"/>
      <c r="CK6" s="61"/>
      <c r="CL6" s="61"/>
      <c r="CM6" s="61"/>
      <c r="CN6" s="61"/>
      <c r="CO6" s="61"/>
      <c r="CP6" s="61"/>
      <c r="CQ6" s="61"/>
      <c r="CR6" s="61"/>
      <c r="CS6" s="61"/>
      <c r="CT6" s="61"/>
      <c r="CU6" s="61"/>
      <c r="CV6" s="61"/>
      <c r="CW6" s="61"/>
      <c r="CX6" s="61"/>
      <c r="CY6" s="61"/>
      <c r="CZ6" s="61"/>
      <c r="DA6" s="61"/>
      <c r="DB6" s="61"/>
      <c r="DC6" s="61"/>
      <c r="DD6" s="61"/>
    </row>
    <row r="7" spans="1:108" ht="12.75" x14ac:dyDescent="0.2">
      <c r="A7" s="2"/>
      <c r="B7" s="169" t="s">
        <v>96</v>
      </c>
      <c r="C7" s="170"/>
      <c r="D7" s="158" t="str">
        <f>I7</f>
        <v>Caller 1 Name</v>
      </c>
      <c r="E7" s="159"/>
      <c r="F7" s="159"/>
      <c r="G7" s="160"/>
      <c r="H7" s="129" t="s">
        <v>709</v>
      </c>
      <c r="I7" s="129" t="s">
        <v>710</v>
      </c>
      <c r="J7" s="129" t="s">
        <v>711</v>
      </c>
      <c r="K7" s="129" t="s">
        <v>712</v>
      </c>
      <c r="L7" s="129" t="s">
        <v>713</v>
      </c>
      <c r="M7" s="58">
        <f>Q7</f>
        <v>0</v>
      </c>
      <c r="N7" s="58"/>
      <c r="O7" s="2"/>
      <c r="P7" s="2"/>
      <c r="Q7" s="86">
        <f>SUM(R5,S5,AC16)</f>
        <v>0</v>
      </c>
      <c r="R7" s="94"/>
      <c r="S7" s="61"/>
      <c r="T7" s="64"/>
      <c r="U7" s="62"/>
      <c r="V7" s="61"/>
      <c r="W7" s="61"/>
      <c r="X7" s="61"/>
      <c r="Y7" s="61"/>
      <c r="Z7" s="84"/>
      <c r="AA7" s="61"/>
      <c r="AB7" s="62"/>
      <c r="AC7" s="61"/>
      <c r="AD7" s="61"/>
      <c r="AE7" s="62"/>
      <c r="AF7" s="61"/>
      <c r="AG7" s="61"/>
      <c r="AH7" s="61"/>
      <c r="AI7" s="61"/>
      <c r="AJ7" s="64"/>
      <c r="AK7" s="64"/>
      <c r="AL7" s="64"/>
      <c r="AM7" s="61"/>
      <c r="AN7" s="61"/>
      <c r="AO7" s="61"/>
      <c r="AP7" s="61"/>
      <c r="AQ7" s="61"/>
      <c r="AR7" s="61"/>
      <c r="AS7" s="61"/>
      <c r="AT7" s="61"/>
      <c r="AU7" s="61"/>
      <c r="AV7" s="61"/>
      <c r="AW7" s="61"/>
      <c r="AX7" s="61"/>
      <c r="AY7" s="61"/>
      <c r="AZ7" s="61"/>
      <c r="BA7" s="61"/>
      <c r="BB7" s="61"/>
      <c r="BC7" s="61"/>
      <c r="BD7" s="61"/>
      <c r="BE7" s="61"/>
      <c r="BF7" s="61"/>
      <c r="BG7" s="25"/>
      <c r="BH7" s="25"/>
      <c r="BI7" s="25"/>
      <c r="BJ7" s="25"/>
      <c r="BK7" s="25"/>
      <c r="BL7" s="25"/>
      <c r="BM7" s="25"/>
      <c r="BN7" s="25"/>
      <c r="BO7" s="25"/>
      <c r="BP7" s="25"/>
      <c r="BQ7" s="25"/>
      <c r="BR7" s="25"/>
      <c r="BS7" s="25"/>
      <c r="BT7" s="61"/>
      <c r="BU7" s="61"/>
      <c r="BV7" s="61"/>
      <c r="BW7" s="61"/>
      <c r="BX7" s="61"/>
      <c r="BY7" s="61"/>
      <c r="BZ7" s="61"/>
      <c r="CA7" s="61"/>
      <c r="CB7" s="61"/>
      <c r="CC7" s="61"/>
      <c r="CD7" s="61"/>
      <c r="CE7" s="61"/>
      <c r="CF7" s="61"/>
      <c r="CG7" s="61"/>
      <c r="CH7" s="61"/>
      <c r="CI7" s="61"/>
      <c r="CJ7" s="61"/>
      <c r="CK7" s="61"/>
      <c r="CL7" s="61"/>
      <c r="CM7" s="61"/>
      <c r="CN7" s="61"/>
      <c r="CO7" s="61"/>
      <c r="CP7" s="61"/>
      <c r="CQ7" s="61"/>
      <c r="CR7" s="61"/>
      <c r="CS7" s="61"/>
      <c r="CT7" s="61"/>
      <c r="CU7" s="61"/>
      <c r="CV7" s="61"/>
      <c r="CW7" s="61"/>
      <c r="CX7" s="61"/>
      <c r="CY7" s="61"/>
      <c r="CZ7" s="61"/>
      <c r="DA7" s="61"/>
      <c r="DB7" s="61"/>
      <c r="DC7" s="61"/>
      <c r="DD7" s="61"/>
    </row>
    <row r="8" spans="1:108" ht="13.5" thickBot="1" x14ac:dyDescent="0.25">
      <c r="A8" s="2"/>
      <c r="B8" s="171" t="s">
        <v>97</v>
      </c>
      <c r="C8" s="172"/>
      <c r="D8" s="161" t="str">
        <f>J7</f>
        <v>Caller 2 Name</v>
      </c>
      <c r="E8" s="162"/>
      <c r="F8" s="162"/>
      <c r="G8" s="163"/>
      <c r="H8" s="129" t="s">
        <v>747</v>
      </c>
      <c r="I8" s="129" t="s">
        <v>747</v>
      </c>
      <c r="J8" s="129" t="s">
        <v>748</v>
      </c>
      <c r="K8" s="129" t="s">
        <v>744</v>
      </c>
      <c r="L8" s="129" t="s">
        <v>745</v>
      </c>
      <c r="M8" s="129" t="s">
        <v>108</v>
      </c>
      <c r="N8" s="2"/>
      <c r="O8" s="2"/>
      <c r="P8" s="2"/>
      <c r="Q8" s="85">
        <f>SUM(R5:BA5)</f>
        <v>0</v>
      </c>
      <c r="R8" s="94"/>
      <c r="S8" s="61"/>
      <c r="T8" s="61"/>
      <c r="U8" s="62"/>
      <c r="V8" s="61"/>
      <c r="W8" s="61"/>
      <c r="X8" s="61"/>
      <c r="Y8" s="61"/>
      <c r="Z8" s="84"/>
      <c r="AA8" s="61"/>
      <c r="AB8" s="62"/>
      <c r="AC8" s="61"/>
      <c r="AD8" s="61"/>
      <c r="AE8" s="62"/>
      <c r="AF8" s="61"/>
      <c r="AG8" s="61"/>
      <c r="AH8" s="61"/>
      <c r="AI8" s="61"/>
      <c r="AJ8" s="64"/>
      <c r="AK8" s="64"/>
      <c r="AL8" s="64"/>
      <c r="AM8" s="61"/>
      <c r="AN8" s="61"/>
      <c r="AO8" s="61"/>
      <c r="AP8" s="61"/>
      <c r="AQ8" s="61"/>
      <c r="AR8" s="61"/>
      <c r="AS8" s="61"/>
      <c r="AT8" s="61"/>
      <c r="AU8" s="61"/>
      <c r="AV8" s="61"/>
      <c r="AW8" s="61"/>
      <c r="AX8" s="61"/>
      <c r="AY8" s="61"/>
      <c r="AZ8" s="61"/>
      <c r="BA8" s="61"/>
      <c r="BB8" s="61"/>
      <c r="BC8" s="61"/>
      <c r="BD8" s="61"/>
      <c r="BE8" s="61"/>
      <c r="BF8" s="61"/>
      <c r="BG8" s="25"/>
      <c r="BH8" s="25"/>
      <c r="BI8" s="25"/>
      <c r="BJ8" s="25"/>
      <c r="BK8" s="25"/>
      <c r="BL8" s="25"/>
      <c r="BM8" s="25"/>
      <c r="BN8" s="25"/>
      <c r="BO8" s="25"/>
      <c r="BP8" s="25"/>
      <c r="BQ8" s="25"/>
      <c r="BR8" s="25"/>
      <c r="BS8" s="25"/>
      <c r="BT8" s="61"/>
      <c r="BU8" s="61"/>
      <c r="BV8" s="61"/>
      <c r="BW8" s="61"/>
      <c r="BX8" s="61"/>
      <c r="BY8" s="61"/>
      <c r="BZ8" s="61"/>
      <c r="CA8" s="61"/>
      <c r="CB8" s="61"/>
      <c r="CC8" s="61"/>
      <c r="CD8" s="61"/>
      <c r="CE8" s="61"/>
      <c r="CF8" s="61"/>
      <c r="CG8" s="61"/>
      <c r="CH8" s="61"/>
      <c r="CI8" s="61"/>
      <c r="CJ8" s="61"/>
      <c r="CK8" s="61"/>
      <c r="CL8" s="61"/>
      <c r="CM8" s="61"/>
      <c r="CN8" s="61"/>
      <c r="CO8" s="61"/>
      <c r="CP8" s="61"/>
      <c r="CQ8" s="61"/>
      <c r="CR8" s="61"/>
      <c r="CS8" s="61"/>
      <c r="CT8" s="61"/>
      <c r="CU8" s="61"/>
      <c r="CV8" s="61"/>
      <c r="CW8" s="61"/>
      <c r="CX8" s="61"/>
      <c r="CY8" s="61"/>
      <c r="CZ8" s="61"/>
      <c r="DA8" s="61"/>
      <c r="DB8" s="61"/>
      <c r="DC8" s="61"/>
      <c r="DD8" s="61"/>
    </row>
    <row r="9" spans="1:108" ht="13.5" thickBot="1" x14ac:dyDescent="0.25">
      <c r="A9" s="2"/>
      <c r="B9" s="167" t="s">
        <v>98</v>
      </c>
      <c r="C9" s="173"/>
      <c r="D9" s="158" t="str">
        <f>K7</f>
        <v>Timerkeeper Name</v>
      </c>
      <c r="E9" s="159"/>
      <c r="F9" s="159"/>
      <c r="G9" s="160"/>
      <c r="H9" s="130" t="str">
        <f>VLOOKUP($H$4,Teams!$B$3:$O$44,3,FALSE)</f>
        <v>PETAR VASILJEVIC</v>
      </c>
      <c r="I9" s="130" t="str">
        <f>VLOOKUP($H$4,Teams!$B$3:$O$44,3,FALSE)</f>
        <v>PETAR VASILJEVIC</v>
      </c>
      <c r="J9" s="130" t="str">
        <f>VLOOKUP($H$4,Teams!$B$3:$O$44,5,FALSE)</f>
        <v>PREDAG VASILJEVIC</v>
      </c>
      <c r="K9" s="130" t="str">
        <f>VLOOKUP($H$4,Teams!$B$3:$O$44,6,FALSE)</f>
        <v>ANA KRSTIC</v>
      </c>
      <c r="L9" s="130" t="str">
        <f>VLOOKUP($H$4,Teams!$B$3:$O$44,7,FALSE)</f>
        <v>SARA PROJOVIC</v>
      </c>
      <c r="M9" s="131">
        <f>VLOOKUP($H$4,Teams!$B$3:$O$44,8,FALSE)</f>
        <v>0</v>
      </c>
      <c r="N9" s="2"/>
      <c r="O9" s="2"/>
      <c r="P9" s="2"/>
      <c r="Q9" s="91"/>
      <c r="R9" s="94"/>
      <c r="S9" s="61"/>
      <c r="T9" s="61"/>
      <c r="U9" s="62"/>
      <c r="V9" s="61"/>
      <c r="W9" s="61"/>
      <c r="X9" s="61"/>
      <c r="Y9" s="61"/>
      <c r="Z9" s="84"/>
      <c r="AA9" s="61"/>
      <c r="AB9" s="62"/>
      <c r="AC9" s="61"/>
      <c r="AD9" s="61"/>
      <c r="AE9" s="62"/>
      <c r="AF9" s="61"/>
      <c r="AG9" s="61"/>
      <c r="AH9" s="61"/>
      <c r="AI9" s="61"/>
      <c r="AJ9" s="64"/>
      <c r="AK9" s="64"/>
      <c r="AL9" s="64"/>
      <c r="AM9" s="61"/>
      <c r="AN9" s="61"/>
      <c r="AO9" s="61"/>
      <c r="AP9" s="61"/>
      <c r="AQ9" s="61"/>
      <c r="AR9" s="61"/>
      <c r="AS9" s="61"/>
      <c r="AT9" s="61"/>
      <c r="AU9" s="61"/>
      <c r="AV9" s="61"/>
      <c r="AW9" s="61"/>
      <c r="AX9" s="61"/>
      <c r="AY9" s="61"/>
      <c r="AZ9" s="61"/>
      <c r="BA9" s="61"/>
      <c r="BB9" s="61"/>
      <c r="BC9" s="61"/>
      <c r="BD9" s="61"/>
      <c r="BE9" s="61"/>
      <c r="BF9" s="61"/>
      <c r="BG9" s="25"/>
      <c r="BH9" s="25"/>
      <c r="BI9" s="25"/>
      <c r="BJ9" s="25"/>
      <c r="BK9" s="25"/>
      <c r="BL9" s="25"/>
      <c r="BM9" s="25"/>
      <c r="BN9" s="25"/>
      <c r="BO9" s="25"/>
      <c r="BP9" s="25"/>
      <c r="BQ9" s="25"/>
      <c r="BR9" s="25"/>
      <c r="BS9" s="25"/>
      <c r="BT9" s="61"/>
      <c r="BU9" s="61"/>
      <c r="BV9" s="61"/>
      <c r="BW9" s="61"/>
      <c r="BX9" s="61"/>
      <c r="BY9" s="61"/>
      <c r="BZ9" s="61"/>
      <c r="CA9" s="61"/>
      <c r="CB9" s="61"/>
      <c r="CC9" s="61"/>
      <c r="CD9" s="61"/>
      <c r="CE9" s="61"/>
      <c r="CF9" s="61"/>
      <c r="CG9" s="61"/>
      <c r="CH9" s="61"/>
      <c r="CI9" s="61"/>
      <c r="CJ9" s="61"/>
      <c r="CK9" s="61"/>
      <c r="CL9" s="61"/>
      <c r="CM9" s="61"/>
      <c r="CN9" s="61"/>
      <c r="CO9" s="61"/>
      <c r="CP9" s="61"/>
      <c r="CQ9" s="61"/>
      <c r="CR9" s="61"/>
      <c r="CS9" s="61"/>
      <c r="CT9" s="61"/>
      <c r="CU9" s="61"/>
      <c r="CV9" s="61"/>
      <c r="CW9" s="61"/>
      <c r="CX9" s="61"/>
      <c r="CY9" s="61"/>
      <c r="CZ9" s="61"/>
      <c r="DA9" s="61"/>
      <c r="DB9" s="61"/>
      <c r="DC9" s="61"/>
      <c r="DD9" s="61"/>
    </row>
    <row r="10" spans="1:108" ht="13.5" thickBot="1" x14ac:dyDescent="0.25">
      <c r="A10" s="1"/>
      <c r="B10" s="171" t="s">
        <v>99</v>
      </c>
      <c r="C10" s="172"/>
      <c r="D10" s="161" t="str">
        <f>L7</f>
        <v>Shotclock Name</v>
      </c>
      <c r="E10" s="162"/>
      <c r="F10" s="162"/>
      <c r="G10" s="163"/>
      <c r="H10" s="8"/>
      <c r="I10" s="10" t="s">
        <v>13</v>
      </c>
      <c r="J10" s="11"/>
      <c r="K10" s="11"/>
      <c r="L10" s="11"/>
      <c r="M10" s="11"/>
      <c r="N10" s="12"/>
      <c r="O10" s="2"/>
      <c r="P10" s="2"/>
      <c r="Q10" s="91"/>
      <c r="R10" s="94"/>
      <c r="S10" s="61"/>
      <c r="T10" s="61"/>
      <c r="U10" s="62"/>
      <c r="V10" s="61"/>
      <c r="W10" s="61"/>
      <c r="X10" s="61"/>
      <c r="Y10" s="61"/>
      <c r="Z10" s="84"/>
      <c r="AA10" s="61"/>
      <c r="AB10" s="62"/>
      <c r="AC10" s="61"/>
      <c r="AD10" s="61"/>
      <c r="AE10" s="62"/>
      <c r="AF10" s="61"/>
      <c r="AG10" s="61"/>
      <c r="AH10" s="61"/>
      <c r="AI10" s="61"/>
      <c r="AJ10" s="64"/>
      <c r="AK10" s="64"/>
      <c r="AL10" s="64"/>
      <c r="AM10" s="61"/>
      <c r="AN10" s="61"/>
      <c r="AO10" s="61"/>
      <c r="AP10" s="61"/>
      <c r="AQ10" s="61"/>
      <c r="AR10" s="61"/>
      <c r="AS10" s="61"/>
      <c r="AT10" s="61"/>
      <c r="AU10" s="61"/>
      <c r="AV10" s="61"/>
      <c r="AW10" s="61"/>
      <c r="AX10" s="61"/>
      <c r="AY10" s="61"/>
      <c r="AZ10" s="61"/>
      <c r="BA10" s="61"/>
      <c r="BB10" s="61"/>
      <c r="BC10" s="61"/>
      <c r="BD10" s="61"/>
      <c r="BE10" s="61"/>
      <c r="BF10" s="61"/>
      <c r="BG10" s="25"/>
      <c r="BH10" s="25"/>
      <c r="BI10" s="25"/>
      <c r="BJ10" s="25"/>
      <c r="BK10" s="25"/>
      <c r="BL10" s="25"/>
      <c r="BM10" s="25"/>
      <c r="BN10" s="25"/>
      <c r="BO10" s="25"/>
      <c r="BP10" s="25"/>
      <c r="BQ10" s="25"/>
      <c r="BR10" s="25"/>
      <c r="BS10" s="25"/>
      <c r="BT10" s="61"/>
      <c r="BU10" s="61"/>
      <c r="BV10" s="61"/>
      <c r="BW10" s="61"/>
      <c r="BX10" s="61"/>
      <c r="BY10" s="61"/>
      <c r="BZ10" s="61"/>
      <c r="CA10" s="61"/>
      <c r="CB10" s="61"/>
      <c r="CC10" s="61"/>
      <c r="CD10" s="61"/>
      <c r="CE10" s="61"/>
      <c r="CF10" s="61"/>
      <c r="CG10" s="61"/>
      <c r="CH10" s="61"/>
      <c r="CI10" s="61"/>
      <c r="CJ10" s="61"/>
      <c r="CK10" s="61"/>
      <c r="CL10" s="61"/>
      <c r="CM10" s="61"/>
      <c r="CN10" s="61"/>
      <c r="CO10" s="61"/>
      <c r="CP10" s="61"/>
      <c r="CQ10" s="61"/>
      <c r="CR10" s="61"/>
      <c r="CS10" s="61"/>
      <c r="CT10" s="61"/>
      <c r="CU10" s="61"/>
      <c r="CV10" s="61"/>
      <c r="CW10" s="61"/>
      <c r="CX10" s="61"/>
      <c r="CY10" s="61"/>
      <c r="CZ10" s="61"/>
      <c r="DA10" s="61"/>
      <c r="DB10" s="61"/>
      <c r="DC10" s="61"/>
      <c r="DD10" s="61"/>
    </row>
    <row r="11" spans="1:108" s="63" customFormat="1" ht="13.5" thickBot="1" x14ac:dyDescent="0.3">
      <c r="A11" s="17"/>
      <c r="B11" s="156" t="s">
        <v>108</v>
      </c>
      <c r="C11" s="157"/>
      <c r="D11" s="174" t="str">
        <f>M8</f>
        <v>IRS</v>
      </c>
      <c r="E11" s="175"/>
      <c r="F11" s="175"/>
      <c r="G11" s="176"/>
      <c r="H11" s="28" t="s">
        <v>43</v>
      </c>
      <c r="I11" s="18" t="s">
        <v>64</v>
      </c>
      <c r="J11" s="19" t="s">
        <v>67</v>
      </c>
      <c r="K11" s="19" t="s">
        <v>68</v>
      </c>
      <c r="L11" s="19" t="s">
        <v>69</v>
      </c>
      <c r="M11" s="7" t="s">
        <v>44</v>
      </c>
      <c r="N11" s="7" t="s">
        <v>1</v>
      </c>
      <c r="O11" s="5"/>
      <c r="P11" s="5"/>
      <c r="Q11" s="84"/>
      <c r="R11" s="93"/>
      <c r="S11" s="61"/>
      <c r="T11" s="61"/>
      <c r="U11" s="62"/>
      <c r="V11" s="61"/>
      <c r="W11" s="61"/>
      <c r="X11" s="61"/>
      <c r="Y11" s="61"/>
      <c r="Z11" s="84"/>
      <c r="AA11" s="61"/>
      <c r="AB11" s="62"/>
      <c r="AC11" s="61"/>
      <c r="AD11" s="61"/>
      <c r="AE11" s="62"/>
      <c r="AF11" s="61"/>
      <c r="AG11" s="61"/>
      <c r="AH11" s="61"/>
      <c r="AI11" s="61"/>
      <c r="AM11" s="61"/>
      <c r="AN11" s="61"/>
      <c r="AO11" s="61"/>
      <c r="AP11" s="61"/>
      <c r="AQ11" s="61"/>
      <c r="AR11" s="61"/>
      <c r="AS11" s="61"/>
      <c r="AT11" s="61"/>
      <c r="AU11" s="61"/>
      <c r="AV11" s="61"/>
      <c r="AW11" s="61"/>
      <c r="AX11" s="61"/>
      <c r="AY11" s="61"/>
      <c r="AZ11" s="61"/>
      <c r="BA11" s="61"/>
      <c r="BB11" s="61"/>
      <c r="BC11" s="61"/>
      <c r="BD11" s="61"/>
      <c r="BE11" s="61"/>
      <c r="BF11" s="61"/>
      <c r="BG11" s="25"/>
      <c r="BH11" s="25"/>
      <c r="BI11" s="25"/>
      <c r="BJ11" s="25"/>
      <c r="BK11" s="25"/>
      <c r="BL11" s="25"/>
      <c r="BM11" s="25"/>
      <c r="BN11" s="25"/>
      <c r="BO11" s="25"/>
      <c r="BP11" s="25"/>
      <c r="BQ11" s="25"/>
      <c r="BR11" s="25"/>
      <c r="BS11" s="25"/>
      <c r="BT11" s="61"/>
      <c r="BU11" s="61"/>
      <c r="BV11" s="61"/>
      <c r="BW11" s="61"/>
      <c r="BX11" s="61"/>
      <c r="BY11" s="61"/>
      <c r="BZ11" s="61"/>
      <c r="CA11" s="61"/>
      <c r="CB11" s="61"/>
      <c r="CC11" s="61"/>
      <c r="CD11" s="61"/>
      <c r="CE11" s="61"/>
      <c r="CF11" s="61"/>
      <c r="CG11" s="61"/>
      <c r="CH11" s="61"/>
      <c r="CI11" s="61"/>
      <c r="CJ11" s="61"/>
      <c r="CK11" s="61"/>
      <c r="CL11" s="61"/>
      <c r="CM11" s="61"/>
      <c r="CN11" s="61"/>
      <c r="CO11" s="61"/>
      <c r="CP11" s="61"/>
      <c r="CQ11" s="61"/>
      <c r="CR11" s="61"/>
      <c r="CS11" s="61"/>
      <c r="CT11" s="61"/>
      <c r="CU11" s="61"/>
      <c r="CV11" s="61"/>
      <c r="CW11" s="61"/>
      <c r="CX11" s="61"/>
      <c r="CY11" s="61"/>
      <c r="CZ11" s="61"/>
      <c r="DA11" s="61"/>
      <c r="DB11" s="61"/>
      <c r="DC11" s="61"/>
      <c r="DD11" s="61"/>
    </row>
    <row r="12" spans="1:108" ht="13.5" thickBot="1" x14ac:dyDescent="0.25">
      <c r="A12" s="1"/>
      <c r="B12" s="2"/>
      <c r="C12" s="2"/>
      <c r="D12" s="2"/>
      <c r="E12" s="2"/>
      <c r="F12" s="49" t="str">
        <f>IF(G12="","",$B$2)</f>
        <v/>
      </c>
      <c r="G12" s="50" t="str">
        <f>IF(I12="","",$C$2)</f>
        <v/>
      </c>
      <c r="H12" s="40" t="str">
        <f>$I$10</f>
        <v>LOGISTICS</v>
      </c>
      <c r="I12" s="14"/>
      <c r="J12" s="15"/>
      <c r="K12" s="15"/>
      <c r="L12" s="15"/>
      <c r="M12" s="16" t="s">
        <v>15</v>
      </c>
      <c r="N12" s="59"/>
      <c r="O12" s="2"/>
      <c r="P12" s="2"/>
      <c r="Q12" s="84"/>
      <c r="R12" s="94"/>
      <c r="S12" s="61"/>
      <c r="T12" s="61"/>
      <c r="U12" s="62"/>
      <c r="V12" s="61"/>
      <c r="W12" s="61"/>
      <c r="X12" s="61"/>
      <c r="Y12" s="61"/>
      <c r="Z12" s="84"/>
      <c r="AA12" s="61"/>
      <c r="AB12" s="62"/>
      <c r="AC12" s="61"/>
      <c r="AD12" s="61"/>
      <c r="AE12" s="62"/>
      <c r="AF12" s="61"/>
      <c r="AG12" s="61"/>
      <c r="AH12" s="61"/>
      <c r="AI12" s="61"/>
      <c r="AJ12" s="64"/>
      <c r="AK12" s="64"/>
      <c r="AL12" s="64"/>
      <c r="AM12" s="61"/>
      <c r="AN12" s="61"/>
      <c r="AO12" s="61"/>
      <c r="AP12" s="61"/>
      <c r="AQ12" s="61"/>
      <c r="AR12" s="61"/>
      <c r="AS12" s="61"/>
      <c r="AT12" s="61"/>
      <c r="AU12" s="61"/>
      <c r="AV12" s="61"/>
      <c r="AW12" s="61"/>
      <c r="AX12" s="61"/>
      <c r="AY12" s="61"/>
      <c r="AZ12" s="61"/>
      <c r="BA12" s="61"/>
      <c r="BB12" s="61"/>
      <c r="BC12" s="61"/>
      <c r="BD12" s="61"/>
      <c r="BE12" s="61"/>
      <c r="BF12" s="61"/>
      <c r="BG12" s="25"/>
      <c r="BH12" s="25"/>
      <c r="BI12" s="25"/>
      <c r="BJ12" s="25"/>
      <c r="BK12" s="25"/>
      <c r="BL12" s="25"/>
      <c r="BM12" s="25"/>
      <c r="BN12" s="25"/>
      <c r="BO12" s="25"/>
      <c r="BP12" s="25"/>
      <c r="BQ12" s="25"/>
      <c r="BR12" s="25"/>
      <c r="BS12" s="25"/>
      <c r="BT12" s="61"/>
      <c r="BU12" s="61"/>
      <c r="BV12" s="61"/>
      <c r="BW12" s="61"/>
      <c r="BX12" s="61"/>
      <c r="BY12" s="61"/>
      <c r="BZ12" s="61"/>
      <c r="CA12" s="61"/>
      <c r="CB12" s="61"/>
      <c r="CC12" s="61"/>
      <c r="CD12" s="61"/>
      <c r="CE12" s="61"/>
      <c r="CF12" s="61"/>
      <c r="CG12" s="61"/>
      <c r="CH12" s="61"/>
      <c r="CI12" s="61"/>
      <c r="CJ12" s="61"/>
      <c r="CK12" s="61"/>
      <c r="CL12" s="61"/>
      <c r="CM12" s="61"/>
      <c r="CN12" s="61"/>
      <c r="CO12" s="61"/>
      <c r="CP12" s="61"/>
      <c r="CQ12" s="61"/>
      <c r="CR12" s="61"/>
      <c r="CS12" s="61"/>
      <c r="CT12" s="61"/>
      <c r="CU12" s="61"/>
      <c r="CV12" s="61"/>
      <c r="CW12" s="61"/>
      <c r="CX12" s="61"/>
      <c r="CY12" s="61"/>
      <c r="CZ12" s="61"/>
      <c r="DA12" s="61"/>
      <c r="DB12" s="61"/>
      <c r="DC12" s="61"/>
      <c r="DD12" s="61"/>
    </row>
    <row r="13" spans="1:108" s="63" customFormat="1" ht="2.1" customHeight="1" thickBot="1" x14ac:dyDescent="0.3">
      <c r="A13" s="17"/>
      <c r="B13" s="5"/>
      <c r="C13" s="5"/>
      <c r="D13" s="5"/>
      <c r="E13" s="5"/>
      <c r="F13" s="5"/>
      <c r="G13" s="5"/>
      <c r="H13" s="5"/>
      <c r="I13" s="5">
        <f>IF(ISERROR(VLOOKUP(I12,AP17:AQ18,2,FALSE)),0,VLOOKUP(I12,AP17:AQ18,2,FALSE))</f>
        <v>0</v>
      </c>
      <c r="J13" s="5">
        <f>IF(ISERROR(VLOOKUP(J12,AR17:AS18,2,FALSE)),0,VLOOKUP(J12,AR17:AS18,2,FALSE))</f>
        <v>0</v>
      </c>
      <c r="K13" s="5">
        <f>IF(ISERROR(VLOOKUP(K12,AT17:AU19,2,FALSE)),0,VLOOKUP(K12,AT17:AU19,2,FALSE))</f>
        <v>0</v>
      </c>
      <c r="L13" s="5">
        <f>IF(ISERROR(VLOOKUP(L12,AV17:AW19,2,FALSE)),0,VLOOKUP(L12,AV17:AW19,2,FALSE))</f>
        <v>0</v>
      </c>
      <c r="M13" s="5"/>
      <c r="N13" s="5"/>
      <c r="O13" s="5"/>
      <c r="P13" s="5"/>
      <c r="Q13" s="84"/>
      <c r="R13" s="94"/>
      <c r="S13" s="61"/>
      <c r="T13" s="61"/>
      <c r="U13" s="62"/>
      <c r="V13" s="61"/>
      <c r="W13" s="61"/>
      <c r="X13" s="61"/>
      <c r="Y13" s="61"/>
      <c r="Z13" s="84"/>
      <c r="AA13" s="61"/>
      <c r="AB13" s="62"/>
      <c r="AC13" s="61"/>
      <c r="AD13" s="61"/>
      <c r="AE13" s="62"/>
      <c r="AF13" s="61"/>
      <c r="AG13" s="61"/>
      <c r="AH13" s="61"/>
      <c r="AI13" s="61"/>
      <c r="AM13" s="61"/>
      <c r="AN13" s="61"/>
      <c r="AO13" s="61"/>
      <c r="AP13" s="61"/>
      <c r="AQ13" s="61"/>
      <c r="AR13" s="61"/>
      <c r="AS13" s="61"/>
      <c r="AT13" s="61"/>
      <c r="AU13" s="61"/>
      <c r="AV13" s="61"/>
      <c r="AW13" s="61"/>
      <c r="AX13" s="61"/>
      <c r="AY13" s="61"/>
      <c r="AZ13" s="61"/>
      <c r="BA13" s="61"/>
      <c r="BB13" s="61"/>
      <c r="BC13" s="61"/>
      <c r="BD13" s="61"/>
      <c r="BE13" s="61"/>
      <c r="BF13" s="61"/>
      <c r="BG13" s="25"/>
      <c r="BH13" s="25"/>
      <c r="BI13" s="25"/>
      <c r="BJ13" s="25"/>
      <c r="BK13" s="25"/>
      <c r="BL13" s="25"/>
      <c r="BM13" s="25"/>
      <c r="BN13" s="25"/>
      <c r="BO13" s="25"/>
      <c r="BP13" s="25"/>
      <c r="BQ13" s="25"/>
      <c r="BR13" s="25"/>
      <c r="BS13" s="25"/>
      <c r="BT13" s="61"/>
      <c r="BU13" s="61"/>
      <c r="BV13" s="61"/>
      <c r="BW13" s="61"/>
      <c r="BX13" s="61"/>
      <c r="BY13" s="61"/>
      <c r="BZ13" s="61"/>
      <c r="CA13" s="61"/>
      <c r="CB13" s="61"/>
      <c r="CC13" s="61"/>
      <c r="CD13" s="61"/>
      <c r="CE13" s="61"/>
      <c r="CF13" s="61"/>
      <c r="CG13" s="61"/>
      <c r="CH13" s="61"/>
      <c r="CI13" s="61"/>
      <c r="CJ13" s="61"/>
      <c r="CK13" s="61"/>
      <c r="CL13" s="61"/>
      <c r="CM13" s="61"/>
      <c r="CN13" s="61"/>
      <c r="CO13" s="61"/>
      <c r="CP13" s="61"/>
      <c r="CQ13" s="61"/>
      <c r="CR13" s="61"/>
      <c r="CS13" s="61"/>
      <c r="CT13" s="61"/>
      <c r="CU13" s="61"/>
      <c r="CV13" s="61"/>
      <c r="CW13" s="61"/>
      <c r="CX13" s="61"/>
      <c r="CY13" s="61"/>
      <c r="CZ13" s="61"/>
      <c r="DA13" s="61"/>
      <c r="DB13" s="61"/>
      <c r="DC13" s="61"/>
      <c r="DD13" s="61"/>
    </row>
    <row r="14" spans="1:108" ht="13.5" thickBot="1" x14ac:dyDescent="0.25">
      <c r="A14" s="1"/>
      <c r="B14" s="156" t="s">
        <v>162</v>
      </c>
      <c r="C14" s="157"/>
      <c r="D14" s="164" t="s">
        <v>749</v>
      </c>
      <c r="E14" s="165"/>
      <c r="F14" s="165"/>
      <c r="G14" s="166"/>
      <c r="H14" s="5"/>
      <c r="I14" s="10" t="s">
        <v>45</v>
      </c>
      <c r="J14" s="11"/>
      <c r="K14" s="11"/>
      <c r="L14" s="11"/>
      <c r="M14" s="11"/>
      <c r="N14" s="12"/>
      <c r="O14" s="2"/>
      <c r="P14" s="2"/>
      <c r="Q14" s="84"/>
      <c r="R14" s="94"/>
      <c r="S14" s="61"/>
      <c r="T14" s="61"/>
      <c r="U14" s="62"/>
      <c r="V14" s="61"/>
      <c r="W14" s="61"/>
      <c r="X14" s="61"/>
      <c r="Y14" s="61"/>
      <c r="Z14" s="84"/>
      <c r="AA14" s="61"/>
      <c r="AB14" s="62"/>
      <c r="AC14" s="61"/>
      <c r="AD14" s="61"/>
      <c r="AE14" s="62"/>
      <c r="AF14" s="61"/>
      <c r="AG14" s="61"/>
      <c r="AH14" s="61"/>
      <c r="AI14" s="61"/>
      <c r="AJ14" s="64"/>
      <c r="AK14" s="64"/>
      <c r="AL14" s="64"/>
      <c r="AM14" s="61"/>
      <c r="AN14" s="61"/>
      <c r="AO14" s="61"/>
      <c r="AP14" s="61"/>
      <c r="AQ14" s="61"/>
      <c r="AR14" s="61"/>
      <c r="AS14" s="61"/>
      <c r="AT14" s="61"/>
      <c r="AU14" s="61"/>
      <c r="AV14" s="61"/>
      <c r="AW14" s="61"/>
      <c r="AX14" s="61"/>
      <c r="AY14" s="61"/>
      <c r="AZ14" s="61"/>
      <c r="BA14" s="61"/>
      <c r="BB14" s="61"/>
      <c r="BC14" s="61"/>
      <c r="BD14" s="61"/>
      <c r="BE14" s="61"/>
      <c r="BF14" s="61"/>
      <c r="BG14" s="25"/>
      <c r="BH14" s="25"/>
      <c r="BI14" s="25"/>
      <c r="BJ14" s="25"/>
      <c r="BK14" s="25"/>
      <c r="BL14" s="25"/>
      <c r="BM14" s="25"/>
      <c r="BN14" s="25"/>
      <c r="BO14" s="25"/>
      <c r="BP14" s="25"/>
      <c r="BQ14" s="25"/>
      <c r="BR14" s="25"/>
      <c r="BS14" s="25"/>
      <c r="BT14" s="61"/>
      <c r="BU14" s="61"/>
      <c r="BV14" s="61"/>
      <c r="BW14" s="61"/>
      <c r="BX14" s="61"/>
      <c r="BY14" s="61"/>
      <c r="BZ14" s="61"/>
      <c r="CA14" s="61"/>
      <c r="CB14" s="61"/>
      <c r="CC14" s="61"/>
      <c r="CD14" s="61"/>
      <c r="CE14" s="61"/>
      <c r="CF14" s="61"/>
      <c r="CG14" s="61"/>
      <c r="CH14" s="61"/>
      <c r="CI14" s="61"/>
      <c r="CJ14" s="61"/>
      <c r="CK14" s="61"/>
      <c r="CL14" s="61"/>
      <c r="CM14" s="61"/>
      <c r="CN14" s="61"/>
      <c r="CO14" s="61"/>
      <c r="CP14" s="61"/>
      <c r="CQ14" s="61"/>
      <c r="CR14" s="61"/>
      <c r="CS14" s="61"/>
      <c r="CT14" s="61"/>
      <c r="CU14" s="61"/>
      <c r="CV14" s="61"/>
      <c r="CW14" s="61"/>
      <c r="CX14" s="61"/>
      <c r="CY14" s="61"/>
      <c r="CZ14" s="61"/>
      <c r="DA14" s="61"/>
      <c r="DB14" s="61"/>
      <c r="DC14" s="61"/>
      <c r="DD14" s="61"/>
    </row>
    <row r="15" spans="1:108" s="63" customFormat="1" ht="1.5" customHeight="1" thickBot="1" x14ac:dyDescent="0.3">
      <c r="A15" s="17"/>
      <c r="B15" s="5"/>
      <c r="C15" s="5"/>
      <c r="D15" s="41" t="s">
        <v>53</v>
      </c>
      <c r="E15" s="41">
        <v>1</v>
      </c>
      <c r="F15" s="41"/>
      <c r="G15" s="41"/>
      <c r="H15" s="5"/>
      <c r="I15" s="30">
        <f>SUBTOTAL(3,I17:I106)</f>
        <v>0</v>
      </c>
      <c r="J15" s="24">
        <f>SUBTOTAL(3,J17:J106)</f>
        <v>0</v>
      </c>
      <c r="K15" s="24">
        <f>SUBTOTAL(3,K17:K106)</f>
        <v>0</v>
      </c>
      <c r="L15" s="24">
        <f>SUBTOTAL(3,L17:L106)</f>
        <v>0</v>
      </c>
      <c r="M15" s="5"/>
      <c r="N15" s="5"/>
      <c r="O15" s="5"/>
      <c r="P15" s="5"/>
      <c r="Q15" s="88"/>
      <c r="R15" s="93"/>
      <c r="S15" s="70"/>
      <c r="T15" s="70"/>
      <c r="U15" s="71"/>
      <c r="V15" s="70"/>
      <c r="Y15" s="72"/>
      <c r="Z15" s="88"/>
      <c r="AB15" s="73"/>
      <c r="AC15" s="74"/>
      <c r="AE15" s="73"/>
      <c r="AU15" s="74"/>
      <c r="AW15" s="74"/>
      <c r="AX15" s="74"/>
      <c r="AY15" s="74"/>
      <c r="AZ15" s="74"/>
      <c r="BB15" s="74"/>
      <c r="BG15" s="4"/>
      <c r="BH15" s="4"/>
      <c r="BI15" s="4"/>
      <c r="BJ15" s="4"/>
      <c r="BK15" s="4"/>
      <c r="BL15" s="4"/>
      <c r="BM15" s="4"/>
      <c r="BN15" s="4"/>
      <c r="BO15" s="4"/>
      <c r="BP15" s="4"/>
      <c r="BQ15" s="4"/>
      <c r="BR15" s="4"/>
      <c r="BS15" s="4"/>
    </row>
    <row r="16" spans="1:108" s="63" customFormat="1" ht="16.5" customHeight="1" thickBot="1" x14ac:dyDescent="0.3">
      <c r="A16" s="20"/>
      <c r="B16" s="21" t="s">
        <v>2</v>
      </c>
      <c r="C16" s="22" t="s">
        <v>0</v>
      </c>
      <c r="D16" s="6" t="s">
        <v>52</v>
      </c>
      <c r="E16" s="6" t="s">
        <v>51</v>
      </c>
      <c r="F16" s="6" t="s">
        <v>49</v>
      </c>
      <c r="G16" s="6" t="s">
        <v>50</v>
      </c>
      <c r="H16" s="6" t="s">
        <v>43</v>
      </c>
      <c r="I16" s="23" t="s">
        <v>113</v>
      </c>
      <c r="J16" s="9" t="s">
        <v>170</v>
      </c>
      <c r="K16" s="9" t="s">
        <v>60</v>
      </c>
      <c r="L16" s="9" t="s">
        <v>41</v>
      </c>
      <c r="M16" s="9" t="s">
        <v>42</v>
      </c>
      <c r="N16" s="6" t="s">
        <v>1</v>
      </c>
      <c r="O16" s="60" t="s">
        <v>165</v>
      </c>
      <c r="P16" s="60" t="s">
        <v>166</v>
      </c>
      <c r="Q16" s="90" t="s">
        <v>114</v>
      </c>
      <c r="R16" s="93">
        <f>SUM(Q17:Q106)</f>
        <v>0</v>
      </c>
      <c r="S16" s="67"/>
      <c r="T16" s="70">
        <f>AF26+AF29</f>
        <v>0</v>
      </c>
      <c r="U16" s="76" t="s">
        <v>76</v>
      </c>
      <c r="V16" s="75">
        <f>SUM(V17:V24)</f>
        <v>0</v>
      </c>
      <c r="X16" s="67" t="s">
        <v>58</v>
      </c>
      <c r="Y16" s="75">
        <f>SUM(Y17:Y24)</f>
        <v>0</v>
      </c>
      <c r="Z16" s="90" t="s">
        <v>110</v>
      </c>
      <c r="AA16" s="75">
        <f>SUM(AA17:AA24)</f>
        <v>0</v>
      </c>
      <c r="AB16" s="76" t="s">
        <v>54</v>
      </c>
      <c r="AC16" s="75">
        <f>SUM(AC17*AD17,AC18*AD18,AC19*AD19,AC20*AD20,AC21*AD21,AC22*AD22,AC23*AD23,AC24*AD24,AC25*AD25,AC26*AD26,AC27*AD27,AC28*AD28,AC29*AD29,AC30*AD30,AC30*AD30,AC31*AD31,AC32*AD32,AC33*AD33,AC34*AD34,AC35*AD35,AC36*AD36)</f>
        <v>0</v>
      </c>
      <c r="AD16" s="75">
        <f>SUM(AD17:AD24)</f>
        <v>45</v>
      </c>
      <c r="AE16" s="76" t="s">
        <v>42</v>
      </c>
      <c r="AF16" s="75">
        <f>SUM(AF17:AF24)</f>
        <v>0</v>
      </c>
      <c r="AG16" s="75">
        <f>SUM(AG17:AG21)</f>
        <v>0</v>
      </c>
      <c r="AH16" s="67"/>
      <c r="AI16" s="67"/>
      <c r="AK16" s="77" t="s">
        <v>74</v>
      </c>
      <c r="AM16" s="67" t="s">
        <v>57</v>
      </c>
      <c r="AN16" s="67" t="s">
        <v>51</v>
      </c>
      <c r="AO16" s="67"/>
      <c r="AP16" s="67" t="s">
        <v>65</v>
      </c>
      <c r="AQ16" s="67"/>
      <c r="AR16" s="67" t="s">
        <v>115</v>
      </c>
      <c r="AS16" s="67"/>
      <c r="AT16" s="67" t="s">
        <v>68</v>
      </c>
      <c r="AU16" s="67"/>
      <c r="AV16" s="67" t="s">
        <v>79</v>
      </c>
      <c r="AW16" s="67"/>
      <c r="AX16" s="67"/>
      <c r="AY16" s="67"/>
      <c r="AZ16" s="67"/>
      <c r="BA16" s="77" t="s">
        <v>100</v>
      </c>
      <c r="BB16" s="67"/>
      <c r="BC16" s="67" t="s">
        <v>111</v>
      </c>
      <c r="BE16" s="78" t="s">
        <v>77</v>
      </c>
      <c r="BF16" s="65">
        <f>SUM(BF17:BF24)</f>
        <v>0</v>
      </c>
      <c r="BG16" s="4"/>
      <c r="BH16" s="4"/>
      <c r="BI16" s="4"/>
      <c r="BJ16" s="4"/>
      <c r="BK16" s="4"/>
      <c r="BL16" s="4"/>
      <c r="BM16" s="4"/>
      <c r="BN16" s="4"/>
      <c r="BO16" s="4"/>
      <c r="BP16" s="4"/>
      <c r="BQ16" s="4"/>
      <c r="BR16" s="4"/>
      <c r="BS16" s="4"/>
    </row>
    <row r="17" spans="1:71" s="63" customFormat="1" ht="12.75" x14ac:dyDescent="0.25">
      <c r="A17" s="20"/>
      <c r="B17" s="31" t="str">
        <f t="shared" ref="B17:B48" si="2">IF(C17="","",$B$2)</f>
        <v/>
      </c>
      <c r="C17" s="31" t="str">
        <f t="shared" ref="C17:C48" si="3">IF(I17="","",$C$2)</f>
        <v/>
      </c>
      <c r="D17" s="32"/>
      <c r="E17" s="33"/>
      <c r="F17" s="36"/>
      <c r="G17" s="36"/>
      <c r="H17" s="38" t="str">
        <f>IF(I17="","",$I$14)</f>
        <v/>
      </c>
      <c r="I17" s="34"/>
      <c r="J17" s="13"/>
      <c r="K17" s="13"/>
      <c r="L17" s="13"/>
      <c r="M17" s="13"/>
      <c r="N17" s="35"/>
      <c r="O17" s="5" t="s">
        <v>19</v>
      </c>
      <c r="P17" s="5">
        <v>10</v>
      </c>
      <c r="Q17" s="84">
        <f t="shared" ref="Q17:Q48" si="4">IF(AND(OR(L17="MISSING",L17="PART OF A SEQUENCE",L17="NOT HAPPENED"),OR(M17=$AE$37,M17=$AE$38,M17=$AE$43,M17=$AE$40,M17=$AE$25)),1,0)</f>
        <v>0</v>
      </c>
      <c r="R17" s="5" t="s">
        <v>172</v>
      </c>
      <c r="U17" s="66" t="s">
        <v>20</v>
      </c>
      <c r="V17" s="65">
        <f>COUNTIF($M$17:$M$106,U17)</f>
        <v>0</v>
      </c>
      <c r="X17" s="79" t="s">
        <v>4</v>
      </c>
      <c r="Y17" s="62">
        <f>COUNTIF($J$17:$J$106,X17)</f>
        <v>0</v>
      </c>
      <c r="Z17" s="105" t="s">
        <v>63</v>
      </c>
      <c r="AA17" s="62">
        <f>COUNTIF($K$17:$K$106,Z17)</f>
        <v>0</v>
      </c>
      <c r="AB17" s="66" t="s">
        <v>19</v>
      </c>
      <c r="AC17" s="61">
        <f t="shared" ref="AC17:AC29" si="5">COUNTIF($L$17:$L$106,AB17)</f>
        <v>0</v>
      </c>
      <c r="AD17" s="61">
        <f t="shared" ref="AD17:AD25" si="6">P17</f>
        <v>10</v>
      </c>
      <c r="AE17" s="66" t="s">
        <v>11</v>
      </c>
      <c r="AF17" s="65">
        <f t="shared" ref="AF17:AF48" si="7">COUNTIF($M$17:$M$106,AE17)</f>
        <v>0</v>
      </c>
      <c r="AG17" s="62">
        <f>COUNTIF($E$17:$E$106,$AK17)</f>
        <v>0</v>
      </c>
      <c r="AH17" s="65"/>
      <c r="AI17" s="65"/>
      <c r="AK17" s="80">
        <v>1</v>
      </c>
      <c r="AM17" s="65" t="s">
        <v>55</v>
      </c>
      <c r="AN17" s="65">
        <v>1</v>
      </c>
      <c r="AO17" s="65"/>
      <c r="AP17" s="65" t="s">
        <v>17</v>
      </c>
      <c r="AQ17" s="65">
        <v>0</v>
      </c>
      <c r="AR17" s="65" t="s">
        <v>14</v>
      </c>
      <c r="AS17" s="65">
        <v>0</v>
      </c>
      <c r="AT17" s="65" t="s">
        <v>70</v>
      </c>
      <c r="AU17" s="65">
        <v>0</v>
      </c>
      <c r="AV17" s="65" t="s">
        <v>18</v>
      </c>
      <c r="AW17" s="65">
        <v>0</v>
      </c>
      <c r="AX17" s="65"/>
      <c r="AY17" s="65"/>
      <c r="AZ17" s="65"/>
      <c r="BA17" s="81" t="s">
        <v>101</v>
      </c>
      <c r="BB17" s="65"/>
      <c r="BC17" s="79">
        <v>0</v>
      </c>
      <c r="BE17" s="65" t="s">
        <v>34</v>
      </c>
      <c r="BF17" s="65">
        <f>COUNTIF($M$17:$M$106,BE17)</f>
        <v>0</v>
      </c>
      <c r="BG17" s="4"/>
      <c r="BH17" s="4"/>
      <c r="BI17" s="4"/>
      <c r="BJ17" s="4"/>
      <c r="BK17" s="4"/>
      <c r="BL17" s="4"/>
      <c r="BM17" s="4"/>
      <c r="BN17" s="4"/>
      <c r="BO17" s="4"/>
      <c r="BP17" s="4"/>
      <c r="BQ17" s="4"/>
      <c r="BR17" s="4"/>
      <c r="BS17" s="4"/>
    </row>
    <row r="18" spans="1:71" s="63" customFormat="1" ht="12.75" x14ac:dyDescent="0.25">
      <c r="A18" s="20"/>
      <c r="B18" s="31" t="str">
        <f t="shared" si="2"/>
        <v/>
      </c>
      <c r="C18" s="31" t="str">
        <f t="shared" si="3"/>
        <v/>
      </c>
      <c r="D18" s="32"/>
      <c r="E18" s="33"/>
      <c r="F18" s="36"/>
      <c r="G18" s="36"/>
      <c r="H18" s="38" t="str">
        <f t="shared" ref="H18:H81" si="8">IF(I18="","",$I$14)</f>
        <v/>
      </c>
      <c r="I18" s="34"/>
      <c r="J18" s="13"/>
      <c r="K18" s="13"/>
      <c r="L18" s="13"/>
      <c r="M18" s="13"/>
      <c r="N18" s="35"/>
      <c r="O18" s="5" t="s">
        <v>5</v>
      </c>
      <c r="P18" s="5">
        <v>0.5</v>
      </c>
      <c r="Q18" s="84">
        <f t="shared" si="4"/>
        <v>0</v>
      </c>
      <c r="R18" s="5" t="s">
        <v>171</v>
      </c>
      <c r="U18" s="66" t="s">
        <v>21</v>
      </c>
      <c r="V18" s="65">
        <f t="shared" ref="V18:V24" si="9">COUNTIF($M$17:$M$106,$U18)</f>
        <v>0</v>
      </c>
      <c r="W18" s="70"/>
      <c r="X18" s="79" t="s">
        <v>3</v>
      </c>
      <c r="Y18" s="62">
        <f>COUNTIF($J$17:$J$106,X18)</f>
        <v>0</v>
      </c>
      <c r="Z18" s="105" t="s">
        <v>62</v>
      </c>
      <c r="AA18" s="62">
        <f>COUNTIF($K$17:$K$106,Z18)</f>
        <v>0</v>
      </c>
      <c r="AB18" s="66" t="s">
        <v>5</v>
      </c>
      <c r="AC18" s="61">
        <f t="shared" si="5"/>
        <v>0</v>
      </c>
      <c r="AD18" s="61">
        <f t="shared" si="6"/>
        <v>0.5</v>
      </c>
      <c r="AE18" s="66" t="s">
        <v>12</v>
      </c>
      <c r="AF18" s="65">
        <f t="shared" si="7"/>
        <v>0</v>
      </c>
      <c r="AG18" s="62">
        <f>COUNTIF($E$17:$E$106,$AK18)</f>
        <v>0</v>
      </c>
      <c r="AH18" s="65"/>
      <c r="AI18" s="65"/>
      <c r="AK18" s="80">
        <v>2</v>
      </c>
      <c r="AM18" s="65" t="s">
        <v>56</v>
      </c>
      <c r="AN18" s="65">
        <v>2</v>
      </c>
      <c r="AO18" s="65"/>
      <c r="AP18" s="65" t="s">
        <v>66</v>
      </c>
      <c r="AQ18" s="65">
        <v>2</v>
      </c>
      <c r="AR18" s="65" t="s">
        <v>15</v>
      </c>
      <c r="AS18" s="65">
        <v>5</v>
      </c>
      <c r="AT18" s="65" t="s">
        <v>17</v>
      </c>
      <c r="AU18" s="65">
        <v>1</v>
      </c>
      <c r="AV18" s="65" t="s">
        <v>17</v>
      </c>
      <c r="AW18" s="65">
        <v>1</v>
      </c>
      <c r="AX18" s="65"/>
      <c r="AY18" s="65"/>
      <c r="AZ18" s="65"/>
      <c r="BA18" s="81" t="s">
        <v>102</v>
      </c>
      <c r="BB18" s="65"/>
      <c r="BC18" s="79">
        <v>1</v>
      </c>
      <c r="BE18" s="65" t="s">
        <v>35</v>
      </c>
      <c r="BF18" s="65">
        <f>COUNTIF($M$17:$M$106,BE18)</f>
        <v>0</v>
      </c>
      <c r="BG18" s="4"/>
      <c r="BH18" s="4"/>
      <c r="BI18" s="4"/>
      <c r="BJ18" s="4"/>
      <c r="BK18" s="4"/>
      <c r="BL18" s="4"/>
      <c r="BM18" s="4"/>
      <c r="BN18" s="4"/>
      <c r="BO18" s="4"/>
      <c r="BP18" s="4"/>
      <c r="BQ18" s="4"/>
      <c r="BR18" s="4"/>
      <c r="BS18" s="4"/>
    </row>
    <row r="19" spans="1:71" s="63" customFormat="1" ht="12.75" x14ac:dyDescent="0.25">
      <c r="A19" s="20"/>
      <c r="B19" s="31" t="str">
        <f t="shared" si="2"/>
        <v/>
      </c>
      <c r="C19" s="31" t="str">
        <f t="shared" si="3"/>
        <v/>
      </c>
      <c r="D19" s="32"/>
      <c r="E19" s="33"/>
      <c r="F19" s="36"/>
      <c r="G19" s="36"/>
      <c r="H19" s="38" t="str">
        <f t="shared" si="8"/>
        <v/>
      </c>
      <c r="I19" s="34"/>
      <c r="J19" s="13"/>
      <c r="K19" s="13"/>
      <c r="L19" s="13"/>
      <c r="M19" s="13"/>
      <c r="N19" s="35"/>
      <c r="O19" s="5" t="s">
        <v>76</v>
      </c>
      <c r="P19" s="5">
        <v>15</v>
      </c>
      <c r="Q19" s="84">
        <f t="shared" si="4"/>
        <v>0</v>
      </c>
      <c r="R19" s="5" t="s">
        <v>172</v>
      </c>
      <c r="U19" s="66" t="s">
        <v>8</v>
      </c>
      <c r="V19" s="65">
        <f t="shared" si="9"/>
        <v>0</v>
      </c>
      <c r="W19" s="75"/>
      <c r="X19" s="82"/>
      <c r="Y19" s="83"/>
      <c r="Z19" s="105" t="s">
        <v>61</v>
      </c>
      <c r="AA19" s="62">
        <f>COUNTIF($K$17:$K$106,Z19)</f>
        <v>0</v>
      </c>
      <c r="AB19" s="66" t="s">
        <v>76</v>
      </c>
      <c r="AC19" s="61">
        <f t="shared" si="5"/>
        <v>0</v>
      </c>
      <c r="AD19" s="61">
        <f t="shared" si="6"/>
        <v>15</v>
      </c>
      <c r="AE19" s="66" t="s">
        <v>19</v>
      </c>
      <c r="AF19" s="65">
        <f t="shared" si="7"/>
        <v>0</v>
      </c>
      <c r="AG19" s="62">
        <f>COUNTIF($E$17:$E$106,$AK19)</f>
        <v>0</v>
      </c>
      <c r="AH19" s="65"/>
      <c r="AI19" s="65"/>
      <c r="AK19" s="80">
        <v>3</v>
      </c>
      <c r="AN19" s="65">
        <v>3</v>
      </c>
      <c r="AO19" s="65"/>
      <c r="AR19" s="65"/>
      <c r="AS19" s="65"/>
      <c r="AT19" s="65" t="s">
        <v>71</v>
      </c>
      <c r="AU19" s="74">
        <v>2</v>
      </c>
      <c r="AV19" s="65" t="s">
        <v>16</v>
      </c>
      <c r="AW19" s="74">
        <v>2</v>
      </c>
      <c r="AX19" s="74"/>
      <c r="AY19" s="74"/>
      <c r="AZ19" s="74"/>
      <c r="BA19" s="81" t="s">
        <v>103</v>
      </c>
      <c r="BB19" s="74"/>
      <c r="BC19" s="79">
        <v>2</v>
      </c>
      <c r="BE19" s="65" t="s">
        <v>39</v>
      </c>
      <c r="BF19" s="65">
        <f>COUNTIF($M$17:$M$106,BE19)</f>
        <v>0</v>
      </c>
      <c r="BG19" s="4"/>
      <c r="BH19" s="4"/>
      <c r="BI19" s="4"/>
      <c r="BJ19" s="4"/>
      <c r="BK19" s="4"/>
      <c r="BL19" s="4"/>
      <c r="BM19" s="4"/>
      <c r="BN19" s="4"/>
      <c r="BO19" s="4"/>
      <c r="BP19" s="4"/>
      <c r="BQ19" s="4"/>
      <c r="BR19" s="4"/>
      <c r="BS19" s="4"/>
    </row>
    <row r="20" spans="1:71" s="63" customFormat="1" ht="12.75" x14ac:dyDescent="0.25">
      <c r="A20" s="20"/>
      <c r="B20" s="31" t="str">
        <f t="shared" si="2"/>
        <v/>
      </c>
      <c r="C20" s="31" t="str">
        <f t="shared" si="3"/>
        <v/>
      </c>
      <c r="D20" s="32"/>
      <c r="E20" s="33"/>
      <c r="F20" s="36"/>
      <c r="G20" s="36"/>
      <c r="H20" s="38" t="str">
        <f t="shared" si="8"/>
        <v/>
      </c>
      <c r="I20" s="34"/>
      <c r="J20" s="13"/>
      <c r="K20" s="13"/>
      <c r="L20" s="13"/>
      <c r="M20" s="13"/>
      <c r="N20" s="35"/>
      <c r="O20" s="5" t="s">
        <v>24</v>
      </c>
      <c r="P20" s="5">
        <v>10</v>
      </c>
      <c r="Q20" s="84">
        <f t="shared" si="4"/>
        <v>0</v>
      </c>
      <c r="R20" s="5" t="s">
        <v>171</v>
      </c>
      <c r="U20" s="66" t="s">
        <v>29</v>
      </c>
      <c r="V20" s="65">
        <f t="shared" si="9"/>
        <v>0</v>
      </c>
      <c r="X20" s="82"/>
      <c r="Y20" s="83"/>
      <c r="Z20" s="88"/>
      <c r="AA20" s="65"/>
      <c r="AB20" s="66" t="s">
        <v>24</v>
      </c>
      <c r="AC20" s="61">
        <f t="shared" si="5"/>
        <v>0</v>
      </c>
      <c r="AD20" s="61">
        <f t="shared" si="6"/>
        <v>10</v>
      </c>
      <c r="AE20" s="66" t="s">
        <v>168</v>
      </c>
      <c r="AF20" s="65">
        <f t="shared" si="7"/>
        <v>0</v>
      </c>
      <c r="AG20" s="62">
        <f>COUNTIF($E$17:$E$106,$AK20)</f>
        <v>0</v>
      </c>
      <c r="AH20" s="65"/>
      <c r="AI20" s="65"/>
      <c r="AK20" s="80">
        <v>4</v>
      </c>
      <c r="AM20" s="65"/>
      <c r="AN20" s="65">
        <v>4</v>
      </c>
      <c r="AO20" s="65"/>
      <c r="AT20" s="65"/>
      <c r="AU20" s="74"/>
      <c r="AV20" s="65"/>
      <c r="AW20" s="74"/>
      <c r="AX20" s="74"/>
      <c r="AY20" s="74"/>
      <c r="AZ20" s="74"/>
      <c r="BA20" s="81" t="s">
        <v>107</v>
      </c>
      <c r="BB20" s="74"/>
      <c r="BC20" s="79">
        <v>3</v>
      </c>
      <c r="BE20" s="65" t="s">
        <v>37</v>
      </c>
      <c r="BF20" s="65">
        <f>COUNTIF($M$17:$M$106,BE20)</f>
        <v>0</v>
      </c>
      <c r="BG20" s="4"/>
      <c r="BH20" s="4"/>
      <c r="BI20" s="4"/>
      <c r="BJ20" s="4"/>
      <c r="BK20" s="4"/>
      <c r="BL20" s="4"/>
      <c r="BM20" s="4"/>
      <c r="BN20" s="4"/>
      <c r="BO20" s="4"/>
      <c r="BP20" s="4"/>
      <c r="BQ20" s="4"/>
      <c r="BR20" s="4"/>
      <c r="BS20" s="4"/>
    </row>
    <row r="21" spans="1:71" s="63" customFormat="1" ht="12.75" x14ac:dyDescent="0.25">
      <c r="A21" s="20"/>
      <c r="B21" s="31" t="str">
        <f t="shared" si="2"/>
        <v/>
      </c>
      <c r="C21" s="31" t="str">
        <f t="shared" si="3"/>
        <v/>
      </c>
      <c r="D21" s="32"/>
      <c r="E21" s="33"/>
      <c r="F21" s="36"/>
      <c r="G21" s="36"/>
      <c r="H21" s="38" t="str">
        <f t="shared" si="8"/>
        <v/>
      </c>
      <c r="I21" s="34"/>
      <c r="J21" s="13"/>
      <c r="K21" s="13"/>
      <c r="L21" s="13"/>
      <c r="M21" s="13"/>
      <c r="N21" s="35"/>
      <c r="O21" s="5" t="s">
        <v>46</v>
      </c>
      <c r="P21" s="5">
        <v>5</v>
      </c>
      <c r="Q21" s="84">
        <f t="shared" si="4"/>
        <v>0</v>
      </c>
      <c r="R21" s="5" t="s">
        <v>172</v>
      </c>
      <c r="U21" s="66" t="s">
        <v>31</v>
      </c>
      <c r="V21" s="65">
        <f t="shared" si="9"/>
        <v>0</v>
      </c>
      <c r="X21" s="82"/>
      <c r="Y21" s="83"/>
      <c r="Z21" s="105"/>
      <c r="AA21" s="65"/>
      <c r="AB21" s="66" t="s">
        <v>46</v>
      </c>
      <c r="AC21" s="61">
        <f t="shared" si="5"/>
        <v>0</v>
      </c>
      <c r="AD21" s="61">
        <f t="shared" si="6"/>
        <v>5</v>
      </c>
      <c r="AE21" s="66" t="s">
        <v>20</v>
      </c>
      <c r="AF21" s="65">
        <f t="shared" si="7"/>
        <v>0</v>
      </c>
      <c r="AG21" s="62">
        <f>COUNTIF($E$17:$E$106,$AK21)</f>
        <v>0</v>
      </c>
      <c r="AH21" s="65"/>
      <c r="AI21" s="65"/>
      <c r="AK21" s="80" t="s">
        <v>59</v>
      </c>
      <c r="AM21" s="65"/>
      <c r="AN21" s="65" t="s">
        <v>59</v>
      </c>
      <c r="AO21" s="65"/>
      <c r="AT21" s="65"/>
      <c r="AU21" s="74"/>
      <c r="AV21" s="65"/>
      <c r="AW21" s="74"/>
      <c r="AX21" s="74"/>
      <c r="AY21" s="74"/>
      <c r="AZ21" s="74"/>
      <c r="BA21" s="81" t="s">
        <v>104</v>
      </c>
      <c r="BB21" s="74"/>
      <c r="BC21" s="79">
        <v>4</v>
      </c>
      <c r="BE21" s="65" t="s">
        <v>23</v>
      </c>
      <c r="BF21" s="65">
        <f>COUNTIF($M$17:$M$106,BE21)</f>
        <v>0</v>
      </c>
      <c r="BG21" s="4"/>
      <c r="BH21" s="4"/>
      <c r="BI21" s="4"/>
      <c r="BJ21" s="4"/>
      <c r="BK21" s="4"/>
      <c r="BL21" s="4"/>
      <c r="BM21" s="4"/>
      <c r="BN21" s="4"/>
      <c r="BO21" s="4"/>
      <c r="BP21" s="4"/>
      <c r="BQ21" s="4"/>
      <c r="BR21" s="4"/>
      <c r="BS21" s="4"/>
    </row>
    <row r="22" spans="1:71" s="63" customFormat="1" ht="12.75" x14ac:dyDescent="0.25">
      <c r="A22" s="20"/>
      <c r="B22" s="31" t="str">
        <f t="shared" si="2"/>
        <v/>
      </c>
      <c r="C22" s="31" t="str">
        <f t="shared" si="3"/>
        <v/>
      </c>
      <c r="D22" s="32"/>
      <c r="E22" s="33"/>
      <c r="F22" s="36"/>
      <c r="G22" s="36"/>
      <c r="H22" s="38" t="str">
        <f t="shared" si="8"/>
        <v/>
      </c>
      <c r="I22" s="34"/>
      <c r="J22" s="13"/>
      <c r="K22" s="13"/>
      <c r="L22" s="13"/>
      <c r="M22" s="13"/>
      <c r="N22" s="35"/>
      <c r="O22" s="5" t="s">
        <v>6</v>
      </c>
      <c r="P22" s="5">
        <v>1</v>
      </c>
      <c r="Q22" s="84">
        <f t="shared" si="4"/>
        <v>0</v>
      </c>
      <c r="R22" s="5"/>
      <c r="U22" s="66" t="s">
        <v>32</v>
      </c>
      <c r="V22" s="65">
        <f t="shared" si="9"/>
        <v>0</v>
      </c>
      <c r="X22" s="82"/>
      <c r="Y22" s="83"/>
      <c r="Z22" s="105"/>
      <c r="AA22" s="65"/>
      <c r="AB22" s="66" t="s">
        <v>6</v>
      </c>
      <c r="AC22" s="61">
        <f t="shared" si="5"/>
        <v>0</v>
      </c>
      <c r="AD22" s="61">
        <f t="shared" si="6"/>
        <v>1</v>
      </c>
      <c r="AE22" s="66" t="s">
        <v>167</v>
      </c>
      <c r="AF22" s="65">
        <f t="shared" si="7"/>
        <v>0</v>
      </c>
      <c r="AG22" s="65"/>
      <c r="AH22" s="65"/>
      <c r="AI22" s="65"/>
      <c r="AM22" s="65"/>
      <c r="AU22" s="74"/>
      <c r="AV22" s="65"/>
      <c r="AW22" s="74"/>
      <c r="AX22" s="74"/>
      <c r="AY22" s="74"/>
      <c r="AZ22" s="74"/>
      <c r="BA22" s="81" t="s">
        <v>105</v>
      </c>
      <c r="BB22" s="74"/>
      <c r="BC22" s="79">
        <v>5</v>
      </c>
      <c r="BG22" s="4"/>
      <c r="BH22" s="4"/>
      <c r="BI22" s="4"/>
      <c r="BJ22" s="4"/>
      <c r="BK22" s="4"/>
      <c r="BL22" s="4"/>
      <c r="BM22" s="4"/>
      <c r="BN22" s="4"/>
      <c r="BO22" s="4"/>
      <c r="BP22" s="4"/>
      <c r="BQ22" s="4"/>
      <c r="BR22" s="4"/>
      <c r="BS22" s="4"/>
    </row>
    <row r="23" spans="1:71" s="63" customFormat="1" ht="12.75" x14ac:dyDescent="0.25">
      <c r="A23" s="20"/>
      <c r="B23" s="31" t="str">
        <f t="shared" si="2"/>
        <v/>
      </c>
      <c r="C23" s="31" t="str">
        <f t="shared" si="3"/>
        <v/>
      </c>
      <c r="D23" s="32"/>
      <c r="E23" s="33"/>
      <c r="F23" s="36"/>
      <c r="G23" s="36"/>
      <c r="H23" s="38" t="str">
        <f t="shared" si="8"/>
        <v/>
      </c>
      <c r="I23" s="34"/>
      <c r="J23" s="13"/>
      <c r="K23" s="13"/>
      <c r="L23" s="13"/>
      <c r="M23" s="13"/>
      <c r="N23" s="35"/>
      <c r="O23" s="5" t="s">
        <v>7</v>
      </c>
      <c r="P23" s="5">
        <v>2.5</v>
      </c>
      <c r="Q23" s="84">
        <f t="shared" si="4"/>
        <v>0</v>
      </c>
      <c r="R23" s="5"/>
      <c r="U23" s="66" t="s">
        <v>33</v>
      </c>
      <c r="V23" s="65">
        <f t="shared" si="9"/>
        <v>0</v>
      </c>
      <c r="X23" s="82"/>
      <c r="Y23" s="83"/>
      <c r="Z23" s="105"/>
      <c r="AA23" s="65"/>
      <c r="AB23" s="66" t="s">
        <v>7</v>
      </c>
      <c r="AC23" s="61">
        <f t="shared" si="5"/>
        <v>0</v>
      </c>
      <c r="AD23" s="61">
        <f t="shared" si="6"/>
        <v>2.5</v>
      </c>
      <c r="AE23" s="66" t="s">
        <v>21</v>
      </c>
      <c r="AF23" s="65">
        <f t="shared" si="7"/>
        <v>0</v>
      </c>
      <c r="AG23" s="65"/>
      <c r="AH23" s="65"/>
      <c r="AI23" s="65"/>
      <c r="AM23" s="65"/>
      <c r="AU23" s="74"/>
      <c r="AV23" s="65"/>
      <c r="AW23" s="74"/>
      <c r="AX23" s="74"/>
      <c r="AY23" s="74"/>
      <c r="AZ23" s="74"/>
      <c r="BA23" s="81" t="s">
        <v>106</v>
      </c>
      <c r="BB23" s="74"/>
      <c r="BC23" s="79">
        <v>6</v>
      </c>
      <c r="BG23" s="4"/>
      <c r="BH23" s="4"/>
      <c r="BI23" s="4"/>
      <c r="BJ23" s="4"/>
      <c r="BK23" s="4"/>
      <c r="BL23" s="4"/>
      <c r="BM23" s="4"/>
      <c r="BN23" s="4"/>
      <c r="BO23" s="4"/>
      <c r="BP23" s="4"/>
      <c r="BQ23" s="4"/>
      <c r="BR23" s="4"/>
      <c r="BS23" s="4"/>
    </row>
    <row r="24" spans="1:71" s="63" customFormat="1" ht="12.75" x14ac:dyDescent="0.25">
      <c r="A24" s="20"/>
      <c r="B24" s="31" t="str">
        <f t="shared" si="2"/>
        <v/>
      </c>
      <c r="C24" s="31" t="str">
        <f t="shared" si="3"/>
        <v/>
      </c>
      <c r="D24" s="32"/>
      <c r="E24" s="33"/>
      <c r="F24" s="36"/>
      <c r="G24" s="36"/>
      <c r="H24" s="38" t="str">
        <f t="shared" si="8"/>
        <v/>
      </c>
      <c r="I24" s="34"/>
      <c r="J24" s="13"/>
      <c r="K24" s="13"/>
      <c r="L24" s="13"/>
      <c r="M24" s="13"/>
      <c r="N24" s="35"/>
      <c r="O24" s="5" t="s">
        <v>47</v>
      </c>
      <c r="P24" s="5">
        <v>1</v>
      </c>
      <c r="Q24" s="84">
        <f t="shared" si="4"/>
        <v>0</v>
      </c>
      <c r="R24" s="5" t="s">
        <v>171</v>
      </c>
      <c r="U24" s="66" t="s">
        <v>40</v>
      </c>
      <c r="V24" s="65">
        <f t="shared" si="9"/>
        <v>0</v>
      </c>
      <c r="X24" s="82"/>
      <c r="Y24" s="83"/>
      <c r="Z24" s="105"/>
      <c r="AA24" s="65"/>
      <c r="AB24" s="66" t="s">
        <v>47</v>
      </c>
      <c r="AC24" s="61">
        <f t="shared" si="5"/>
        <v>0</v>
      </c>
      <c r="AD24" s="61">
        <f t="shared" si="6"/>
        <v>1</v>
      </c>
      <c r="AE24" s="66" t="s">
        <v>8</v>
      </c>
      <c r="AF24" s="65">
        <f t="shared" si="7"/>
        <v>0</v>
      </c>
      <c r="AG24" s="65"/>
      <c r="AH24" s="65"/>
      <c r="AI24" s="65"/>
      <c r="AM24" s="65"/>
      <c r="AU24" s="74"/>
      <c r="AV24" s="65"/>
      <c r="AW24" s="74"/>
      <c r="AX24" s="74"/>
      <c r="AY24" s="74"/>
      <c r="AZ24" s="74"/>
      <c r="BB24" s="74"/>
      <c r="BC24" s="79">
        <v>7</v>
      </c>
      <c r="BG24" s="4"/>
      <c r="BH24" s="4"/>
      <c r="BI24" s="4"/>
      <c r="BJ24" s="4"/>
      <c r="BK24" s="4"/>
      <c r="BL24" s="4"/>
      <c r="BM24" s="4"/>
      <c r="BN24" s="4"/>
      <c r="BO24" s="4"/>
      <c r="BP24" s="4"/>
      <c r="BQ24" s="4"/>
      <c r="BR24" s="4"/>
      <c r="BS24" s="4"/>
    </row>
    <row r="25" spans="1:71" s="63" customFormat="1" ht="12.75" x14ac:dyDescent="0.25">
      <c r="A25" s="20"/>
      <c r="B25" s="31" t="str">
        <f t="shared" si="2"/>
        <v/>
      </c>
      <c r="C25" s="31" t="str">
        <f t="shared" si="3"/>
        <v/>
      </c>
      <c r="D25" s="32"/>
      <c r="E25" s="33"/>
      <c r="F25" s="36"/>
      <c r="G25" s="36"/>
      <c r="H25" s="38" t="str">
        <f t="shared" si="8"/>
        <v/>
      </c>
      <c r="I25" s="34"/>
      <c r="J25" s="13"/>
      <c r="K25" s="13"/>
      <c r="L25" s="13"/>
      <c r="M25" s="13"/>
      <c r="N25" s="35"/>
      <c r="O25" s="5" t="s">
        <v>48</v>
      </c>
      <c r="P25" s="5">
        <v>2</v>
      </c>
      <c r="Q25" s="84">
        <f t="shared" si="4"/>
        <v>0</v>
      </c>
      <c r="R25" s="5"/>
      <c r="U25" s="73"/>
      <c r="X25" s="82"/>
      <c r="Y25" s="83"/>
      <c r="Z25" s="105"/>
      <c r="AA25" s="65"/>
      <c r="AB25" s="66" t="s">
        <v>48</v>
      </c>
      <c r="AC25" s="61">
        <f t="shared" si="5"/>
        <v>0</v>
      </c>
      <c r="AD25" s="61">
        <f t="shared" si="6"/>
        <v>2</v>
      </c>
      <c r="AE25" s="66" t="s">
        <v>22</v>
      </c>
      <c r="AF25" s="65">
        <f t="shared" si="7"/>
        <v>0</v>
      </c>
      <c r="AG25" s="65"/>
      <c r="AH25" s="65"/>
      <c r="AI25" s="65"/>
      <c r="AM25" s="65"/>
      <c r="AU25" s="74"/>
      <c r="AV25" s="65"/>
      <c r="AW25" s="74"/>
      <c r="AX25" s="74"/>
      <c r="AY25" s="74"/>
      <c r="AZ25" s="74"/>
      <c r="BB25" s="74"/>
      <c r="BC25" s="79">
        <v>8</v>
      </c>
      <c r="BG25" s="4"/>
      <c r="BH25" s="4"/>
      <c r="BI25" s="4"/>
      <c r="BJ25" s="4"/>
      <c r="BK25" s="4"/>
      <c r="BL25" s="4"/>
      <c r="BM25" s="4"/>
      <c r="BN25" s="4"/>
      <c r="BO25" s="4"/>
      <c r="BP25" s="4"/>
      <c r="BQ25" s="4"/>
      <c r="BR25" s="4"/>
      <c r="BS25" s="4"/>
    </row>
    <row r="26" spans="1:71" s="63" customFormat="1" ht="12.75" x14ac:dyDescent="0.25">
      <c r="A26" s="20"/>
      <c r="B26" s="31" t="str">
        <f t="shared" si="2"/>
        <v/>
      </c>
      <c r="C26" s="31" t="str">
        <f t="shared" si="3"/>
        <v/>
      </c>
      <c r="D26" s="32"/>
      <c r="E26" s="33"/>
      <c r="F26" s="36"/>
      <c r="G26" s="36"/>
      <c r="H26" s="38" t="str">
        <f t="shared" si="8"/>
        <v/>
      </c>
      <c r="I26" s="34"/>
      <c r="J26" s="13"/>
      <c r="K26" s="13"/>
      <c r="L26" s="13"/>
      <c r="M26" s="13"/>
      <c r="N26" s="35"/>
      <c r="O26" s="5" t="s">
        <v>77</v>
      </c>
      <c r="P26" s="5">
        <v>20</v>
      </c>
      <c r="Q26" s="84">
        <f t="shared" si="4"/>
        <v>0</v>
      </c>
      <c r="R26" s="5" t="s">
        <v>172</v>
      </c>
      <c r="U26" s="73"/>
      <c r="X26" s="82"/>
      <c r="Y26" s="83"/>
      <c r="Z26" s="105"/>
      <c r="AA26" s="65"/>
      <c r="AB26" s="66" t="s">
        <v>77</v>
      </c>
      <c r="AC26" s="61">
        <f t="shared" si="5"/>
        <v>0</v>
      </c>
      <c r="AD26" s="61">
        <v>20</v>
      </c>
      <c r="AE26" s="66" t="s">
        <v>23</v>
      </c>
      <c r="AF26" s="65">
        <f t="shared" si="7"/>
        <v>0</v>
      </c>
      <c r="AG26" s="65"/>
      <c r="AH26" s="65"/>
      <c r="AI26" s="65"/>
      <c r="AM26" s="65"/>
      <c r="AU26" s="74"/>
      <c r="AV26" s="65"/>
      <c r="AW26" s="74"/>
      <c r="AX26" s="74"/>
      <c r="AY26" s="74"/>
      <c r="AZ26" s="74"/>
      <c r="BB26" s="74"/>
      <c r="BC26" s="79">
        <v>9</v>
      </c>
      <c r="BG26" s="4"/>
      <c r="BH26" s="4"/>
      <c r="BI26" s="4"/>
      <c r="BJ26" s="4"/>
      <c r="BK26" s="4"/>
      <c r="BL26" s="4"/>
      <c r="BM26" s="4"/>
      <c r="BN26" s="4"/>
      <c r="BO26" s="4"/>
      <c r="BP26" s="4"/>
      <c r="BQ26" s="4"/>
      <c r="BR26" s="4"/>
      <c r="BS26" s="4"/>
    </row>
    <row r="27" spans="1:71" s="63" customFormat="1" ht="12.75" x14ac:dyDescent="0.25">
      <c r="A27" s="20"/>
      <c r="B27" s="31" t="str">
        <f t="shared" si="2"/>
        <v/>
      </c>
      <c r="C27" s="31" t="str">
        <f t="shared" si="3"/>
        <v/>
      </c>
      <c r="D27" s="32"/>
      <c r="E27" s="33"/>
      <c r="F27" s="36"/>
      <c r="G27" s="36"/>
      <c r="H27" s="38" t="str">
        <f t="shared" si="8"/>
        <v/>
      </c>
      <c r="I27" s="34"/>
      <c r="J27" s="13"/>
      <c r="K27" s="13"/>
      <c r="L27" s="13"/>
      <c r="M27" s="13"/>
      <c r="N27" s="35"/>
      <c r="O27" s="5" t="s">
        <v>78</v>
      </c>
      <c r="P27" s="5">
        <v>5</v>
      </c>
      <c r="Q27" s="84">
        <f t="shared" si="4"/>
        <v>0</v>
      </c>
      <c r="R27" s="5" t="s">
        <v>172</v>
      </c>
      <c r="U27" s="73"/>
      <c r="X27" s="82"/>
      <c r="Y27" s="83"/>
      <c r="Z27" s="105"/>
      <c r="AA27" s="65"/>
      <c r="AB27" s="66" t="s">
        <v>78</v>
      </c>
      <c r="AC27" s="61">
        <f t="shared" si="5"/>
        <v>0</v>
      </c>
      <c r="AD27" s="61">
        <f>P27</f>
        <v>5</v>
      </c>
      <c r="AE27" s="66" t="s">
        <v>24</v>
      </c>
      <c r="AF27" s="65">
        <f t="shared" si="7"/>
        <v>0</v>
      </c>
      <c r="AG27" s="65"/>
      <c r="AH27" s="65"/>
      <c r="AI27" s="65"/>
      <c r="AM27" s="65"/>
      <c r="AU27" s="74"/>
      <c r="AV27" s="65"/>
      <c r="AW27" s="74"/>
      <c r="AX27" s="74"/>
      <c r="AY27" s="74"/>
      <c r="AZ27" s="74"/>
      <c r="BB27" s="74"/>
      <c r="BC27" s="79">
        <v>10</v>
      </c>
      <c r="BG27" s="4"/>
      <c r="BH27" s="4"/>
      <c r="BI27" s="4"/>
      <c r="BJ27" s="4"/>
      <c r="BK27" s="4"/>
      <c r="BL27" s="4"/>
      <c r="BM27" s="4"/>
      <c r="BN27" s="4"/>
      <c r="BO27" s="4"/>
      <c r="BP27" s="4"/>
      <c r="BQ27" s="4"/>
      <c r="BR27" s="4"/>
      <c r="BS27" s="4"/>
    </row>
    <row r="28" spans="1:71" s="63" customFormat="1" ht="12.75" x14ac:dyDescent="0.25">
      <c r="A28" s="20"/>
      <c r="B28" s="31" t="str">
        <f t="shared" si="2"/>
        <v/>
      </c>
      <c r="C28" s="31" t="str">
        <f t="shared" si="3"/>
        <v/>
      </c>
      <c r="D28" s="32"/>
      <c r="E28" s="33"/>
      <c r="F28" s="36"/>
      <c r="G28" s="36"/>
      <c r="H28" s="38" t="str">
        <f t="shared" si="8"/>
        <v/>
      </c>
      <c r="I28" s="34"/>
      <c r="J28" s="13"/>
      <c r="K28" s="13"/>
      <c r="L28" s="13"/>
      <c r="M28" s="13"/>
      <c r="N28" s="35"/>
      <c r="O28" s="5" t="s">
        <v>36</v>
      </c>
      <c r="P28" s="5">
        <v>10</v>
      </c>
      <c r="Q28" s="84">
        <f t="shared" si="4"/>
        <v>0</v>
      </c>
      <c r="R28" s="5" t="s">
        <v>172</v>
      </c>
      <c r="U28" s="73"/>
      <c r="X28" s="82"/>
      <c r="Y28" s="83"/>
      <c r="Z28" s="105"/>
      <c r="AA28" s="65"/>
      <c r="AB28" s="66" t="s">
        <v>36</v>
      </c>
      <c r="AC28" s="61">
        <f t="shared" si="5"/>
        <v>0</v>
      </c>
      <c r="AD28" s="61">
        <f>P28</f>
        <v>10</v>
      </c>
      <c r="AE28" s="66" t="s">
        <v>46</v>
      </c>
      <c r="AF28" s="65">
        <f t="shared" si="7"/>
        <v>0</v>
      </c>
      <c r="AG28" s="65"/>
      <c r="AH28" s="65"/>
      <c r="AI28" s="65"/>
      <c r="AM28" s="65"/>
      <c r="AU28" s="74"/>
      <c r="AV28" s="65"/>
      <c r="AW28" s="74"/>
      <c r="AX28" s="74"/>
      <c r="AY28" s="74"/>
      <c r="AZ28" s="74"/>
      <c r="BB28" s="74"/>
      <c r="BC28" s="79"/>
      <c r="BG28" s="4"/>
      <c r="BH28" s="4"/>
      <c r="BI28" s="4"/>
      <c r="BJ28" s="4"/>
      <c r="BK28" s="4"/>
      <c r="BL28" s="4"/>
      <c r="BM28" s="4"/>
      <c r="BN28" s="4"/>
      <c r="BO28" s="4"/>
      <c r="BP28" s="4"/>
      <c r="BQ28" s="4"/>
      <c r="BR28" s="4"/>
      <c r="BS28" s="4"/>
    </row>
    <row r="29" spans="1:71" s="63" customFormat="1" ht="12.75" x14ac:dyDescent="0.25">
      <c r="A29" s="20"/>
      <c r="B29" s="31" t="str">
        <f t="shared" si="2"/>
        <v/>
      </c>
      <c r="C29" s="31" t="str">
        <f t="shared" si="3"/>
        <v/>
      </c>
      <c r="D29" s="32"/>
      <c r="E29" s="33"/>
      <c r="F29" s="36"/>
      <c r="G29" s="36"/>
      <c r="H29" s="38" t="str">
        <f t="shared" si="8"/>
        <v/>
      </c>
      <c r="I29" s="34"/>
      <c r="J29" s="13"/>
      <c r="K29" s="13"/>
      <c r="L29" s="13"/>
      <c r="M29" s="13"/>
      <c r="N29" s="35"/>
      <c r="O29" s="5" t="s">
        <v>75</v>
      </c>
      <c r="P29" s="5">
        <v>1</v>
      </c>
      <c r="Q29" s="84">
        <f t="shared" si="4"/>
        <v>0</v>
      </c>
      <c r="R29" s="5" t="s">
        <v>171</v>
      </c>
      <c r="U29" s="73"/>
      <c r="X29" s="82"/>
      <c r="Y29" s="83"/>
      <c r="Z29" s="105"/>
      <c r="AA29" s="65"/>
      <c r="AB29" s="66" t="s">
        <v>75</v>
      </c>
      <c r="AC29" s="61">
        <f t="shared" si="5"/>
        <v>0</v>
      </c>
      <c r="AD29" s="61">
        <f>P29</f>
        <v>1</v>
      </c>
      <c r="AE29" s="66" t="s">
        <v>25</v>
      </c>
      <c r="AF29" s="65">
        <f t="shared" si="7"/>
        <v>0</v>
      </c>
      <c r="AG29" s="65"/>
      <c r="AH29" s="65"/>
      <c r="AI29" s="65"/>
      <c r="AM29" s="65"/>
      <c r="AU29" s="74"/>
      <c r="AV29" s="65"/>
      <c r="AW29" s="74"/>
      <c r="AX29" s="74"/>
      <c r="AY29" s="74"/>
      <c r="AZ29" s="74"/>
      <c r="BB29" s="74"/>
      <c r="BC29" s="79"/>
      <c r="BG29" s="4"/>
      <c r="BH29" s="4"/>
      <c r="BI29" s="4"/>
      <c r="BJ29" s="4"/>
      <c r="BK29" s="4"/>
      <c r="BL29" s="4"/>
      <c r="BM29" s="4"/>
      <c r="BN29" s="4"/>
      <c r="BO29" s="4"/>
      <c r="BP29" s="4"/>
      <c r="BQ29" s="4"/>
      <c r="BR29" s="4"/>
      <c r="BS29" s="4"/>
    </row>
    <row r="30" spans="1:71" s="63" customFormat="1" ht="12.75" x14ac:dyDescent="0.25">
      <c r="A30" s="20"/>
      <c r="B30" s="31" t="str">
        <f t="shared" si="2"/>
        <v/>
      </c>
      <c r="C30" s="31" t="str">
        <f t="shared" si="3"/>
        <v/>
      </c>
      <c r="D30" s="32"/>
      <c r="E30" s="33"/>
      <c r="F30" s="36"/>
      <c r="G30" s="36"/>
      <c r="H30" s="38" t="str">
        <f t="shared" si="8"/>
        <v/>
      </c>
      <c r="I30" s="34"/>
      <c r="J30" s="13"/>
      <c r="K30" s="13"/>
      <c r="L30" s="13"/>
      <c r="M30" s="13"/>
      <c r="N30" s="35"/>
      <c r="O30" s="5"/>
      <c r="P30" s="5"/>
      <c r="Q30" s="84">
        <f t="shared" si="4"/>
        <v>0</v>
      </c>
      <c r="R30" s="5"/>
      <c r="U30" s="73"/>
      <c r="X30" s="82"/>
      <c r="Y30" s="83"/>
      <c r="Z30" s="105"/>
      <c r="AA30" s="65"/>
      <c r="AB30" s="66"/>
      <c r="AC30" s="74"/>
      <c r="AD30" s="61"/>
      <c r="AE30" s="66" t="s">
        <v>26</v>
      </c>
      <c r="AF30" s="65">
        <f t="shared" si="7"/>
        <v>0</v>
      </c>
      <c r="AG30" s="65"/>
      <c r="AH30" s="65"/>
      <c r="AI30" s="65"/>
      <c r="AM30" s="65"/>
      <c r="AU30" s="74"/>
      <c r="AV30" s="65"/>
      <c r="AW30" s="74"/>
      <c r="AX30" s="74"/>
      <c r="AY30" s="74"/>
      <c r="AZ30" s="74"/>
      <c r="BB30" s="74"/>
      <c r="BC30" s="79"/>
      <c r="BG30" s="4"/>
      <c r="BH30" s="4"/>
      <c r="BI30" s="4"/>
      <c r="BJ30" s="4"/>
      <c r="BK30" s="4"/>
      <c r="BL30" s="4"/>
      <c r="BM30" s="4"/>
      <c r="BN30" s="4"/>
      <c r="BO30" s="4"/>
      <c r="BP30" s="4"/>
      <c r="BQ30" s="4"/>
      <c r="BR30" s="4"/>
      <c r="BS30" s="4"/>
    </row>
    <row r="31" spans="1:71" s="63" customFormat="1" ht="12.75" x14ac:dyDescent="0.25">
      <c r="A31" s="20"/>
      <c r="B31" s="31" t="str">
        <f t="shared" si="2"/>
        <v/>
      </c>
      <c r="C31" s="31" t="str">
        <f t="shared" si="3"/>
        <v/>
      </c>
      <c r="D31" s="32"/>
      <c r="E31" s="33"/>
      <c r="F31" s="36"/>
      <c r="G31" s="36"/>
      <c r="H31" s="38" t="str">
        <f t="shared" si="8"/>
        <v/>
      </c>
      <c r="I31" s="34"/>
      <c r="J31" s="13"/>
      <c r="K31" s="13"/>
      <c r="L31" s="13"/>
      <c r="M31" s="13"/>
      <c r="N31" s="35"/>
      <c r="O31" s="5"/>
      <c r="P31" s="5"/>
      <c r="Q31" s="84">
        <f t="shared" si="4"/>
        <v>0</v>
      </c>
      <c r="R31" s="5"/>
      <c r="U31" s="73"/>
      <c r="X31" s="82"/>
      <c r="Y31" s="83"/>
      <c r="Z31" s="105"/>
      <c r="AA31" s="65"/>
      <c r="AB31" s="66"/>
      <c r="AC31" s="74"/>
      <c r="AD31" s="61"/>
      <c r="AE31" s="66" t="s">
        <v>27</v>
      </c>
      <c r="AF31" s="65">
        <f t="shared" si="7"/>
        <v>0</v>
      </c>
      <c r="AG31" s="65"/>
      <c r="AH31" s="65"/>
      <c r="AI31" s="65"/>
      <c r="AM31" s="65"/>
      <c r="AU31" s="74"/>
      <c r="AV31" s="65"/>
      <c r="AW31" s="74"/>
      <c r="AX31" s="74"/>
      <c r="AY31" s="74"/>
      <c r="AZ31" s="74"/>
      <c r="BB31" s="74"/>
      <c r="BC31" s="79"/>
      <c r="BG31" s="4"/>
      <c r="BH31" s="4"/>
      <c r="BI31" s="4"/>
      <c r="BJ31" s="4"/>
      <c r="BK31" s="4"/>
      <c r="BL31" s="4"/>
      <c r="BM31" s="4"/>
      <c r="BN31" s="4"/>
      <c r="BO31" s="4"/>
      <c r="BP31" s="4"/>
      <c r="BQ31" s="4"/>
      <c r="BR31" s="4"/>
      <c r="BS31" s="4"/>
    </row>
    <row r="32" spans="1:71" s="63" customFormat="1" ht="12.75" x14ac:dyDescent="0.25">
      <c r="A32" s="20"/>
      <c r="B32" s="31" t="str">
        <f t="shared" si="2"/>
        <v/>
      </c>
      <c r="C32" s="31" t="str">
        <f t="shared" si="3"/>
        <v/>
      </c>
      <c r="D32" s="32"/>
      <c r="E32" s="33"/>
      <c r="F32" s="36"/>
      <c r="G32" s="36"/>
      <c r="H32" s="38" t="str">
        <f t="shared" si="8"/>
        <v/>
      </c>
      <c r="I32" s="34"/>
      <c r="J32" s="13"/>
      <c r="K32" s="13"/>
      <c r="L32" s="13"/>
      <c r="M32" s="13"/>
      <c r="N32" s="35"/>
      <c r="O32" s="5"/>
      <c r="P32" s="5"/>
      <c r="Q32" s="84">
        <f t="shared" si="4"/>
        <v>0</v>
      </c>
      <c r="R32" s="5"/>
      <c r="U32" s="73"/>
      <c r="X32" s="82"/>
      <c r="Y32" s="83"/>
      <c r="Z32" s="105"/>
      <c r="AA32" s="65"/>
      <c r="AB32" s="66"/>
      <c r="AC32" s="74"/>
      <c r="AD32" s="61"/>
      <c r="AE32" s="66" t="s">
        <v>29</v>
      </c>
      <c r="AF32" s="65">
        <f t="shared" si="7"/>
        <v>0</v>
      </c>
      <c r="AG32" s="65"/>
      <c r="AH32" s="65"/>
      <c r="AI32" s="65"/>
      <c r="AM32" s="65"/>
      <c r="AU32" s="74"/>
      <c r="AV32" s="65"/>
      <c r="AW32" s="74"/>
      <c r="AX32" s="74"/>
      <c r="AY32" s="74"/>
      <c r="AZ32" s="74"/>
      <c r="BB32" s="74"/>
      <c r="BC32" s="79"/>
      <c r="BG32" s="4"/>
      <c r="BH32" s="4"/>
      <c r="BI32" s="4"/>
      <c r="BJ32" s="4"/>
      <c r="BK32" s="4"/>
      <c r="BL32" s="4"/>
      <c r="BM32" s="4"/>
      <c r="BN32" s="4"/>
      <c r="BO32" s="4"/>
      <c r="BP32" s="4"/>
      <c r="BQ32" s="4"/>
      <c r="BR32" s="4"/>
      <c r="BS32" s="4"/>
    </row>
    <row r="33" spans="1:71" s="63" customFormat="1" ht="12.75" x14ac:dyDescent="0.25">
      <c r="A33" s="20"/>
      <c r="B33" s="31" t="str">
        <f t="shared" si="2"/>
        <v/>
      </c>
      <c r="C33" s="31" t="str">
        <f t="shared" si="3"/>
        <v/>
      </c>
      <c r="D33" s="32"/>
      <c r="E33" s="33"/>
      <c r="F33" s="36"/>
      <c r="G33" s="36"/>
      <c r="H33" s="38" t="str">
        <f t="shared" si="8"/>
        <v/>
      </c>
      <c r="I33" s="34"/>
      <c r="J33" s="13"/>
      <c r="K33" s="13"/>
      <c r="L33" s="13"/>
      <c r="M33" s="13"/>
      <c r="N33" s="35"/>
      <c r="O33" s="5"/>
      <c r="P33" s="5"/>
      <c r="Q33" s="84">
        <f t="shared" si="4"/>
        <v>0</v>
      </c>
      <c r="R33" s="5"/>
      <c r="U33" s="73"/>
      <c r="X33" s="82"/>
      <c r="Y33" s="83"/>
      <c r="Z33" s="105"/>
      <c r="AA33" s="65"/>
      <c r="AB33" s="66"/>
      <c r="AC33" s="74"/>
      <c r="AE33" s="66" t="s">
        <v>28</v>
      </c>
      <c r="AF33" s="65">
        <f t="shared" si="7"/>
        <v>0</v>
      </c>
      <c r="AG33" s="65"/>
      <c r="AH33" s="65"/>
      <c r="AI33" s="65"/>
      <c r="AM33" s="65"/>
      <c r="AU33" s="74"/>
      <c r="AV33" s="65"/>
      <c r="AW33" s="74"/>
      <c r="AX33" s="74"/>
      <c r="AY33" s="74"/>
      <c r="AZ33" s="74"/>
      <c r="BB33" s="74"/>
      <c r="BC33" s="79"/>
      <c r="BG33" s="4"/>
      <c r="BH33" s="4"/>
      <c r="BI33" s="4"/>
      <c r="BJ33" s="4"/>
      <c r="BK33" s="4"/>
      <c r="BL33" s="4"/>
      <c r="BM33" s="4"/>
      <c r="BN33" s="4"/>
      <c r="BO33" s="4"/>
      <c r="BP33" s="4"/>
      <c r="BQ33" s="4"/>
      <c r="BR33" s="4"/>
      <c r="BS33" s="4"/>
    </row>
    <row r="34" spans="1:71" s="63" customFormat="1" ht="12.75" x14ac:dyDescent="0.25">
      <c r="A34" s="20"/>
      <c r="B34" s="31" t="str">
        <f t="shared" si="2"/>
        <v/>
      </c>
      <c r="C34" s="31" t="str">
        <f t="shared" si="3"/>
        <v/>
      </c>
      <c r="D34" s="32"/>
      <c r="E34" s="33"/>
      <c r="F34" s="36"/>
      <c r="G34" s="36"/>
      <c r="H34" s="38" t="str">
        <f t="shared" si="8"/>
        <v/>
      </c>
      <c r="I34" s="34"/>
      <c r="J34" s="13"/>
      <c r="K34" s="13"/>
      <c r="L34" s="13"/>
      <c r="M34" s="13"/>
      <c r="N34" s="35"/>
      <c r="O34" s="5"/>
      <c r="P34" s="5"/>
      <c r="Q34" s="84">
        <f t="shared" si="4"/>
        <v>0</v>
      </c>
      <c r="R34" s="5"/>
      <c r="U34" s="73"/>
      <c r="X34" s="82"/>
      <c r="Y34" s="83"/>
      <c r="Z34" s="105"/>
      <c r="AA34" s="65"/>
      <c r="AB34" s="66"/>
      <c r="AC34" s="74"/>
      <c r="AE34" s="66" t="s">
        <v>30</v>
      </c>
      <c r="AF34" s="65">
        <f t="shared" si="7"/>
        <v>0</v>
      </c>
      <c r="AG34" s="65"/>
      <c r="AH34" s="65"/>
      <c r="AI34" s="65"/>
      <c r="AM34" s="65"/>
      <c r="AU34" s="74"/>
      <c r="AV34" s="65"/>
      <c r="AW34" s="74"/>
      <c r="AX34" s="74"/>
      <c r="AY34" s="74"/>
      <c r="AZ34" s="74"/>
      <c r="BB34" s="74"/>
      <c r="BC34" s="79"/>
      <c r="BG34" s="4"/>
      <c r="BH34" s="4"/>
      <c r="BI34" s="4"/>
      <c r="BJ34" s="4"/>
      <c r="BK34" s="4"/>
      <c r="BL34" s="4"/>
      <c r="BM34" s="4"/>
      <c r="BN34" s="4"/>
      <c r="BO34" s="4"/>
      <c r="BP34" s="4"/>
      <c r="BQ34" s="4"/>
      <c r="BR34" s="4"/>
      <c r="BS34" s="4"/>
    </row>
    <row r="35" spans="1:71" s="63" customFormat="1" ht="12.75" x14ac:dyDescent="0.25">
      <c r="A35" s="20"/>
      <c r="B35" s="31" t="str">
        <f t="shared" si="2"/>
        <v/>
      </c>
      <c r="C35" s="31" t="str">
        <f t="shared" si="3"/>
        <v/>
      </c>
      <c r="D35" s="32"/>
      <c r="E35" s="33"/>
      <c r="F35" s="36"/>
      <c r="G35" s="36"/>
      <c r="H35" s="38" t="str">
        <f t="shared" si="8"/>
        <v/>
      </c>
      <c r="I35" s="34"/>
      <c r="J35" s="13"/>
      <c r="K35" s="13"/>
      <c r="L35" s="13"/>
      <c r="M35" s="13"/>
      <c r="N35" s="35"/>
      <c r="O35" s="5"/>
      <c r="P35" s="5"/>
      <c r="Q35" s="84">
        <f t="shared" si="4"/>
        <v>0</v>
      </c>
      <c r="R35" s="5"/>
      <c r="U35" s="73"/>
      <c r="X35" s="82"/>
      <c r="Y35" s="83"/>
      <c r="Z35" s="105"/>
      <c r="AA35" s="65"/>
      <c r="AB35" s="66"/>
      <c r="AC35" s="74"/>
      <c r="AE35" s="66" t="s">
        <v>10</v>
      </c>
      <c r="AF35" s="65">
        <f t="shared" si="7"/>
        <v>0</v>
      </c>
      <c r="AG35" s="65"/>
      <c r="AH35" s="65"/>
      <c r="AI35" s="65"/>
      <c r="AM35" s="65"/>
      <c r="AU35" s="74"/>
      <c r="AV35" s="65"/>
      <c r="AW35" s="74"/>
      <c r="AX35" s="74"/>
      <c r="AY35" s="74"/>
      <c r="AZ35" s="74"/>
      <c r="BB35" s="74"/>
      <c r="BC35" s="79"/>
      <c r="BG35" s="4"/>
      <c r="BH35" s="4"/>
      <c r="BI35" s="4"/>
      <c r="BJ35" s="4"/>
      <c r="BK35" s="4"/>
      <c r="BL35" s="4"/>
      <c r="BM35" s="4"/>
      <c r="BN35" s="4"/>
      <c r="BO35" s="4"/>
      <c r="BP35" s="4"/>
      <c r="BQ35" s="4"/>
      <c r="BR35" s="4"/>
      <c r="BS35" s="4"/>
    </row>
    <row r="36" spans="1:71" s="63" customFormat="1" ht="12.75" x14ac:dyDescent="0.25">
      <c r="A36" s="20"/>
      <c r="B36" s="31" t="str">
        <f t="shared" si="2"/>
        <v/>
      </c>
      <c r="C36" s="31" t="str">
        <f t="shared" si="3"/>
        <v/>
      </c>
      <c r="D36" s="32"/>
      <c r="E36" s="33"/>
      <c r="F36" s="36"/>
      <c r="G36" s="36"/>
      <c r="H36" s="38" t="str">
        <f t="shared" si="8"/>
        <v/>
      </c>
      <c r="I36" s="34"/>
      <c r="J36" s="13"/>
      <c r="K36" s="13"/>
      <c r="L36" s="13"/>
      <c r="M36" s="13"/>
      <c r="N36" s="35"/>
      <c r="O36" s="5"/>
      <c r="P36" s="5"/>
      <c r="Q36" s="84">
        <f t="shared" si="4"/>
        <v>0</v>
      </c>
      <c r="R36" s="5"/>
      <c r="U36" s="73"/>
      <c r="X36" s="82"/>
      <c r="Y36" s="83"/>
      <c r="Z36" s="105"/>
      <c r="AA36" s="65"/>
      <c r="AB36" s="66"/>
      <c r="AC36" s="74"/>
      <c r="AE36" s="66" t="s">
        <v>78</v>
      </c>
      <c r="AF36" s="65">
        <f t="shared" si="7"/>
        <v>0</v>
      </c>
      <c r="AG36" s="65"/>
      <c r="AH36" s="65"/>
      <c r="AI36" s="65"/>
      <c r="AM36" s="65"/>
      <c r="AU36" s="74"/>
      <c r="AV36" s="65"/>
      <c r="AW36" s="74"/>
      <c r="AX36" s="74"/>
      <c r="AY36" s="74"/>
      <c r="AZ36" s="74"/>
      <c r="BB36" s="74"/>
      <c r="BC36" s="79"/>
      <c r="BG36" s="4"/>
      <c r="BH36" s="4"/>
      <c r="BI36" s="4"/>
      <c r="BJ36" s="4"/>
      <c r="BK36" s="4"/>
      <c r="BL36" s="4"/>
      <c r="BM36" s="4"/>
      <c r="BN36" s="4"/>
      <c r="BO36" s="4"/>
      <c r="BP36" s="4"/>
      <c r="BQ36" s="4"/>
      <c r="BR36" s="4"/>
      <c r="BS36" s="4"/>
    </row>
    <row r="37" spans="1:71" s="63" customFormat="1" ht="12.75" x14ac:dyDescent="0.25">
      <c r="A37" s="20"/>
      <c r="B37" s="31" t="str">
        <f t="shared" si="2"/>
        <v/>
      </c>
      <c r="C37" s="31" t="str">
        <f t="shared" si="3"/>
        <v/>
      </c>
      <c r="D37" s="32"/>
      <c r="E37" s="33"/>
      <c r="F37" s="36"/>
      <c r="G37" s="36"/>
      <c r="H37" s="38" t="str">
        <f t="shared" si="8"/>
        <v/>
      </c>
      <c r="I37" s="34"/>
      <c r="J37" s="13"/>
      <c r="K37" s="13"/>
      <c r="L37" s="13"/>
      <c r="M37" s="13"/>
      <c r="N37" s="35"/>
      <c r="O37" s="5"/>
      <c r="P37" s="5"/>
      <c r="Q37" s="84">
        <f t="shared" si="4"/>
        <v>0</v>
      </c>
      <c r="R37" s="5"/>
      <c r="U37" s="73"/>
      <c r="X37" s="82"/>
      <c r="Y37" s="83"/>
      <c r="Z37" s="105"/>
      <c r="AA37" s="65"/>
      <c r="AB37" s="66" t="s">
        <v>114</v>
      </c>
      <c r="AC37" s="61">
        <f>COUNTIF($L$17:$L$106,AB37)</f>
        <v>0</v>
      </c>
      <c r="AD37" s="61">
        <v>20</v>
      </c>
      <c r="AE37" s="66" t="s">
        <v>31</v>
      </c>
      <c r="AF37" s="65">
        <f t="shared" si="7"/>
        <v>0</v>
      </c>
      <c r="AG37" s="65"/>
      <c r="AH37" s="65"/>
      <c r="AI37" s="65"/>
      <c r="AM37" s="65"/>
      <c r="AU37" s="74"/>
      <c r="AV37" s="65"/>
      <c r="AW37" s="74"/>
      <c r="AX37" s="74"/>
      <c r="AY37" s="74"/>
      <c r="AZ37" s="74"/>
      <c r="BB37" s="74"/>
      <c r="BC37" s="79"/>
      <c r="BG37" s="4"/>
      <c r="BH37" s="4"/>
      <c r="BI37" s="4"/>
      <c r="BJ37" s="4"/>
      <c r="BK37" s="4"/>
      <c r="BL37" s="4"/>
      <c r="BM37" s="4"/>
      <c r="BN37" s="4"/>
      <c r="BO37" s="4"/>
      <c r="BP37" s="4"/>
      <c r="BQ37" s="4"/>
      <c r="BR37" s="4"/>
      <c r="BS37" s="4"/>
    </row>
    <row r="38" spans="1:71" s="63" customFormat="1" ht="12.75" x14ac:dyDescent="0.25">
      <c r="A38" s="20"/>
      <c r="B38" s="31" t="str">
        <f t="shared" si="2"/>
        <v/>
      </c>
      <c r="C38" s="31" t="str">
        <f t="shared" si="3"/>
        <v/>
      </c>
      <c r="D38" s="32"/>
      <c r="E38" s="33"/>
      <c r="F38" s="36"/>
      <c r="G38" s="36"/>
      <c r="H38" s="38" t="str">
        <f t="shared" si="8"/>
        <v/>
      </c>
      <c r="I38" s="34"/>
      <c r="J38" s="13"/>
      <c r="K38" s="13"/>
      <c r="L38" s="13"/>
      <c r="M38" s="13"/>
      <c r="N38" s="35"/>
      <c r="O38" s="5"/>
      <c r="P38" s="5"/>
      <c r="Q38" s="84">
        <f t="shared" si="4"/>
        <v>0</v>
      </c>
      <c r="R38" s="5"/>
      <c r="U38" s="73"/>
      <c r="X38" s="82"/>
      <c r="Y38" s="83"/>
      <c r="Z38" s="105"/>
      <c r="AA38" s="65"/>
      <c r="AB38" s="66"/>
      <c r="AC38" s="74"/>
      <c r="AE38" s="66" t="s">
        <v>32</v>
      </c>
      <c r="AF38" s="65">
        <f t="shared" si="7"/>
        <v>0</v>
      </c>
      <c r="AG38" s="65"/>
      <c r="AH38" s="65"/>
      <c r="AI38" s="65"/>
      <c r="AM38" s="65"/>
      <c r="AU38" s="74"/>
      <c r="AV38" s="65"/>
      <c r="AW38" s="74"/>
      <c r="AX38" s="74"/>
      <c r="AY38" s="74"/>
      <c r="AZ38" s="74"/>
      <c r="BB38" s="74"/>
      <c r="BC38" s="79"/>
      <c r="BG38" s="4"/>
      <c r="BH38" s="4"/>
      <c r="BI38" s="4"/>
      <c r="BJ38" s="4"/>
      <c r="BK38" s="4"/>
      <c r="BL38" s="4"/>
      <c r="BM38" s="4"/>
      <c r="BN38" s="4"/>
      <c r="BO38" s="4"/>
      <c r="BP38" s="4"/>
      <c r="BQ38" s="4"/>
      <c r="BR38" s="4"/>
      <c r="BS38" s="4"/>
    </row>
    <row r="39" spans="1:71" s="63" customFormat="1" ht="12.75" x14ac:dyDescent="0.25">
      <c r="A39" s="20"/>
      <c r="B39" s="31" t="str">
        <f t="shared" si="2"/>
        <v/>
      </c>
      <c r="C39" s="31" t="str">
        <f t="shared" si="3"/>
        <v/>
      </c>
      <c r="D39" s="32"/>
      <c r="E39" s="33"/>
      <c r="F39" s="36"/>
      <c r="G39" s="36"/>
      <c r="H39" s="38" t="str">
        <f t="shared" si="8"/>
        <v/>
      </c>
      <c r="I39" s="34"/>
      <c r="J39" s="13"/>
      <c r="K39" s="13"/>
      <c r="L39" s="13"/>
      <c r="M39" s="13"/>
      <c r="N39" s="35"/>
      <c r="O39" s="5"/>
      <c r="P39" s="5"/>
      <c r="Q39" s="84">
        <f t="shared" si="4"/>
        <v>0</v>
      </c>
      <c r="R39" s="5"/>
      <c r="U39" s="73"/>
      <c r="X39" s="82"/>
      <c r="Y39" s="83"/>
      <c r="Z39" s="105"/>
      <c r="AA39" s="65"/>
      <c r="AB39" s="66"/>
      <c r="AC39" s="74"/>
      <c r="AE39" s="66" t="s">
        <v>33</v>
      </c>
      <c r="AF39" s="65">
        <f t="shared" si="7"/>
        <v>0</v>
      </c>
      <c r="AG39" s="65"/>
      <c r="AH39" s="65"/>
      <c r="AI39" s="65"/>
      <c r="AM39" s="65"/>
      <c r="AU39" s="74"/>
      <c r="AV39" s="65"/>
      <c r="AW39" s="74"/>
      <c r="AX39" s="74"/>
      <c r="AY39" s="74"/>
      <c r="AZ39" s="74"/>
      <c r="BB39" s="74"/>
      <c r="BC39" s="79"/>
      <c r="BG39" s="4"/>
      <c r="BH39" s="4"/>
      <c r="BI39" s="4"/>
      <c r="BJ39" s="4"/>
      <c r="BK39" s="4"/>
      <c r="BL39" s="4"/>
      <c r="BM39" s="4"/>
      <c r="BN39" s="4"/>
      <c r="BO39" s="4"/>
      <c r="BP39" s="4"/>
      <c r="BQ39" s="4"/>
      <c r="BR39" s="4"/>
      <c r="BS39" s="4"/>
    </row>
    <row r="40" spans="1:71" s="63" customFormat="1" ht="12.75" x14ac:dyDescent="0.25">
      <c r="A40" s="20"/>
      <c r="B40" s="31" t="str">
        <f t="shared" si="2"/>
        <v/>
      </c>
      <c r="C40" s="31" t="str">
        <f t="shared" si="3"/>
        <v/>
      </c>
      <c r="D40" s="32"/>
      <c r="E40" s="33"/>
      <c r="F40" s="36"/>
      <c r="G40" s="36"/>
      <c r="H40" s="38" t="str">
        <f t="shared" si="8"/>
        <v/>
      </c>
      <c r="I40" s="34"/>
      <c r="J40" s="13"/>
      <c r="K40" s="13"/>
      <c r="L40" s="13"/>
      <c r="M40" s="13"/>
      <c r="N40" s="35"/>
      <c r="O40" s="5"/>
      <c r="P40" s="5"/>
      <c r="Q40" s="84">
        <f t="shared" si="4"/>
        <v>0</v>
      </c>
      <c r="R40" s="5"/>
      <c r="U40" s="73"/>
      <c r="X40" s="82"/>
      <c r="Y40" s="83"/>
      <c r="Z40" s="105"/>
      <c r="AA40" s="65"/>
      <c r="AB40" s="66"/>
      <c r="AC40" s="74"/>
      <c r="AE40" s="66" t="s">
        <v>34</v>
      </c>
      <c r="AF40" s="65">
        <f t="shared" si="7"/>
        <v>0</v>
      </c>
      <c r="AG40" s="65"/>
      <c r="AH40" s="65"/>
      <c r="AI40" s="65"/>
      <c r="AM40" s="65"/>
      <c r="AU40" s="74"/>
      <c r="AV40" s="65"/>
      <c r="AW40" s="74"/>
      <c r="AX40" s="74"/>
      <c r="AY40" s="74"/>
      <c r="AZ40" s="74"/>
      <c r="BB40" s="74"/>
      <c r="BC40" s="79"/>
      <c r="BG40" s="4"/>
      <c r="BH40" s="4"/>
      <c r="BI40" s="4"/>
      <c r="BJ40" s="4"/>
      <c r="BK40" s="4"/>
      <c r="BL40" s="4"/>
      <c r="BM40" s="4"/>
      <c r="BN40" s="4"/>
      <c r="BO40" s="4"/>
      <c r="BP40" s="4"/>
      <c r="BQ40" s="4"/>
      <c r="BR40" s="4"/>
      <c r="BS40" s="4"/>
    </row>
    <row r="41" spans="1:71" s="63" customFormat="1" ht="12.75" x14ac:dyDescent="0.25">
      <c r="A41" s="20"/>
      <c r="B41" s="31" t="str">
        <f t="shared" si="2"/>
        <v/>
      </c>
      <c r="C41" s="31" t="str">
        <f t="shared" si="3"/>
        <v/>
      </c>
      <c r="D41" s="32"/>
      <c r="E41" s="33"/>
      <c r="F41" s="36"/>
      <c r="G41" s="36"/>
      <c r="H41" s="38" t="str">
        <f t="shared" si="8"/>
        <v/>
      </c>
      <c r="I41" s="34"/>
      <c r="J41" s="13"/>
      <c r="K41" s="13"/>
      <c r="L41" s="13"/>
      <c r="M41" s="13"/>
      <c r="N41" s="35"/>
      <c r="O41" s="5"/>
      <c r="P41" s="5"/>
      <c r="Q41" s="84">
        <f t="shared" si="4"/>
        <v>0</v>
      </c>
      <c r="R41" s="5"/>
      <c r="U41" s="73"/>
      <c r="X41" s="82"/>
      <c r="Y41" s="83"/>
      <c r="Z41" s="105"/>
      <c r="AA41" s="65"/>
      <c r="AB41" s="66"/>
      <c r="AC41" s="74"/>
      <c r="AE41" s="66" t="s">
        <v>35</v>
      </c>
      <c r="AF41" s="65">
        <f t="shared" si="7"/>
        <v>0</v>
      </c>
      <c r="AG41" s="65"/>
      <c r="AH41" s="65"/>
      <c r="AI41" s="65"/>
      <c r="AM41" s="65"/>
      <c r="AU41" s="74"/>
      <c r="AV41" s="65"/>
      <c r="AW41" s="74"/>
      <c r="AX41" s="74"/>
      <c r="AY41" s="74"/>
      <c r="AZ41" s="74"/>
      <c r="BB41" s="74"/>
      <c r="BC41" s="79"/>
      <c r="BG41" s="4"/>
      <c r="BH41" s="4"/>
      <c r="BI41" s="4"/>
      <c r="BJ41" s="4"/>
      <c r="BK41" s="4"/>
      <c r="BL41" s="4"/>
      <c r="BM41" s="4"/>
      <c r="BN41" s="4"/>
      <c r="BO41" s="4"/>
      <c r="BP41" s="4"/>
      <c r="BQ41" s="4"/>
      <c r="BR41" s="4"/>
      <c r="BS41" s="4"/>
    </row>
    <row r="42" spans="1:71" s="63" customFormat="1" ht="12.75" x14ac:dyDescent="0.25">
      <c r="A42" s="20"/>
      <c r="B42" s="31" t="str">
        <f t="shared" si="2"/>
        <v/>
      </c>
      <c r="C42" s="31" t="str">
        <f t="shared" si="3"/>
        <v/>
      </c>
      <c r="D42" s="32"/>
      <c r="E42" s="33"/>
      <c r="F42" s="36"/>
      <c r="G42" s="36"/>
      <c r="H42" s="38" t="str">
        <f t="shared" si="8"/>
        <v/>
      </c>
      <c r="I42" s="34"/>
      <c r="J42" s="13"/>
      <c r="K42" s="13"/>
      <c r="L42" s="13"/>
      <c r="M42" s="13"/>
      <c r="N42" s="35"/>
      <c r="O42" s="5"/>
      <c r="P42" s="5"/>
      <c r="Q42" s="84">
        <f t="shared" si="4"/>
        <v>0</v>
      </c>
      <c r="R42" s="5"/>
      <c r="U42" s="73"/>
      <c r="X42" s="82"/>
      <c r="Y42" s="83"/>
      <c r="Z42" s="105"/>
      <c r="AA42" s="65"/>
      <c r="AB42" s="66"/>
      <c r="AC42" s="74"/>
      <c r="AE42" s="66" t="s">
        <v>164</v>
      </c>
      <c r="AF42" s="65">
        <f t="shared" si="7"/>
        <v>0</v>
      </c>
      <c r="AG42" s="65"/>
      <c r="AH42" s="65"/>
      <c r="AI42" s="65"/>
      <c r="AM42" s="65"/>
      <c r="AU42" s="74"/>
      <c r="AV42" s="65"/>
      <c r="AW42" s="74"/>
      <c r="AX42" s="74"/>
      <c r="AY42" s="74"/>
      <c r="AZ42" s="74"/>
      <c r="BB42" s="74"/>
      <c r="BC42" s="79"/>
      <c r="BG42" s="4"/>
      <c r="BH42" s="4"/>
      <c r="BI42" s="4"/>
      <c r="BJ42" s="4"/>
      <c r="BK42" s="4"/>
      <c r="BL42" s="4"/>
      <c r="BM42" s="4"/>
      <c r="BN42" s="4"/>
      <c r="BO42" s="4"/>
      <c r="BP42" s="4"/>
      <c r="BQ42" s="4"/>
      <c r="BR42" s="4"/>
      <c r="BS42" s="4"/>
    </row>
    <row r="43" spans="1:71" s="63" customFormat="1" ht="12.75" x14ac:dyDescent="0.25">
      <c r="A43" s="20"/>
      <c r="B43" s="31" t="str">
        <f t="shared" si="2"/>
        <v/>
      </c>
      <c r="C43" s="31" t="str">
        <f t="shared" si="3"/>
        <v/>
      </c>
      <c r="D43" s="32"/>
      <c r="E43" s="33"/>
      <c r="F43" s="36"/>
      <c r="G43" s="36"/>
      <c r="H43" s="38" t="str">
        <f t="shared" si="8"/>
        <v/>
      </c>
      <c r="I43" s="34"/>
      <c r="J43" s="13"/>
      <c r="K43" s="13"/>
      <c r="L43" s="13"/>
      <c r="M43" s="13"/>
      <c r="N43" s="35"/>
      <c r="O43" s="5"/>
      <c r="P43" s="5"/>
      <c r="Q43" s="84">
        <f t="shared" si="4"/>
        <v>0</v>
      </c>
      <c r="R43" s="5"/>
      <c r="U43" s="73"/>
      <c r="X43" s="82"/>
      <c r="Y43" s="83"/>
      <c r="Z43" s="105"/>
      <c r="AA43" s="65"/>
      <c r="AB43" s="66"/>
      <c r="AC43" s="74"/>
      <c r="AE43" s="66" t="s">
        <v>36</v>
      </c>
      <c r="AF43" s="65">
        <f t="shared" si="7"/>
        <v>0</v>
      </c>
      <c r="AG43" s="65"/>
      <c r="AH43" s="65"/>
      <c r="AI43" s="65"/>
      <c r="AM43" s="65"/>
      <c r="AU43" s="74"/>
      <c r="AV43" s="65"/>
      <c r="AW43" s="74"/>
      <c r="AX43" s="74"/>
      <c r="AY43" s="74"/>
      <c r="AZ43" s="74"/>
      <c r="BB43" s="74"/>
      <c r="BC43" s="79"/>
      <c r="BG43" s="4"/>
      <c r="BH43" s="4"/>
      <c r="BI43" s="4"/>
      <c r="BJ43" s="4"/>
      <c r="BK43" s="4"/>
      <c r="BL43" s="4"/>
      <c r="BM43" s="4"/>
      <c r="BN43" s="4"/>
      <c r="BO43" s="4"/>
      <c r="BP43" s="4"/>
      <c r="BQ43" s="4"/>
      <c r="BR43" s="4"/>
      <c r="BS43" s="4"/>
    </row>
    <row r="44" spans="1:71" s="63" customFormat="1" ht="12.75" x14ac:dyDescent="0.25">
      <c r="A44" s="20"/>
      <c r="B44" s="31" t="str">
        <f t="shared" si="2"/>
        <v/>
      </c>
      <c r="C44" s="31" t="str">
        <f t="shared" si="3"/>
        <v/>
      </c>
      <c r="D44" s="32"/>
      <c r="E44" s="33"/>
      <c r="F44" s="36"/>
      <c r="G44" s="36"/>
      <c r="H44" s="38" t="str">
        <f t="shared" si="8"/>
        <v/>
      </c>
      <c r="I44" s="34"/>
      <c r="J44" s="13"/>
      <c r="K44" s="13"/>
      <c r="L44" s="13"/>
      <c r="M44" s="13"/>
      <c r="N44" s="35"/>
      <c r="O44" s="5"/>
      <c r="P44" s="5"/>
      <c r="Q44" s="84">
        <f t="shared" si="4"/>
        <v>0</v>
      </c>
      <c r="R44" s="5"/>
      <c r="U44" s="73"/>
      <c r="X44" s="82"/>
      <c r="Y44" s="83"/>
      <c r="Z44" s="105"/>
      <c r="AA44" s="65"/>
      <c r="AB44" s="66"/>
      <c r="AC44" s="74"/>
      <c r="AE44" s="66" t="s">
        <v>37</v>
      </c>
      <c r="AF44" s="65">
        <f t="shared" si="7"/>
        <v>0</v>
      </c>
      <c r="AG44" s="65"/>
      <c r="AH44" s="65"/>
      <c r="AI44" s="65"/>
      <c r="AM44" s="65"/>
      <c r="AU44" s="74"/>
      <c r="AV44" s="65"/>
      <c r="AW44" s="74"/>
      <c r="AX44" s="74"/>
      <c r="AY44" s="74"/>
      <c r="AZ44" s="74"/>
      <c r="BB44" s="74"/>
      <c r="BC44" s="79"/>
      <c r="BG44" s="4"/>
      <c r="BH44" s="4"/>
      <c r="BI44" s="4"/>
      <c r="BJ44" s="4"/>
      <c r="BK44" s="4"/>
      <c r="BL44" s="4"/>
      <c r="BM44" s="4"/>
      <c r="BN44" s="4"/>
      <c r="BO44" s="4"/>
      <c r="BP44" s="4"/>
      <c r="BQ44" s="4"/>
      <c r="BR44" s="4"/>
      <c r="BS44" s="4"/>
    </row>
    <row r="45" spans="1:71" s="63" customFormat="1" ht="12.75" x14ac:dyDescent="0.25">
      <c r="A45" s="20"/>
      <c r="B45" s="31" t="str">
        <f t="shared" si="2"/>
        <v/>
      </c>
      <c r="C45" s="31" t="str">
        <f t="shared" si="3"/>
        <v/>
      </c>
      <c r="D45" s="32"/>
      <c r="E45" s="33"/>
      <c r="F45" s="36"/>
      <c r="G45" s="36"/>
      <c r="H45" s="38" t="str">
        <f t="shared" si="8"/>
        <v/>
      </c>
      <c r="I45" s="34"/>
      <c r="J45" s="13"/>
      <c r="K45" s="13"/>
      <c r="L45" s="13"/>
      <c r="M45" s="13"/>
      <c r="N45" s="35"/>
      <c r="O45" s="5"/>
      <c r="P45" s="5"/>
      <c r="Q45" s="84">
        <f t="shared" si="4"/>
        <v>0</v>
      </c>
      <c r="R45" s="5"/>
      <c r="U45" s="73"/>
      <c r="X45" s="82"/>
      <c r="Y45" s="83"/>
      <c r="Z45" s="105"/>
      <c r="AA45" s="65"/>
      <c r="AB45" s="66"/>
      <c r="AC45" s="74"/>
      <c r="AE45" s="66" t="s">
        <v>9</v>
      </c>
      <c r="AF45" s="65">
        <f t="shared" si="7"/>
        <v>0</v>
      </c>
      <c r="AG45" s="65"/>
      <c r="AH45" s="65"/>
      <c r="AI45" s="65"/>
      <c r="AM45" s="65"/>
      <c r="AU45" s="74"/>
      <c r="AV45" s="65"/>
      <c r="AW45" s="74"/>
      <c r="AX45" s="74"/>
      <c r="AY45" s="74"/>
      <c r="AZ45" s="74"/>
      <c r="BB45" s="74"/>
      <c r="BC45" s="79"/>
      <c r="BG45" s="4"/>
      <c r="BH45" s="4"/>
      <c r="BI45" s="4"/>
      <c r="BJ45" s="4"/>
      <c r="BK45" s="4"/>
      <c r="BL45" s="4"/>
      <c r="BM45" s="4"/>
      <c r="BN45" s="4"/>
      <c r="BO45" s="4"/>
      <c r="BP45" s="4"/>
      <c r="BQ45" s="4"/>
      <c r="BR45" s="4"/>
      <c r="BS45" s="4"/>
    </row>
    <row r="46" spans="1:71" s="63" customFormat="1" ht="12.75" x14ac:dyDescent="0.25">
      <c r="A46" s="20"/>
      <c r="B46" s="31" t="str">
        <f t="shared" si="2"/>
        <v/>
      </c>
      <c r="C46" s="31" t="str">
        <f t="shared" si="3"/>
        <v/>
      </c>
      <c r="D46" s="32"/>
      <c r="E46" s="33"/>
      <c r="F46" s="36"/>
      <c r="G46" s="36"/>
      <c r="H46" s="38" t="str">
        <f t="shared" si="8"/>
        <v/>
      </c>
      <c r="I46" s="34"/>
      <c r="J46" s="13"/>
      <c r="K46" s="13"/>
      <c r="L46" s="13"/>
      <c r="M46" s="13"/>
      <c r="N46" s="35"/>
      <c r="O46" s="5"/>
      <c r="P46" s="5"/>
      <c r="Q46" s="84">
        <f t="shared" si="4"/>
        <v>0</v>
      </c>
      <c r="R46" s="5"/>
      <c r="U46" s="73"/>
      <c r="X46" s="82"/>
      <c r="Y46" s="83"/>
      <c r="Z46" s="105"/>
      <c r="AA46" s="65"/>
      <c r="AB46" s="66"/>
      <c r="AC46" s="74"/>
      <c r="AE46" s="66" t="s">
        <v>38</v>
      </c>
      <c r="AF46" s="65">
        <f t="shared" si="7"/>
        <v>0</v>
      </c>
      <c r="AG46" s="65"/>
      <c r="AH46" s="65"/>
      <c r="AI46" s="65"/>
      <c r="AM46" s="65"/>
      <c r="AU46" s="74"/>
      <c r="AV46" s="65"/>
      <c r="AW46" s="74"/>
      <c r="AX46" s="74"/>
      <c r="AY46" s="74"/>
      <c r="AZ46" s="74"/>
      <c r="BB46" s="74"/>
      <c r="BC46" s="79"/>
      <c r="BG46" s="4"/>
      <c r="BH46" s="4"/>
      <c r="BI46" s="4"/>
      <c r="BJ46" s="4"/>
      <c r="BK46" s="4"/>
      <c r="BL46" s="4"/>
      <c r="BM46" s="4"/>
      <c r="BN46" s="4"/>
      <c r="BO46" s="4"/>
      <c r="BP46" s="4"/>
      <c r="BQ46" s="4"/>
      <c r="BR46" s="4"/>
      <c r="BS46" s="4"/>
    </row>
    <row r="47" spans="1:71" s="63" customFormat="1" ht="12.75" x14ac:dyDescent="0.25">
      <c r="A47" s="20"/>
      <c r="B47" s="31" t="str">
        <f t="shared" si="2"/>
        <v/>
      </c>
      <c r="C47" s="31" t="str">
        <f t="shared" si="3"/>
        <v/>
      </c>
      <c r="D47" s="32"/>
      <c r="E47" s="33"/>
      <c r="F47" s="36"/>
      <c r="G47" s="36"/>
      <c r="H47" s="38" t="str">
        <f t="shared" si="8"/>
        <v/>
      </c>
      <c r="I47" s="34"/>
      <c r="J47" s="13"/>
      <c r="K47" s="13"/>
      <c r="L47" s="13"/>
      <c r="M47" s="13"/>
      <c r="N47" s="35"/>
      <c r="O47" s="5"/>
      <c r="P47" s="5"/>
      <c r="Q47" s="84">
        <f t="shared" si="4"/>
        <v>0</v>
      </c>
      <c r="R47" s="5"/>
      <c r="U47" s="73"/>
      <c r="X47" s="82"/>
      <c r="Y47" s="83"/>
      <c r="Z47" s="105"/>
      <c r="AA47" s="65"/>
      <c r="AB47" s="66"/>
      <c r="AC47" s="74"/>
      <c r="AE47" s="66" t="s">
        <v>39</v>
      </c>
      <c r="AF47" s="65">
        <f t="shared" si="7"/>
        <v>0</v>
      </c>
      <c r="AG47" s="65"/>
      <c r="AH47" s="65"/>
      <c r="AI47" s="65"/>
      <c r="AM47" s="65"/>
      <c r="AU47" s="74"/>
      <c r="AV47" s="65"/>
      <c r="AW47" s="74"/>
      <c r="AX47" s="74"/>
      <c r="AY47" s="74"/>
      <c r="AZ47" s="74"/>
      <c r="BB47" s="74"/>
      <c r="BC47" s="79"/>
      <c r="BG47" s="4"/>
      <c r="BH47" s="4"/>
      <c r="BI47" s="4"/>
      <c r="BJ47" s="4"/>
      <c r="BK47" s="4"/>
      <c r="BL47" s="4"/>
      <c r="BM47" s="4"/>
      <c r="BN47" s="4"/>
      <c r="BO47" s="4"/>
      <c r="BP47" s="4"/>
      <c r="BQ47" s="4"/>
      <c r="BR47" s="4"/>
      <c r="BS47" s="4"/>
    </row>
    <row r="48" spans="1:71" s="63" customFormat="1" ht="12.75" x14ac:dyDescent="0.25">
      <c r="A48" s="20"/>
      <c r="B48" s="31" t="str">
        <f t="shared" si="2"/>
        <v/>
      </c>
      <c r="C48" s="31" t="str">
        <f t="shared" si="3"/>
        <v/>
      </c>
      <c r="D48" s="32"/>
      <c r="E48" s="33"/>
      <c r="F48" s="36"/>
      <c r="G48" s="36"/>
      <c r="H48" s="38" t="str">
        <f t="shared" si="8"/>
        <v/>
      </c>
      <c r="I48" s="34"/>
      <c r="J48" s="13"/>
      <c r="K48" s="13"/>
      <c r="L48" s="13"/>
      <c r="M48" s="13"/>
      <c r="N48" s="35"/>
      <c r="O48" s="5"/>
      <c r="P48" s="5"/>
      <c r="Q48" s="84">
        <f t="shared" si="4"/>
        <v>0</v>
      </c>
      <c r="R48" s="5"/>
      <c r="U48" s="73"/>
      <c r="X48" s="82"/>
      <c r="Y48" s="83"/>
      <c r="Z48" s="105"/>
      <c r="AA48" s="65"/>
      <c r="AB48" s="66"/>
      <c r="AC48" s="74"/>
      <c r="AD48" s="65"/>
      <c r="AE48" s="66" t="s">
        <v>40</v>
      </c>
      <c r="AF48" s="65">
        <f t="shared" si="7"/>
        <v>0</v>
      </c>
      <c r="AG48" s="65"/>
      <c r="AH48" s="65"/>
      <c r="AI48" s="65"/>
      <c r="AM48" s="65"/>
      <c r="AU48" s="74"/>
      <c r="AV48" s="65"/>
      <c r="AW48" s="74"/>
      <c r="AX48" s="74"/>
      <c r="AY48" s="74"/>
      <c r="AZ48" s="74"/>
      <c r="BB48" s="74"/>
      <c r="BC48" s="79"/>
      <c r="BG48" s="4"/>
      <c r="BH48" s="4"/>
      <c r="BI48" s="4"/>
      <c r="BJ48" s="4"/>
      <c r="BK48" s="4"/>
      <c r="BL48" s="4"/>
      <c r="BM48" s="4"/>
      <c r="BN48" s="4"/>
      <c r="BO48" s="4"/>
      <c r="BP48" s="4"/>
      <c r="BQ48" s="4"/>
      <c r="BR48" s="4"/>
      <c r="BS48" s="4"/>
    </row>
    <row r="49" spans="1:71" s="63" customFormat="1" ht="12.75" x14ac:dyDescent="0.25">
      <c r="A49" s="20"/>
      <c r="B49" s="31" t="str">
        <f t="shared" ref="B49:B80" si="10">IF(C49="","",$B$2)</f>
        <v/>
      </c>
      <c r="C49" s="31" t="str">
        <f t="shared" ref="C49:C80" si="11">IF(I49="","",$C$2)</f>
        <v/>
      </c>
      <c r="D49" s="32"/>
      <c r="E49" s="33"/>
      <c r="F49" s="36"/>
      <c r="G49" s="36"/>
      <c r="H49" s="38" t="str">
        <f t="shared" si="8"/>
        <v/>
      </c>
      <c r="I49" s="34"/>
      <c r="J49" s="13"/>
      <c r="K49" s="13"/>
      <c r="L49" s="13"/>
      <c r="M49" s="13"/>
      <c r="N49" s="35"/>
      <c r="O49" s="5"/>
      <c r="P49" s="5"/>
      <c r="Q49" s="84">
        <f t="shared" ref="Q49:Q80" si="12">IF(AND(OR(L49="MISSING",L49="PART OF A SEQUENCE",L49="NOT HAPPENED"),OR(M49=$AE$37,M49=$AE$38,M49=$AE$43,M49=$AE$40,M49=$AE$25)),1,0)</f>
        <v>0</v>
      </c>
      <c r="R49" s="5"/>
      <c r="S49" s="65"/>
      <c r="T49" s="65"/>
      <c r="U49" s="66"/>
      <c r="V49" s="65"/>
      <c r="X49" s="65"/>
      <c r="Y49" s="75"/>
      <c r="Z49" s="88"/>
      <c r="AB49" s="66"/>
      <c r="AC49" s="74"/>
      <c r="AE49" s="73"/>
      <c r="AU49" s="74"/>
      <c r="AW49" s="74"/>
      <c r="AX49" s="74"/>
      <c r="AY49" s="74"/>
      <c r="AZ49" s="74"/>
      <c r="BB49" s="74"/>
      <c r="BC49" s="65"/>
      <c r="BG49" s="4"/>
      <c r="BH49" s="4"/>
      <c r="BI49" s="4"/>
      <c r="BJ49" s="4"/>
      <c r="BK49" s="4"/>
      <c r="BL49" s="4"/>
      <c r="BM49" s="4"/>
      <c r="BN49" s="4"/>
      <c r="BO49" s="4"/>
      <c r="BP49" s="4"/>
      <c r="BQ49" s="4"/>
      <c r="BR49" s="4"/>
      <c r="BS49" s="4"/>
    </row>
    <row r="50" spans="1:71" s="63" customFormat="1" ht="12.75" x14ac:dyDescent="0.25">
      <c r="A50" s="20"/>
      <c r="B50" s="31" t="str">
        <f t="shared" si="10"/>
        <v/>
      </c>
      <c r="C50" s="31" t="str">
        <f t="shared" si="11"/>
        <v/>
      </c>
      <c r="D50" s="32"/>
      <c r="E50" s="33"/>
      <c r="F50" s="36"/>
      <c r="G50" s="36"/>
      <c r="H50" s="38" t="str">
        <f t="shared" si="8"/>
        <v/>
      </c>
      <c r="I50" s="34"/>
      <c r="J50" s="13"/>
      <c r="K50" s="13"/>
      <c r="L50" s="13"/>
      <c r="M50" s="13"/>
      <c r="N50" s="35"/>
      <c r="O50" s="5"/>
      <c r="P50" s="5"/>
      <c r="Q50" s="84">
        <f t="shared" si="12"/>
        <v>0</v>
      </c>
      <c r="R50" s="5"/>
      <c r="S50" s="65"/>
      <c r="T50" s="65"/>
      <c r="U50" s="66"/>
      <c r="V50" s="65"/>
      <c r="X50" s="65"/>
      <c r="Y50" s="75"/>
      <c r="Z50" s="88"/>
      <c r="AB50" s="66"/>
      <c r="AC50" s="74"/>
      <c r="AE50" s="73"/>
      <c r="AU50" s="74"/>
      <c r="AW50" s="74"/>
      <c r="AX50" s="74"/>
      <c r="AY50" s="74"/>
      <c r="AZ50" s="74"/>
      <c r="BB50" s="74"/>
      <c r="BC50" s="65"/>
      <c r="BG50" s="4"/>
      <c r="BH50" s="4"/>
      <c r="BI50" s="4"/>
      <c r="BJ50" s="4"/>
      <c r="BK50" s="4"/>
      <c r="BL50" s="4"/>
      <c r="BM50" s="4"/>
      <c r="BN50" s="4"/>
      <c r="BO50" s="4"/>
      <c r="BP50" s="4"/>
      <c r="BQ50" s="4"/>
      <c r="BR50" s="4"/>
      <c r="BS50" s="4"/>
    </row>
    <row r="51" spans="1:71" s="63" customFormat="1" ht="12.75" x14ac:dyDescent="0.25">
      <c r="A51" s="20"/>
      <c r="B51" s="31" t="str">
        <f t="shared" si="10"/>
        <v/>
      </c>
      <c r="C51" s="31" t="str">
        <f t="shared" si="11"/>
        <v/>
      </c>
      <c r="D51" s="32"/>
      <c r="E51" s="33"/>
      <c r="F51" s="36"/>
      <c r="G51" s="36"/>
      <c r="H51" s="38" t="str">
        <f t="shared" si="8"/>
        <v/>
      </c>
      <c r="I51" s="34"/>
      <c r="J51" s="13"/>
      <c r="K51" s="13"/>
      <c r="L51" s="13"/>
      <c r="M51" s="13"/>
      <c r="N51" s="35"/>
      <c r="O51" s="5"/>
      <c r="P51" s="5"/>
      <c r="Q51" s="84">
        <f t="shared" si="12"/>
        <v>0</v>
      </c>
      <c r="R51" s="5"/>
      <c r="S51" s="65"/>
      <c r="T51" s="65"/>
      <c r="U51" s="66"/>
      <c r="V51" s="65"/>
      <c r="X51" s="65"/>
      <c r="Y51" s="75"/>
      <c r="Z51" s="88"/>
      <c r="AB51" s="66"/>
      <c r="AC51" s="74"/>
      <c r="AE51" s="73"/>
      <c r="AU51" s="74"/>
      <c r="AW51" s="74"/>
      <c r="AX51" s="74"/>
      <c r="AY51" s="74"/>
      <c r="AZ51" s="74"/>
      <c r="BB51" s="74"/>
      <c r="BC51" s="65"/>
      <c r="BG51" s="4"/>
      <c r="BH51" s="4"/>
      <c r="BI51" s="4"/>
      <c r="BJ51" s="4"/>
      <c r="BK51" s="4"/>
      <c r="BL51" s="4"/>
      <c r="BM51" s="4"/>
      <c r="BN51" s="4"/>
      <c r="BO51" s="4"/>
      <c r="BP51" s="4"/>
      <c r="BQ51" s="4"/>
      <c r="BR51" s="4"/>
      <c r="BS51" s="4"/>
    </row>
    <row r="52" spans="1:71" s="63" customFormat="1" ht="12.75" x14ac:dyDescent="0.25">
      <c r="A52" s="20"/>
      <c r="B52" s="31" t="str">
        <f t="shared" si="10"/>
        <v/>
      </c>
      <c r="C52" s="31" t="str">
        <f t="shared" si="11"/>
        <v/>
      </c>
      <c r="D52" s="32"/>
      <c r="E52" s="33"/>
      <c r="F52" s="36"/>
      <c r="G52" s="36"/>
      <c r="H52" s="38" t="str">
        <f t="shared" si="8"/>
        <v/>
      </c>
      <c r="I52" s="34"/>
      <c r="J52" s="13"/>
      <c r="K52" s="13"/>
      <c r="L52" s="13"/>
      <c r="M52" s="13"/>
      <c r="N52" s="35"/>
      <c r="O52" s="5"/>
      <c r="P52" s="5"/>
      <c r="Q52" s="84">
        <f t="shared" si="12"/>
        <v>0</v>
      </c>
      <c r="R52" s="5"/>
      <c r="S52" s="65"/>
      <c r="T52" s="65"/>
      <c r="U52" s="66"/>
      <c r="V52" s="65"/>
      <c r="W52" s="65"/>
      <c r="X52" s="65"/>
      <c r="Y52" s="75"/>
      <c r="Z52" s="88"/>
      <c r="AB52" s="66"/>
      <c r="AC52" s="74"/>
      <c r="AE52" s="73"/>
      <c r="AU52" s="74"/>
      <c r="AW52" s="74"/>
      <c r="AX52" s="74"/>
      <c r="AY52" s="74"/>
      <c r="AZ52" s="74"/>
      <c r="BB52" s="74"/>
      <c r="BC52" s="65"/>
      <c r="BG52" s="4"/>
      <c r="BH52" s="4"/>
      <c r="BI52" s="4"/>
      <c r="BJ52" s="4"/>
      <c r="BK52" s="4"/>
      <c r="BL52" s="4"/>
      <c r="BM52" s="4"/>
      <c r="BN52" s="4"/>
      <c r="BO52" s="4"/>
      <c r="BP52" s="4"/>
      <c r="BQ52" s="4"/>
      <c r="BR52" s="4"/>
      <c r="BS52" s="4"/>
    </row>
    <row r="53" spans="1:71" s="63" customFormat="1" ht="12.75" x14ac:dyDescent="0.25">
      <c r="A53" s="20"/>
      <c r="B53" s="31" t="str">
        <f t="shared" si="10"/>
        <v/>
      </c>
      <c r="C53" s="31" t="str">
        <f t="shared" si="11"/>
        <v/>
      </c>
      <c r="D53" s="32"/>
      <c r="E53" s="33"/>
      <c r="F53" s="36"/>
      <c r="G53" s="36"/>
      <c r="H53" s="38" t="str">
        <f t="shared" si="8"/>
        <v/>
      </c>
      <c r="I53" s="34"/>
      <c r="J53" s="13"/>
      <c r="K53" s="13"/>
      <c r="L53" s="13"/>
      <c r="M53" s="13"/>
      <c r="N53" s="35"/>
      <c r="O53" s="5"/>
      <c r="P53" s="5"/>
      <c r="Q53" s="84">
        <f t="shared" si="12"/>
        <v>0</v>
      </c>
      <c r="R53" s="5"/>
      <c r="S53" s="65"/>
      <c r="T53" s="65"/>
      <c r="U53" s="66"/>
      <c r="V53" s="65"/>
      <c r="W53" s="65"/>
      <c r="X53" s="65"/>
      <c r="Y53" s="75"/>
      <c r="Z53" s="88"/>
      <c r="AB53" s="66"/>
      <c r="AC53" s="74"/>
      <c r="AE53" s="73"/>
      <c r="AU53" s="74"/>
      <c r="AW53" s="74"/>
      <c r="AX53" s="74"/>
      <c r="AY53" s="74"/>
      <c r="AZ53" s="74"/>
      <c r="BB53" s="74"/>
      <c r="BC53" s="65"/>
      <c r="BG53" s="4"/>
      <c r="BH53" s="4"/>
      <c r="BI53" s="4"/>
      <c r="BJ53" s="4"/>
      <c r="BK53" s="4"/>
      <c r="BL53" s="4"/>
      <c r="BM53" s="4"/>
      <c r="BN53" s="4"/>
      <c r="BO53" s="4"/>
      <c r="BP53" s="4"/>
      <c r="BQ53" s="4"/>
      <c r="BR53" s="4"/>
      <c r="BS53" s="4"/>
    </row>
    <row r="54" spans="1:71" s="63" customFormat="1" ht="12.75" x14ac:dyDescent="0.25">
      <c r="A54" s="20"/>
      <c r="B54" s="31" t="str">
        <f t="shared" si="10"/>
        <v/>
      </c>
      <c r="C54" s="31" t="str">
        <f t="shared" si="11"/>
        <v/>
      </c>
      <c r="D54" s="32"/>
      <c r="E54" s="33"/>
      <c r="F54" s="36"/>
      <c r="G54" s="36"/>
      <c r="H54" s="38" t="str">
        <f t="shared" si="8"/>
        <v/>
      </c>
      <c r="I54" s="34"/>
      <c r="J54" s="13"/>
      <c r="K54" s="13"/>
      <c r="L54" s="13"/>
      <c r="M54" s="13"/>
      <c r="N54" s="35"/>
      <c r="O54" s="5"/>
      <c r="P54" s="5"/>
      <c r="Q54" s="84">
        <f t="shared" si="12"/>
        <v>0</v>
      </c>
      <c r="R54" s="5"/>
      <c r="S54" s="65"/>
      <c r="T54" s="65"/>
      <c r="U54" s="66"/>
      <c r="V54" s="65"/>
      <c r="W54" s="65"/>
      <c r="X54" s="65"/>
      <c r="Y54" s="75"/>
      <c r="Z54" s="88"/>
      <c r="AB54" s="66"/>
      <c r="AC54" s="74"/>
      <c r="AE54" s="73"/>
      <c r="AU54" s="74"/>
      <c r="AW54" s="74"/>
      <c r="AX54" s="74"/>
      <c r="AY54" s="74"/>
      <c r="AZ54" s="74"/>
      <c r="BB54" s="74"/>
      <c r="BC54" s="65"/>
      <c r="BG54" s="4"/>
      <c r="BH54" s="4"/>
      <c r="BI54" s="4"/>
      <c r="BJ54" s="4"/>
      <c r="BK54" s="4"/>
      <c r="BL54" s="4"/>
      <c r="BM54" s="4"/>
      <c r="BN54" s="4"/>
      <c r="BO54" s="4"/>
      <c r="BP54" s="4"/>
      <c r="BQ54" s="4"/>
      <c r="BR54" s="4"/>
      <c r="BS54" s="4"/>
    </row>
    <row r="55" spans="1:71" s="63" customFormat="1" ht="12.75" x14ac:dyDescent="0.25">
      <c r="A55" s="20"/>
      <c r="B55" s="31" t="str">
        <f t="shared" si="10"/>
        <v/>
      </c>
      <c r="C55" s="31" t="str">
        <f t="shared" si="11"/>
        <v/>
      </c>
      <c r="D55" s="32"/>
      <c r="E55" s="33"/>
      <c r="F55" s="36"/>
      <c r="G55" s="36"/>
      <c r="H55" s="38" t="str">
        <f t="shared" si="8"/>
        <v/>
      </c>
      <c r="I55" s="34"/>
      <c r="J55" s="13"/>
      <c r="K55" s="13"/>
      <c r="L55" s="13"/>
      <c r="M55" s="13"/>
      <c r="N55" s="35"/>
      <c r="O55" s="5"/>
      <c r="P55" s="5"/>
      <c r="Q55" s="84">
        <f t="shared" si="12"/>
        <v>0</v>
      </c>
      <c r="R55" s="5"/>
      <c r="S55" s="65"/>
      <c r="T55" s="65"/>
      <c r="U55" s="66"/>
      <c r="V55" s="65"/>
      <c r="W55" s="65"/>
      <c r="X55" s="65"/>
      <c r="Y55" s="75"/>
      <c r="Z55" s="88"/>
      <c r="AB55" s="66"/>
      <c r="AC55" s="74"/>
      <c r="AE55" s="73"/>
      <c r="AU55" s="74"/>
      <c r="AW55" s="74"/>
      <c r="AX55" s="74"/>
      <c r="AY55" s="74"/>
      <c r="AZ55" s="74"/>
      <c r="BB55" s="74"/>
      <c r="BC55" s="65"/>
      <c r="BG55" s="4"/>
      <c r="BH55" s="4"/>
      <c r="BI55" s="4"/>
      <c r="BJ55" s="4"/>
      <c r="BK55" s="4"/>
      <c r="BL55" s="4"/>
      <c r="BM55" s="4"/>
      <c r="BN55" s="4"/>
      <c r="BO55" s="4"/>
      <c r="BP55" s="4"/>
      <c r="BQ55" s="4"/>
      <c r="BR55" s="4"/>
      <c r="BS55" s="4"/>
    </row>
    <row r="56" spans="1:71" s="63" customFormat="1" ht="12.75" x14ac:dyDescent="0.25">
      <c r="A56" s="20"/>
      <c r="B56" s="31" t="str">
        <f t="shared" si="10"/>
        <v/>
      </c>
      <c r="C56" s="31" t="str">
        <f t="shared" si="11"/>
        <v/>
      </c>
      <c r="D56" s="32"/>
      <c r="E56" s="33"/>
      <c r="F56" s="36"/>
      <c r="G56" s="36"/>
      <c r="H56" s="38" t="str">
        <f t="shared" si="8"/>
        <v/>
      </c>
      <c r="I56" s="34"/>
      <c r="J56" s="13"/>
      <c r="K56" s="13"/>
      <c r="L56" s="13"/>
      <c r="M56" s="13"/>
      <c r="N56" s="35"/>
      <c r="O56" s="5"/>
      <c r="P56" s="5"/>
      <c r="Q56" s="84">
        <f t="shared" si="12"/>
        <v>0</v>
      </c>
      <c r="R56" s="5"/>
      <c r="S56" s="65"/>
      <c r="T56" s="65"/>
      <c r="U56" s="66"/>
      <c r="V56" s="65"/>
      <c r="W56" s="65"/>
      <c r="X56" s="65"/>
      <c r="Y56" s="75"/>
      <c r="Z56" s="88"/>
      <c r="AB56" s="66"/>
      <c r="AC56" s="74"/>
      <c r="AE56" s="73"/>
      <c r="AU56" s="74"/>
      <c r="AW56" s="74"/>
      <c r="AX56" s="74"/>
      <c r="AY56" s="74"/>
      <c r="AZ56" s="74"/>
      <c r="BB56" s="74"/>
      <c r="BC56" s="65"/>
      <c r="BG56" s="4"/>
      <c r="BH56" s="4"/>
      <c r="BI56" s="4"/>
      <c r="BJ56" s="4"/>
      <c r="BK56" s="4"/>
      <c r="BL56" s="4"/>
      <c r="BM56" s="4"/>
      <c r="BN56" s="4"/>
      <c r="BO56" s="4"/>
      <c r="BP56" s="4"/>
      <c r="BQ56" s="4"/>
      <c r="BR56" s="4"/>
      <c r="BS56" s="4"/>
    </row>
    <row r="57" spans="1:71" s="63" customFormat="1" ht="12.75" x14ac:dyDescent="0.25">
      <c r="A57" s="20"/>
      <c r="B57" s="31" t="str">
        <f t="shared" si="10"/>
        <v/>
      </c>
      <c r="C57" s="31" t="str">
        <f t="shared" si="11"/>
        <v/>
      </c>
      <c r="D57" s="32"/>
      <c r="E57" s="33"/>
      <c r="F57" s="36"/>
      <c r="G57" s="36"/>
      <c r="H57" s="38" t="str">
        <f t="shared" si="8"/>
        <v/>
      </c>
      <c r="I57" s="34"/>
      <c r="J57" s="13"/>
      <c r="K57" s="13"/>
      <c r="L57" s="13"/>
      <c r="M57" s="13"/>
      <c r="N57" s="35"/>
      <c r="O57" s="5"/>
      <c r="P57" s="5"/>
      <c r="Q57" s="84">
        <f t="shared" si="12"/>
        <v>0</v>
      </c>
      <c r="R57" s="5"/>
      <c r="S57" s="65"/>
      <c r="T57" s="65"/>
      <c r="U57" s="66"/>
      <c r="V57" s="65"/>
      <c r="W57" s="65"/>
      <c r="X57" s="65"/>
      <c r="Y57" s="75"/>
      <c r="Z57" s="88"/>
      <c r="AB57" s="66"/>
      <c r="AC57" s="74"/>
      <c r="AE57" s="73"/>
      <c r="AU57" s="74"/>
      <c r="AW57" s="74"/>
      <c r="AX57" s="74"/>
      <c r="AY57" s="74"/>
      <c r="AZ57" s="74"/>
      <c r="BB57" s="74"/>
      <c r="BC57" s="65"/>
      <c r="BG57" s="4"/>
      <c r="BH57" s="4"/>
      <c r="BI57" s="4"/>
      <c r="BJ57" s="4"/>
      <c r="BK57" s="4"/>
      <c r="BL57" s="4"/>
      <c r="BM57" s="4"/>
      <c r="BN57" s="4"/>
      <c r="BO57" s="4"/>
      <c r="BP57" s="4"/>
      <c r="BQ57" s="4"/>
      <c r="BR57" s="4"/>
      <c r="BS57" s="4"/>
    </row>
    <row r="58" spans="1:71" s="63" customFormat="1" ht="12.75" x14ac:dyDescent="0.25">
      <c r="A58" s="20"/>
      <c r="B58" s="31" t="str">
        <f t="shared" si="10"/>
        <v/>
      </c>
      <c r="C58" s="31" t="str">
        <f t="shared" si="11"/>
        <v/>
      </c>
      <c r="D58" s="32"/>
      <c r="E58" s="33"/>
      <c r="F58" s="36"/>
      <c r="G58" s="36"/>
      <c r="H58" s="38" t="str">
        <f t="shared" si="8"/>
        <v/>
      </c>
      <c r="I58" s="34"/>
      <c r="J58" s="13"/>
      <c r="K58" s="13"/>
      <c r="L58" s="13"/>
      <c r="M58" s="13"/>
      <c r="N58" s="35"/>
      <c r="O58" s="5"/>
      <c r="P58" s="5"/>
      <c r="Q58" s="84">
        <f t="shared" si="12"/>
        <v>0</v>
      </c>
      <c r="R58" s="5"/>
      <c r="S58" s="65"/>
      <c r="T58" s="65"/>
      <c r="U58" s="66"/>
      <c r="V58" s="65"/>
      <c r="W58" s="65"/>
      <c r="X58" s="65"/>
      <c r="Y58" s="75"/>
      <c r="Z58" s="88"/>
      <c r="AB58" s="66"/>
      <c r="AC58" s="74"/>
      <c r="AE58" s="73"/>
      <c r="AU58" s="74"/>
      <c r="AW58" s="74"/>
      <c r="AX58" s="74"/>
      <c r="AY58" s="74"/>
      <c r="AZ58" s="74"/>
      <c r="BB58" s="74"/>
      <c r="BC58" s="65"/>
      <c r="BG58" s="4"/>
      <c r="BH58" s="4"/>
      <c r="BI58" s="4"/>
      <c r="BJ58" s="4"/>
      <c r="BK58" s="4"/>
      <c r="BL58" s="4"/>
      <c r="BM58" s="4"/>
      <c r="BN58" s="4"/>
      <c r="BO58" s="4"/>
      <c r="BP58" s="4"/>
      <c r="BQ58" s="4"/>
      <c r="BR58" s="4"/>
      <c r="BS58" s="4"/>
    </row>
    <row r="59" spans="1:71" s="63" customFormat="1" ht="12.75" x14ac:dyDescent="0.25">
      <c r="A59" s="20"/>
      <c r="B59" s="31" t="str">
        <f t="shared" si="10"/>
        <v/>
      </c>
      <c r="C59" s="31" t="str">
        <f t="shared" si="11"/>
        <v/>
      </c>
      <c r="D59" s="32"/>
      <c r="E59" s="33"/>
      <c r="F59" s="36"/>
      <c r="G59" s="36"/>
      <c r="H59" s="38" t="str">
        <f t="shared" si="8"/>
        <v/>
      </c>
      <c r="I59" s="34"/>
      <c r="J59" s="13"/>
      <c r="K59" s="13"/>
      <c r="L59" s="13"/>
      <c r="M59" s="13"/>
      <c r="N59" s="35"/>
      <c r="O59" s="5"/>
      <c r="P59" s="5"/>
      <c r="Q59" s="84">
        <f t="shared" si="12"/>
        <v>0</v>
      </c>
      <c r="R59" s="5"/>
      <c r="S59" s="65"/>
      <c r="T59" s="65"/>
      <c r="U59" s="66"/>
      <c r="V59" s="65"/>
      <c r="W59" s="65"/>
      <c r="X59" s="65"/>
      <c r="Y59" s="75"/>
      <c r="Z59" s="88"/>
      <c r="AB59" s="66"/>
      <c r="AC59" s="74"/>
      <c r="AE59" s="73"/>
      <c r="AU59" s="74"/>
      <c r="AW59" s="74"/>
      <c r="AX59" s="74"/>
      <c r="AY59" s="74"/>
      <c r="AZ59" s="74"/>
      <c r="BB59" s="74"/>
      <c r="BC59" s="65"/>
      <c r="BG59" s="4"/>
      <c r="BH59" s="4"/>
      <c r="BI59" s="4"/>
      <c r="BJ59" s="4"/>
      <c r="BK59" s="4"/>
      <c r="BL59" s="4"/>
      <c r="BM59" s="4"/>
      <c r="BN59" s="4"/>
      <c r="BO59" s="4"/>
      <c r="BP59" s="4"/>
      <c r="BQ59" s="4"/>
      <c r="BR59" s="4"/>
      <c r="BS59" s="4"/>
    </row>
    <row r="60" spans="1:71" s="63" customFormat="1" ht="12.75" x14ac:dyDescent="0.25">
      <c r="A60" s="20"/>
      <c r="B60" s="31" t="str">
        <f t="shared" si="10"/>
        <v/>
      </c>
      <c r="C60" s="31" t="str">
        <f t="shared" si="11"/>
        <v/>
      </c>
      <c r="D60" s="32"/>
      <c r="E60" s="33"/>
      <c r="F60" s="36"/>
      <c r="G60" s="36"/>
      <c r="H60" s="38" t="str">
        <f t="shared" si="8"/>
        <v/>
      </c>
      <c r="I60" s="34"/>
      <c r="J60" s="13"/>
      <c r="K60" s="13"/>
      <c r="L60" s="13"/>
      <c r="M60" s="13"/>
      <c r="N60" s="35"/>
      <c r="O60" s="5"/>
      <c r="P60" s="5"/>
      <c r="Q60" s="84">
        <f t="shared" si="12"/>
        <v>0</v>
      </c>
      <c r="R60" s="5"/>
      <c r="S60" s="65"/>
      <c r="T60" s="65"/>
      <c r="U60" s="66"/>
      <c r="V60" s="65"/>
      <c r="W60" s="65"/>
      <c r="X60" s="65"/>
      <c r="Y60" s="75"/>
      <c r="Z60" s="88"/>
      <c r="AB60" s="66"/>
      <c r="AC60" s="74"/>
      <c r="AE60" s="73"/>
      <c r="AU60" s="74"/>
      <c r="AW60" s="74"/>
      <c r="AX60" s="74"/>
      <c r="AY60" s="74"/>
      <c r="AZ60" s="74"/>
      <c r="BB60" s="74"/>
      <c r="BC60" s="65"/>
      <c r="BG60" s="4"/>
      <c r="BH60" s="4"/>
      <c r="BI60" s="4"/>
      <c r="BJ60" s="4"/>
      <c r="BK60" s="4"/>
      <c r="BL60" s="4"/>
      <c r="BM60" s="4"/>
      <c r="BN60" s="4"/>
      <c r="BO60" s="4"/>
      <c r="BP60" s="4"/>
      <c r="BQ60" s="4"/>
      <c r="BR60" s="4"/>
      <c r="BS60" s="4"/>
    </row>
    <row r="61" spans="1:71" s="63" customFormat="1" ht="12.75" x14ac:dyDescent="0.25">
      <c r="A61" s="20"/>
      <c r="B61" s="31" t="str">
        <f t="shared" si="10"/>
        <v/>
      </c>
      <c r="C61" s="31" t="str">
        <f t="shared" si="11"/>
        <v/>
      </c>
      <c r="D61" s="32"/>
      <c r="E61" s="33"/>
      <c r="F61" s="36"/>
      <c r="G61" s="36"/>
      <c r="H61" s="38" t="str">
        <f t="shared" si="8"/>
        <v/>
      </c>
      <c r="I61" s="34"/>
      <c r="J61" s="13"/>
      <c r="K61" s="13"/>
      <c r="L61" s="13"/>
      <c r="M61" s="13"/>
      <c r="N61" s="35"/>
      <c r="O61" s="5"/>
      <c r="P61" s="5"/>
      <c r="Q61" s="84">
        <f t="shared" si="12"/>
        <v>0</v>
      </c>
      <c r="R61" s="5"/>
      <c r="S61" s="65"/>
      <c r="T61" s="65"/>
      <c r="U61" s="66"/>
      <c r="V61" s="65"/>
      <c r="W61" s="65"/>
      <c r="X61" s="65"/>
      <c r="Y61" s="75"/>
      <c r="Z61" s="88"/>
      <c r="AB61" s="66"/>
      <c r="AC61" s="74"/>
      <c r="AE61" s="73"/>
      <c r="AU61" s="74"/>
      <c r="AW61" s="74"/>
      <c r="AX61" s="74"/>
      <c r="AY61" s="74"/>
      <c r="AZ61" s="74"/>
      <c r="BB61" s="74"/>
      <c r="BC61" s="65"/>
      <c r="BG61" s="4"/>
      <c r="BH61" s="4"/>
      <c r="BI61" s="4"/>
      <c r="BJ61" s="4"/>
      <c r="BK61" s="4"/>
      <c r="BL61" s="4"/>
      <c r="BM61" s="4"/>
      <c r="BN61" s="4"/>
      <c r="BO61" s="4"/>
      <c r="BP61" s="4"/>
      <c r="BQ61" s="4"/>
      <c r="BR61" s="4"/>
      <c r="BS61" s="4"/>
    </row>
    <row r="62" spans="1:71" s="63" customFormat="1" ht="12.75" x14ac:dyDescent="0.25">
      <c r="A62" s="20"/>
      <c r="B62" s="31" t="str">
        <f t="shared" si="10"/>
        <v/>
      </c>
      <c r="C62" s="31" t="str">
        <f t="shared" si="11"/>
        <v/>
      </c>
      <c r="D62" s="32"/>
      <c r="E62" s="33"/>
      <c r="F62" s="36"/>
      <c r="G62" s="36"/>
      <c r="H62" s="38" t="str">
        <f t="shared" si="8"/>
        <v/>
      </c>
      <c r="I62" s="34"/>
      <c r="J62" s="13"/>
      <c r="K62" s="13"/>
      <c r="L62" s="13"/>
      <c r="M62" s="13"/>
      <c r="N62" s="35"/>
      <c r="O62" s="5"/>
      <c r="P62" s="5"/>
      <c r="Q62" s="84">
        <f t="shared" si="12"/>
        <v>0</v>
      </c>
      <c r="R62" s="5"/>
      <c r="S62" s="65"/>
      <c r="T62" s="65"/>
      <c r="U62" s="66"/>
      <c r="V62" s="65"/>
      <c r="W62" s="65"/>
      <c r="X62" s="65"/>
      <c r="Y62" s="75"/>
      <c r="Z62" s="88"/>
      <c r="AB62" s="66"/>
      <c r="AC62" s="74"/>
      <c r="AE62" s="73"/>
      <c r="AU62" s="74"/>
      <c r="AW62" s="74"/>
      <c r="AX62" s="74"/>
      <c r="AY62" s="74"/>
      <c r="AZ62" s="74"/>
      <c r="BB62" s="74"/>
      <c r="BC62" s="65"/>
      <c r="BG62" s="4"/>
      <c r="BH62" s="4"/>
      <c r="BI62" s="4"/>
      <c r="BJ62" s="4"/>
      <c r="BK62" s="4"/>
      <c r="BL62" s="4"/>
      <c r="BM62" s="4"/>
      <c r="BN62" s="4"/>
      <c r="BO62" s="4"/>
      <c r="BP62" s="4"/>
      <c r="BQ62" s="4"/>
      <c r="BR62" s="4"/>
      <c r="BS62" s="4"/>
    </row>
    <row r="63" spans="1:71" s="63" customFormat="1" ht="12.75" x14ac:dyDescent="0.25">
      <c r="A63" s="20"/>
      <c r="B63" s="31" t="str">
        <f t="shared" si="10"/>
        <v/>
      </c>
      <c r="C63" s="31" t="str">
        <f t="shared" si="11"/>
        <v/>
      </c>
      <c r="D63" s="32"/>
      <c r="E63" s="33"/>
      <c r="F63" s="36"/>
      <c r="G63" s="36"/>
      <c r="H63" s="38" t="str">
        <f t="shared" si="8"/>
        <v/>
      </c>
      <c r="I63" s="34"/>
      <c r="J63" s="13"/>
      <c r="K63" s="13"/>
      <c r="L63" s="13"/>
      <c r="M63" s="13"/>
      <c r="N63" s="35"/>
      <c r="O63" s="5"/>
      <c r="P63" s="5"/>
      <c r="Q63" s="84">
        <f t="shared" si="12"/>
        <v>0</v>
      </c>
      <c r="R63" s="5"/>
      <c r="S63" s="65"/>
      <c r="T63" s="65"/>
      <c r="U63" s="66"/>
      <c r="V63" s="65"/>
      <c r="W63" s="65"/>
      <c r="X63" s="65"/>
      <c r="Y63" s="75"/>
      <c r="Z63" s="88"/>
      <c r="AB63" s="66"/>
      <c r="AC63" s="74"/>
      <c r="AE63" s="73"/>
      <c r="AU63" s="74"/>
      <c r="AW63" s="74"/>
      <c r="AX63" s="74"/>
      <c r="AY63" s="74"/>
      <c r="AZ63" s="74"/>
      <c r="BB63" s="74"/>
      <c r="BC63" s="65"/>
      <c r="BG63" s="4"/>
      <c r="BH63" s="4"/>
      <c r="BI63" s="4"/>
      <c r="BJ63" s="4"/>
      <c r="BK63" s="4"/>
      <c r="BL63" s="4"/>
      <c r="BM63" s="4"/>
      <c r="BN63" s="4"/>
      <c r="BO63" s="4"/>
      <c r="BP63" s="4"/>
      <c r="BQ63" s="4"/>
      <c r="BR63" s="4"/>
      <c r="BS63" s="4"/>
    </row>
    <row r="64" spans="1:71" s="63" customFormat="1" ht="12.75" x14ac:dyDescent="0.25">
      <c r="A64" s="20"/>
      <c r="B64" s="31" t="str">
        <f t="shared" si="10"/>
        <v/>
      </c>
      <c r="C64" s="31" t="str">
        <f t="shared" si="11"/>
        <v/>
      </c>
      <c r="D64" s="32"/>
      <c r="E64" s="33"/>
      <c r="F64" s="36"/>
      <c r="G64" s="36"/>
      <c r="H64" s="38" t="str">
        <f t="shared" si="8"/>
        <v/>
      </c>
      <c r="I64" s="34"/>
      <c r="J64" s="13"/>
      <c r="K64" s="13"/>
      <c r="L64" s="13"/>
      <c r="M64" s="13"/>
      <c r="N64" s="35"/>
      <c r="O64" s="5"/>
      <c r="P64" s="5"/>
      <c r="Q64" s="84">
        <f t="shared" si="12"/>
        <v>0</v>
      </c>
      <c r="R64" s="5"/>
      <c r="S64" s="65"/>
      <c r="T64" s="65"/>
      <c r="U64" s="66"/>
      <c r="V64" s="65"/>
      <c r="W64" s="65"/>
      <c r="X64" s="65"/>
      <c r="Y64" s="75"/>
      <c r="Z64" s="88"/>
      <c r="AB64" s="66"/>
      <c r="AC64" s="74"/>
      <c r="AE64" s="73"/>
      <c r="AU64" s="74"/>
      <c r="AW64" s="74"/>
      <c r="AX64" s="74"/>
      <c r="AY64" s="74"/>
      <c r="AZ64" s="74"/>
      <c r="BB64" s="74"/>
      <c r="BC64" s="65"/>
      <c r="BG64" s="4"/>
      <c r="BH64" s="4"/>
      <c r="BI64" s="4"/>
      <c r="BJ64" s="4"/>
      <c r="BK64" s="4"/>
      <c r="BL64" s="4"/>
      <c r="BM64" s="4"/>
      <c r="BN64" s="4"/>
      <c r="BO64" s="4"/>
      <c r="BP64" s="4"/>
      <c r="BQ64" s="4"/>
      <c r="BR64" s="4"/>
      <c r="BS64" s="4"/>
    </row>
    <row r="65" spans="1:71" s="63" customFormat="1" ht="12.75" x14ac:dyDescent="0.25">
      <c r="A65" s="20"/>
      <c r="B65" s="31" t="str">
        <f t="shared" si="10"/>
        <v/>
      </c>
      <c r="C65" s="31" t="str">
        <f t="shared" si="11"/>
        <v/>
      </c>
      <c r="D65" s="32"/>
      <c r="E65" s="33"/>
      <c r="F65" s="36"/>
      <c r="G65" s="36"/>
      <c r="H65" s="38" t="str">
        <f t="shared" si="8"/>
        <v/>
      </c>
      <c r="I65" s="34"/>
      <c r="J65" s="13"/>
      <c r="K65" s="13"/>
      <c r="L65" s="13"/>
      <c r="M65" s="13"/>
      <c r="N65" s="35"/>
      <c r="O65" s="5"/>
      <c r="P65" s="5"/>
      <c r="Q65" s="84">
        <f t="shared" si="12"/>
        <v>0</v>
      </c>
      <c r="R65" s="5"/>
      <c r="S65" s="65"/>
      <c r="T65" s="65"/>
      <c r="U65" s="66"/>
      <c r="V65" s="65"/>
      <c r="W65" s="65"/>
      <c r="X65" s="65"/>
      <c r="Y65" s="75"/>
      <c r="Z65" s="88"/>
      <c r="AB65" s="66"/>
      <c r="AC65" s="74"/>
      <c r="AE65" s="73"/>
      <c r="AU65" s="74"/>
      <c r="AW65" s="74"/>
      <c r="AX65" s="74"/>
      <c r="AY65" s="74"/>
      <c r="AZ65" s="74"/>
      <c r="BB65" s="74"/>
      <c r="BC65" s="65"/>
      <c r="BG65" s="4"/>
      <c r="BH65" s="4"/>
      <c r="BI65" s="4"/>
      <c r="BJ65" s="4"/>
      <c r="BK65" s="4"/>
      <c r="BL65" s="4"/>
      <c r="BM65" s="4"/>
      <c r="BN65" s="4"/>
      <c r="BO65" s="4"/>
      <c r="BP65" s="4"/>
      <c r="BQ65" s="4"/>
      <c r="BR65" s="4"/>
      <c r="BS65" s="4"/>
    </row>
    <row r="66" spans="1:71" s="63" customFormat="1" ht="12.75" x14ac:dyDescent="0.25">
      <c r="A66" s="20"/>
      <c r="B66" s="31" t="str">
        <f t="shared" si="10"/>
        <v/>
      </c>
      <c r="C66" s="31" t="str">
        <f t="shared" si="11"/>
        <v/>
      </c>
      <c r="D66" s="32"/>
      <c r="E66" s="33"/>
      <c r="F66" s="36"/>
      <c r="G66" s="36"/>
      <c r="H66" s="38" t="str">
        <f t="shared" si="8"/>
        <v/>
      </c>
      <c r="I66" s="34"/>
      <c r="J66" s="13"/>
      <c r="K66" s="13"/>
      <c r="L66" s="13"/>
      <c r="M66" s="13"/>
      <c r="N66" s="35"/>
      <c r="O66" s="5"/>
      <c r="P66" s="5"/>
      <c r="Q66" s="84">
        <f t="shared" si="12"/>
        <v>0</v>
      </c>
      <c r="R66" s="5"/>
      <c r="S66" s="65"/>
      <c r="T66" s="65"/>
      <c r="U66" s="66"/>
      <c r="V66" s="65"/>
      <c r="W66" s="65"/>
      <c r="X66" s="65"/>
      <c r="Y66" s="75"/>
      <c r="Z66" s="88"/>
      <c r="AB66" s="66"/>
      <c r="AC66" s="74"/>
      <c r="AE66" s="73"/>
      <c r="AU66" s="74"/>
      <c r="AW66" s="74"/>
      <c r="AX66" s="74"/>
      <c r="AY66" s="74"/>
      <c r="AZ66" s="74"/>
      <c r="BB66" s="74"/>
      <c r="BC66" s="65"/>
      <c r="BG66" s="4"/>
      <c r="BH66" s="4"/>
      <c r="BI66" s="4"/>
      <c r="BJ66" s="4"/>
      <c r="BK66" s="4"/>
      <c r="BL66" s="4"/>
      <c r="BM66" s="4"/>
      <c r="BN66" s="4"/>
      <c r="BO66" s="4"/>
      <c r="BP66" s="4"/>
      <c r="BQ66" s="4"/>
      <c r="BR66" s="4"/>
      <c r="BS66" s="4"/>
    </row>
    <row r="67" spans="1:71" s="63" customFormat="1" ht="12.75" x14ac:dyDescent="0.25">
      <c r="A67" s="20"/>
      <c r="B67" s="31" t="str">
        <f t="shared" si="10"/>
        <v/>
      </c>
      <c r="C67" s="31" t="str">
        <f t="shared" si="11"/>
        <v/>
      </c>
      <c r="D67" s="32"/>
      <c r="E67" s="33"/>
      <c r="F67" s="36"/>
      <c r="G67" s="36"/>
      <c r="H67" s="38" t="str">
        <f t="shared" si="8"/>
        <v/>
      </c>
      <c r="I67" s="34"/>
      <c r="J67" s="13"/>
      <c r="K67" s="13"/>
      <c r="L67" s="13"/>
      <c r="M67" s="13"/>
      <c r="N67" s="35"/>
      <c r="O67" s="5"/>
      <c r="P67" s="5"/>
      <c r="Q67" s="84">
        <f t="shared" si="12"/>
        <v>0</v>
      </c>
      <c r="R67" s="5"/>
      <c r="S67" s="65"/>
      <c r="T67" s="65"/>
      <c r="U67" s="66"/>
      <c r="V67" s="65"/>
      <c r="W67" s="65"/>
      <c r="X67" s="65"/>
      <c r="Y67" s="75"/>
      <c r="Z67" s="88"/>
      <c r="AB67" s="66"/>
      <c r="AC67" s="74"/>
      <c r="AE67" s="73"/>
      <c r="AU67" s="74"/>
      <c r="AW67" s="74"/>
      <c r="AX67" s="74"/>
      <c r="AY67" s="74"/>
      <c r="AZ67" s="74"/>
      <c r="BB67" s="74"/>
      <c r="BC67" s="65"/>
      <c r="BG67" s="4"/>
      <c r="BH67" s="4"/>
      <c r="BI67" s="4"/>
      <c r="BJ67" s="4"/>
      <c r="BK67" s="4"/>
      <c r="BL67" s="4"/>
      <c r="BM67" s="4"/>
      <c r="BN67" s="4"/>
      <c r="BO67" s="4"/>
      <c r="BP67" s="4"/>
      <c r="BQ67" s="4"/>
      <c r="BR67" s="4"/>
      <c r="BS67" s="4"/>
    </row>
    <row r="68" spans="1:71" s="63" customFormat="1" ht="12.75" x14ac:dyDescent="0.25">
      <c r="A68" s="20"/>
      <c r="B68" s="31" t="str">
        <f t="shared" si="10"/>
        <v/>
      </c>
      <c r="C68" s="31" t="str">
        <f t="shared" si="11"/>
        <v/>
      </c>
      <c r="D68" s="32"/>
      <c r="E68" s="33"/>
      <c r="F68" s="36"/>
      <c r="G68" s="36"/>
      <c r="H68" s="38" t="str">
        <f t="shared" si="8"/>
        <v/>
      </c>
      <c r="I68" s="34"/>
      <c r="J68" s="13"/>
      <c r="K68" s="13"/>
      <c r="L68" s="13"/>
      <c r="M68" s="13"/>
      <c r="N68" s="35"/>
      <c r="O68" s="5"/>
      <c r="P68" s="5"/>
      <c r="Q68" s="84">
        <f t="shared" si="12"/>
        <v>0</v>
      </c>
      <c r="R68" s="5"/>
      <c r="S68" s="65"/>
      <c r="T68" s="65"/>
      <c r="U68" s="66"/>
      <c r="V68" s="65"/>
      <c r="W68" s="65"/>
      <c r="X68" s="65"/>
      <c r="Y68" s="75"/>
      <c r="Z68" s="88"/>
      <c r="AB68" s="66"/>
      <c r="AC68" s="74"/>
      <c r="AE68" s="73"/>
      <c r="AU68" s="74"/>
      <c r="AW68" s="74"/>
      <c r="AX68" s="74"/>
      <c r="AY68" s="74"/>
      <c r="AZ68" s="74"/>
      <c r="BB68" s="74"/>
      <c r="BC68" s="65"/>
      <c r="BG68" s="4"/>
      <c r="BH68" s="4"/>
      <c r="BI68" s="4"/>
      <c r="BJ68" s="4"/>
      <c r="BK68" s="4"/>
      <c r="BL68" s="4"/>
      <c r="BM68" s="4"/>
      <c r="BN68" s="4"/>
      <c r="BO68" s="4"/>
      <c r="BP68" s="4"/>
      <c r="BQ68" s="4"/>
      <c r="BR68" s="4"/>
      <c r="BS68" s="4"/>
    </row>
    <row r="69" spans="1:71" s="63" customFormat="1" ht="12.75" x14ac:dyDescent="0.25">
      <c r="A69" s="20"/>
      <c r="B69" s="31" t="str">
        <f t="shared" si="10"/>
        <v/>
      </c>
      <c r="C69" s="31" t="str">
        <f t="shared" si="11"/>
        <v/>
      </c>
      <c r="D69" s="32"/>
      <c r="E69" s="33"/>
      <c r="F69" s="36"/>
      <c r="G69" s="36"/>
      <c r="H69" s="38" t="str">
        <f t="shared" si="8"/>
        <v/>
      </c>
      <c r="I69" s="34"/>
      <c r="J69" s="13"/>
      <c r="K69" s="13"/>
      <c r="L69" s="13"/>
      <c r="M69" s="13"/>
      <c r="N69" s="35"/>
      <c r="O69" s="5"/>
      <c r="P69" s="5"/>
      <c r="Q69" s="84">
        <f t="shared" si="12"/>
        <v>0</v>
      </c>
      <c r="R69" s="5"/>
      <c r="S69" s="65"/>
      <c r="T69" s="65"/>
      <c r="U69" s="66"/>
      <c r="V69" s="65"/>
      <c r="W69" s="65"/>
      <c r="X69" s="65"/>
      <c r="Y69" s="75"/>
      <c r="Z69" s="88"/>
      <c r="AB69" s="66"/>
      <c r="AC69" s="74"/>
      <c r="AE69" s="73"/>
      <c r="AU69" s="74"/>
      <c r="AW69" s="74"/>
      <c r="AX69" s="74"/>
      <c r="AY69" s="74"/>
      <c r="AZ69" s="74"/>
      <c r="BB69" s="74"/>
      <c r="BC69" s="65"/>
      <c r="BG69" s="4"/>
      <c r="BH69" s="4"/>
      <c r="BI69" s="4"/>
      <c r="BJ69" s="4"/>
      <c r="BK69" s="4"/>
      <c r="BL69" s="4"/>
      <c r="BM69" s="4"/>
      <c r="BN69" s="4"/>
      <c r="BO69" s="4"/>
      <c r="BP69" s="4"/>
      <c r="BQ69" s="4"/>
      <c r="BR69" s="4"/>
      <c r="BS69" s="4"/>
    </row>
    <row r="70" spans="1:71" s="63" customFormat="1" ht="12.75" x14ac:dyDescent="0.25">
      <c r="A70" s="20"/>
      <c r="B70" s="31" t="str">
        <f t="shared" si="10"/>
        <v/>
      </c>
      <c r="C70" s="31" t="str">
        <f t="shared" si="11"/>
        <v/>
      </c>
      <c r="D70" s="32"/>
      <c r="E70" s="33"/>
      <c r="F70" s="36"/>
      <c r="G70" s="36"/>
      <c r="H70" s="38" t="str">
        <f t="shared" si="8"/>
        <v/>
      </c>
      <c r="I70" s="34"/>
      <c r="J70" s="13"/>
      <c r="K70" s="13"/>
      <c r="L70" s="13"/>
      <c r="M70" s="13"/>
      <c r="N70" s="35"/>
      <c r="O70" s="5"/>
      <c r="P70" s="5"/>
      <c r="Q70" s="84">
        <f t="shared" si="12"/>
        <v>0</v>
      </c>
      <c r="R70" s="5"/>
      <c r="S70" s="65"/>
      <c r="T70" s="65"/>
      <c r="U70" s="66"/>
      <c r="V70" s="65"/>
      <c r="W70" s="65"/>
      <c r="X70" s="65"/>
      <c r="Y70" s="75"/>
      <c r="Z70" s="88"/>
      <c r="AB70" s="66"/>
      <c r="AC70" s="74"/>
      <c r="AE70" s="73"/>
      <c r="AU70" s="74"/>
      <c r="AW70" s="74"/>
      <c r="AX70" s="74"/>
      <c r="AY70" s="74"/>
      <c r="AZ70" s="74"/>
      <c r="BB70" s="74"/>
      <c r="BC70" s="65"/>
      <c r="BG70" s="4"/>
      <c r="BH70" s="4"/>
      <c r="BI70" s="4"/>
      <c r="BJ70" s="4"/>
      <c r="BK70" s="4"/>
      <c r="BL70" s="4"/>
      <c r="BM70" s="4"/>
      <c r="BN70" s="4"/>
      <c r="BO70" s="4"/>
      <c r="BP70" s="4"/>
      <c r="BQ70" s="4"/>
      <c r="BR70" s="4"/>
      <c r="BS70" s="4"/>
    </row>
    <row r="71" spans="1:71" s="63" customFormat="1" ht="12.75" x14ac:dyDescent="0.25">
      <c r="A71" s="20"/>
      <c r="B71" s="31" t="str">
        <f t="shared" si="10"/>
        <v/>
      </c>
      <c r="C71" s="31" t="str">
        <f t="shared" si="11"/>
        <v/>
      </c>
      <c r="D71" s="32"/>
      <c r="E71" s="33"/>
      <c r="F71" s="36"/>
      <c r="G71" s="36"/>
      <c r="H71" s="38" t="str">
        <f t="shared" si="8"/>
        <v/>
      </c>
      <c r="I71" s="34"/>
      <c r="J71" s="13"/>
      <c r="K71" s="13"/>
      <c r="L71" s="13"/>
      <c r="M71" s="13"/>
      <c r="N71" s="35"/>
      <c r="O71" s="5"/>
      <c r="P71" s="5"/>
      <c r="Q71" s="84">
        <f t="shared" si="12"/>
        <v>0</v>
      </c>
      <c r="R71" s="5"/>
      <c r="S71" s="65"/>
      <c r="T71" s="65"/>
      <c r="U71" s="66"/>
      <c r="V71" s="65"/>
      <c r="W71" s="65"/>
      <c r="X71" s="65"/>
      <c r="Y71" s="75"/>
      <c r="Z71" s="88"/>
      <c r="AB71" s="66"/>
      <c r="AC71" s="74"/>
      <c r="AE71" s="73"/>
      <c r="AU71" s="74"/>
      <c r="AW71" s="74"/>
      <c r="AX71" s="74"/>
      <c r="AY71" s="74"/>
      <c r="AZ71" s="74"/>
      <c r="BB71" s="74"/>
      <c r="BC71" s="65"/>
      <c r="BG71" s="4"/>
      <c r="BH71" s="4"/>
      <c r="BI71" s="4"/>
      <c r="BJ71" s="4"/>
      <c r="BK71" s="4"/>
      <c r="BL71" s="4"/>
      <c r="BM71" s="4"/>
      <c r="BN71" s="4"/>
      <c r="BO71" s="4"/>
      <c r="BP71" s="4"/>
      <c r="BQ71" s="4"/>
      <c r="BR71" s="4"/>
      <c r="BS71" s="4"/>
    </row>
    <row r="72" spans="1:71" s="63" customFormat="1" ht="12.75" x14ac:dyDescent="0.25">
      <c r="A72" s="20"/>
      <c r="B72" s="31" t="str">
        <f t="shared" si="10"/>
        <v/>
      </c>
      <c r="C72" s="31" t="str">
        <f t="shared" si="11"/>
        <v/>
      </c>
      <c r="D72" s="32"/>
      <c r="E72" s="33"/>
      <c r="F72" s="36"/>
      <c r="G72" s="36"/>
      <c r="H72" s="38" t="str">
        <f t="shared" si="8"/>
        <v/>
      </c>
      <c r="I72" s="34"/>
      <c r="J72" s="13"/>
      <c r="K72" s="13"/>
      <c r="L72" s="13"/>
      <c r="M72" s="13"/>
      <c r="N72" s="35"/>
      <c r="O72" s="5"/>
      <c r="P72" s="5"/>
      <c r="Q72" s="84">
        <f t="shared" si="12"/>
        <v>0</v>
      </c>
      <c r="R72" s="5"/>
      <c r="S72" s="65"/>
      <c r="T72" s="65"/>
      <c r="U72" s="66"/>
      <c r="V72" s="65"/>
      <c r="W72" s="65"/>
      <c r="X72" s="65"/>
      <c r="Y72" s="75"/>
      <c r="Z72" s="88"/>
      <c r="AB72" s="66"/>
      <c r="AC72" s="74"/>
      <c r="AE72" s="73"/>
      <c r="AU72" s="74"/>
      <c r="AW72" s="74"/>
      <c r="AX72" s="74"/>
      <c r="AY72" s="74"/>
      <c r="AZ72" s="74"/>
      <c r="BB72" s="74"/>
      <c r="BC72" s="65"/>
      <c r="BG72" s="4"/>
      <c r="BH72" s="4"/>
      <c r="BI72" s="4"/>
      <c r="BJ72" s="4"/>
      <c r="BK72" s="4"/>
      <c r="BL72" s="4"/>
      <c r="BM72" s="4"/>
      <c r="BN72" s="4"/>
      <c r="BO72" s="4"/>
      <c r="BP72" s="4"/>
      <c r="BQ72" s="4"/>
      <c r="BR72" s="4"/>
      <c r="BS72" s="4"/>
    </row>
    <row r="73" spans="1:71" s="63" customFormat="1" ht="12.75" x14ac:dyDescent="0.25">
      <c r="A73" s="20"/>
      <c r="B73" s="31" t="str">
        <f t="shared" si="10"/>
        <v/>
      </c>
      <c r="C73" s="31" t="str">
        <f t="shared" si="11"/>
        <v/>
      </c>
      <c r="D73" s="32"/>
      <c r="E73" s="33"/>
      <c r="F73" s="36"/>
      <c r="G73" s="36"/>
      <c r="H73" s="38" t="str">
        <f t="shared" si="8"/>
        <v/>
      </c>
      <c r="I73" s="34"/>
      <c r="J73" s="13"/>
      <c r="K73" s="13"/>
      <c r="L73" s="13"/>
      <c r="M73" s="13"/>
      <c r="N73" s="35"/>
      <c r="O73" s="5"/>
      <c r="P73" s="5"/>
      <c r="Q73" s="84">
        <f t="shared" si="12"/>
        <v>0</v>
      </c>
      <c r="R73" s="5"/>
      <c r="S73" s="96"/>
      <c r="T73" s="96"/>
      <c r="U73" s="104"/>
      <c r="V73" s="96"/>
      <c r="W73" s="96"/>
      <c r="X73" s="96"/>
      <c r="Y73" s="103"/>
      <c r="Z73" s="88"/>
      <c r="AA73" s="4"/>
      <c r="AB73" s="104"/>
      <c r="AC73" s="102"/>
      <c r="AD73" s="4"/>
      <c r="AE73" s="101"/>
      <c r="AF73" s="4"/>
      <c r="AG73" s="4"/>
      <c r="AH73" s="4"/>
      <c r="AI73" s="4"/>
      <c r="AJ73" s="4"/>
      <c r="AK73" s="4"/>
      <c r="AL73" s="4"/>
      <c r="AM73" s="4"/>
      <c r="AN73" s="4"/>
      <c r="AO73" s="4"/>
      <c r="AP73" s="4"/>
      <c r="AQ73" s="4"/>
      <c r="AR73" s="4"/>
      <c r="AS73" s="4"/>
      <c r="AT73" s="4"/>
      <c r="AU73" s="102"/>
      <c r="AV73" s="4"/>
      <c r="AW73" s="102"/>
      <c r="AX73" s="102"/>
      <c r="AY73" s="102"/>
      <c r="AZ73" s="102"/>
      <c r="BA73" s="4"/>
      <c r="BB73" s="102"/>
      <c r="BC73" s="96"/>
      <c r="BD73" s="4"/>
      <c r="BE73" s="4"/>
      <c r="BF73" s="4"/>
      <c r="BG73" s="4"/>
      <c r="BH73" s="4"/>
      <c r="BI73" s="4"/>
      <c r="BJ73" s="4"/>
      <c r="BK73" s="4"/>
      <c r="BL73" s="4"/>
      <c r="BM73" s="4"/>
      <c r="BN73" s="4"/>
      <c r="BO73" s="4"/>
      <c r="BP73" s="4"/>
      <c r="BQ73" s="4"/>
      <c r="BR73" s="4"/>
      <c r="BS73" s="4"/>
    </row>
    <row r="74" spans="1:71" s="63" customFormat="1" ht="12.75" x14ac:dyDescent="0.25">
      <c r="A74" s="20"/>
      <c r="B74" s="31" t="str">
        <f t="shared" si="10"/>
        <v/>
      </c>
      <c r="C74" s="31" t="str">
        <f t="shared" si="11"/>
        <v/>
      </c>
      <c r="D74" s="32"/>
      <c r="E74" s="33"/>
      <c r="F74" s="36"/>
      <c r="G74" s="36"/>
      <c r="H74" s="38" t="str">
        <f t="shared" si="8"/>
        <v/>
      </c>
      <c r="I74" s="34"/>
      <c r="J74" s="13"/>
      <c r="K74" s="13"/>
      <c r="L74" s="13"/>
      <c r="M74" s="13"/>
      <c r="N74" s="35"/>
      <c r="O74" s="5"/>
      <c r="P74" s="5"/>
      <c r="Q74" s="84">
        <f t="shared" si="12"/>
        <v>0</v>
      </c>
      <c r="R74" s="5"/>
      <c r="S74" s="96"/>
      <c r="T74" s="96"/>
      <c r="U74" s="104"/>
      <c r="V74" s="96"/>
      <c r="W74" s="96"/>
      <c r="X74" s="96"/>
      <c r="Y74" s="103"/>
      <c r="Z74" s="88"/>
      <c r="AA74" s="4"/>
      <c r="AB74" s="104"/>
      <c r="AC74" s="102"/>
      <c r="AD74" s="4"/>
      <c r="AE74" s="101"/>
      <c r="AF74" s="4"/>
      <c r="AG74" s="4"/>
      <c r="AH74" s="4"/>
      <c r="AI74" s="4"/>
      <c r="AJ74" s="4"/>
      <c r="AK74" s="4"/>
      <c r="AL74" s="4"/>
      <c r="AM74" s="4"/>
      <c r="AN74" s="4"/>
      <c r="AO74" s="4"/>
      <c r="AP74" s="4"/>
      <c r="AQ74" s="4"/>
      <c r="AR74" s="4"/>
      <c r="AS74" s="4"/>
      <c r="AT74" s="4"/>
      <c r="AU74" s="102"/>
      <c r="AV74" s="4"/>
      <c r="AW74" s="102"/>
      <c r="AX74" s="102"/>
      <c r="AY74" s="102"/>
      <c r="AZ74" s="102"/>
      <c r="BA74" s="4"/>
      <c r="BB74" s="102"/>
      <c r="BC74" s="96"/>
      <c r="BD74" s="4"/>
      <c r="BE74" s="4"/>
      <c r="BF74" s="4"/>
      <c r="BG74" s="4"/>
      <c r="BH74" s="4"/>
      <c r="BI74" s="4"/>
      <c r="BJ74" s="4"/>
      <c r="BK74" s="4"/>
      <c r="BL74" s="4"/>
      <c r="BM74" s="4"/>
      <c r="BN74" s="4"/>
      <c r="BO74" s="4"/>
      <c r="BP74" s="4"/>
      <c r="BQ74" s="4"/>
      <c r="BR74" s="4"/>
      <c r="BS74" s="4"/>
    </row>
    <row r="75" spans="1:71" s="63" customFormat="1" ht="12.75" x14ac:dyDescent="0.25">
      <c r="A75" s="20"/>
      <c r="B75" s="31" t="str">
        <f t="shared" si="10"/>
        <v/>
      </c>
      <c r="C75" s="31" t="str">
        <f t="shared" si="11"/>
        <v/>
      </c>
      <c r="D75" s="32"/>
      <c r="E75" s="33"/>
      <c r="F75" s="36"/>
      <c r="G75" s="36"/>
      <c r="H75" s="38" t="str">
        <f t="shared" si="8"/>
        <v/>
      </c>
      <c r="I75" s="34"/>
      <c r="J75" s="13"/>
      <c r="K75" s="13"/>
      <c r="L75" s="13"/>
      <c r="M75" s="13"/>
      <c r="N75" s="35"/>
      <c r="O75" s="5"/>
      <c r="P75" s="5"/>
      <c r="Q75" s="84">
        <f t="shared" si="12"/>
        <v>0</v>
      </c>
      <c r="R75" s="5"/>
      <c r="S75" s="96"/>
      <c r="T75" s="96"/>
      <c r="U75" s="104"/>
      <c r="V75" s="96"/>
      <c r="W75" s="96"/>
      <c r="X75" s="96"/>
      <c r="Y75" s="103"/>
      <c r="Z75" s="88"/>
      <c r="AA75" s="4"/>
      <c r="AB75" s="104"/>
      <c r="AC75" s="102"/>
      <c r="AD75" s="4"/>
      <c r="AE75" s="101"/>
      <c r="AF75" s="4"/>
      <c r="AG75" s="4"/>
      <c r="AH75" s="4"/>
      <c r="AI75" s="4"/>
      <c r="AJ75" s="4"/>
      <c r="AK75" s="4"/>
      <c r="AL75" s="4"/>
      <c r="AM75" s="4"/>
      <c r="AN75" s="4"/>
      <c r="AO75" s="4"/>
      <c r="AP75" s="4"/>
      <c r="AQ75" s="4"/>
      <c r="AR75" s="4"/>
      <c r="AS75" s="4"/>
      <c r="AT75" s="4"/>
      <c r="AU75" s="102"/>
      <c r="AV75" s="4"/>
      <c r="AW75" s="102"/>
      <c r="AX75" s="102"/>
      <c r="AY75" s="102"/>
      <c r="AZ75" s="102"/>
      <c r="BA75" s="4"/>
      <c r="BB75" s="102"/>
      <c r="BC75" s="96"/>
      <c r="BD75" s="4"/>
      <c r="BE75" s="4"/>
      <c r="BF75" s="4"/>
      <c r="BG75" s="4"/>
      <c r="BH75" s="4"/>
      <c r="BI75" s="4"/>
      <c r="BJ75" s="4"/>
      <c r="BK75" s="4"/>
      <c r="BL75" s="4"/>
      <c r="BM75" s="4"/>
      <c r="BN75" s="4"/>
      <c r="BO75" s="4"/>
      <c r="BP75" s="4"/>
      <c r="BQ75" s="4"/>
      <c r="BR75" s="4"/>
      <c r="BS75" s="4"/>
    </row>
    <row r="76" spans="1:71" s="63" customFormat="1" ht="12.75" x14ac:dyDescent="0.25">
      <c r="A76" s="20"/>
      <c r="B76" s="31" t="str">
        <f t="shared" si="10"/>
        <v/>
      </c>
      <c r="C76" s="31" t="str">
        <f t="shared" si="11"/>
        <v/>
      </c>
      <c r="D76" s="32"/>
      <c r="E76" s="33"/>
      <c r="F76" s="36"/>
      <c r="G76" s="36"/>
      <c r="H76" s="38" t="str">
        <f t="shared" si="8"/>
        <v/>
      </c>
      <c r="I76" s="34"/>
      <c r="J76" s="13"/>
      <c r="K76" s="13"/>
      <c r="L76" s="13"/>
      <c r="M76" s="13"/>
      <c r="N76" s="35"/>
      <c r="O76" s="5"/>
      <c r="P76" s="5"/>
      <c r="Q76" s="84">
        <f t="shared" si="12"/>
        <v>0</v>
      </c>
      <c r="R76" s="5"/>
      <c r="S76" s="96"/>
      <c r="T76" s="96"/>
      <c r="U76" s="104"/>
      <c r="V76" s="96"/>
      <c r="W76" s="96"/>
      <c r="X76" s="96"/>
      <c r="Y76" s="103"/>
      <c r="Z76" s="88"/>
      <c r="AA76" s="4"/>
      <c r="AB76" s="104"/>
      <c r="AC76" s="102"/>
      <c r="AD76" s="4"/>
      <c r="AE76" s="101"/>
      <c r="AF76" s="4"/>
      <c r="AG76" s="4"/>
      <c r="AH76" s="4"/>
      <c r="AI76" s="4"/>
      <c r="AJ76" s="4"/>
      <c r="AK76" s="4"/>
      <c r="AL76" s="4"/>
      <c r="AM76" s="4"/>
      <c r="AN76" s="4"/>
      <c r="AO76" s="4"/>
      <c r="AP76" s="4"/>
      <c r="AQ76" s="4"/>
      <c r="AR76" s="4"/>
      <c r="AS76" s="4"/>
      <c r="AT76" s="4"/>
      <c r="AU76" s="102"/>
      <c r="AV76" s="4"/>
      <c r="AW76" s="102"/>
      <c r="AX76" s="102"/>
      <c r="AY76" s="102"/>
      <c r="AZ76" s="102"/>
      <c r="BA76" s="4"/>
      <c r="BB76" s="102"/>
      <c r="BC76" s="96"/>
      <c r="BD76" s="4"/>
      <c r="BE76" s="4"/>
      <c r="BF76" s="4"/>
      <c r="BG76" s="4"/>
      <c r="BH76" s="4"/>
      <c r="BI76" s="4"/>
      <c r="BJ76" s="4"/>
      <c r="BK76" s="4"/>
      <c r="BL76" s="4"/>
      <c r="BM76" s="4"/>
      <c r="BN76" s="4"/>
      <c r="BO76" s="4"/>
      <c r="BP76" s="4"/>
      <c r="BQ76" s="4"/>
      <c r="BR76" s="4"/>
      <c r="BS76" s="4"/>
    </row>
    <row r="77" spans="1:71" s="63" customFormat="1" ht="12.75" x14ac:dyDescent="0.25">
      <c r="A77" s="20"/>
      <c r="B77" s="31" t="str">
        <f t="shared" si="10"/>
        <v/>
      </c>
      <c r="C77" s="31" t="str">
        <f t="shared" si="11"/>
        <v/>
      </c>
      <c r="D77" s="32"/>
      <c r="E77" s="33"/>
      <c r="F77" s="36"/>
      <c r="G77" s="36"/>
      <c r="H77" s="38" t="str">
        <f t="shared" si="8"/>
        <v/>
      </c>
      <c r="I77" s="34"/>
      <c r="J77" s="13"/>
      <c r="K77" s="13"/>
      <c r="L77" s="13"/>
      <c r="M77" s="13"/>
      <c r="N77" s="35"/>
      <c r="O77" s="5"/>
      <c r="P77" s="5"/>
      <c r="Q77" s="84">
        <f t="shared" si="12"/>
        <v>0</v>
      </c>
      <c r="R77" s="5"/>
      <c r="S77" s="96"/>
      <c r="T77" s="96"/>
      <c r="U77" s="104"/>
      <c r="V77" s="96"/>
      <c r="W77" s="96"/>
      <c r="X77" s="96"/>
      <c r="Y77" s="103"/>
      <c r="Z77" s="88"/>
      <c r="AA77" s="4"/>
      <c r="AB77" s="104"/>
      <c r="AC77" s="102"/>
      <c r="AD77" s="4"/>
      <c r="AE77" s="101"/>
      <c r="AF77" s="4"/>
      <c r="AG77" s="4"/>
      <c r="AH77" s="4"/>
      <c r="AI77" s="4"/>
      <c r="AJ77" s="4"/>
      <c r="AK77" s="4"/>
      <c r="AL77" s="4"/>
      <c r="AM77" s="4"/>
      <c r="AN77" s="4"/>
      <c r="AO77" s="4"/>
      <c r="AP77" s="4"/>
      <c r="AQ77" s="4"/>
      <c r="AR77" s="4"/>
      <c r="AS77" s="4"/>
      <c r="AT77" s="4"/>
      <c r="AU77" s="102"/>
      <c r="AV77" s="4"/>
      <c r="AW77" s="102"/>
      <c r="AX77" s="102"/>
      <c r="AY77" s="102"/>
      <c r="AZ77" s="102"/>
      <c r="BA77" s="4"/>
      <c r="BB77" s="102"/>
      <c r="BC77" s="96"/>
      <c r="BD77" s="4"/>
      <c r="BE77" s="4"/>
      <c r="BF77" s="4"/>
      <c r="BG77" s="4"/>
      <c r="BH77" s="4"/>
      <c r="BI77" s="4"/>
      <c r="BJ77" s="4"/>
      <c r="BK77" s="4"/>
      <c r="BL77" s="4"/>
      <c r="BM77" s="4"/>
      <c r="BN77" s="4"/>
      <c r="BO77" s="4"/>
      <c r="BP77" s="4"/>
      <c r="BQ77" s="4"/>
      <c r="BR77" s="4"/>
      <c r="BS77" s="4"/>
    </row>
    <row r="78" spans="1:71" s="63" customFormat="1" ht="12.75" x14ac:dyDescent="0.25">
      <c r="A78" s="20"/>
      <c r="B78" s="31" t="str">
        <f t="shared" si="10"/>
        <v/>
      </c>
      <c r="C78" s="31" t="str">
        <f t="shared" si="11"/>
        <v/>
      </c>
      <c r="D78" s="32"/>
      <c r="E78" s="33"/>
      <c r="F78" s="36"/>
      <c r="G78" s="36"/>
      <c r="H78" s="38" t="str">
        <f t="shared" si="8"/>
        <v/>
      </c>
      <c r="I78" s="34"/>
      <c r="J78" s="13"/>
      <c r="K78" s="13"/>
      <c r="L78" s="13"/>
      <c r="M78" s="13"/>
      <c r="N78" s="35"/>
      <c r="O78" s="5"/>
      <c r="P78" s="5"/>
      <c r="Q78" s="84">
        <f t="shared" si="12"/>
        <v>0</v>
      </c>
      <c r="R78" s="5"/>
      <c r="S78" s="96"/>
      <c r="T78" s="96"/>
      <c r="U78" s="104"/>
      <c r="V78" s="96"/>
      <c r="W78" s="96"/>
      <c r="X78" s="96"/>
      <c r="Y78" s="103"/>
      <c r="Z78" s="88"/>
      <c r="AA78" s="4"/>
      <c r="AB78" s="104"/>
      <c r="AC78" s="102"/>
      <c r="AD78" s="4"/>
      <c r="AE78" s="101"/>
      <c r="AF78" s="4"/>
      <c r="AG78" s="4"/>
      <c r="AH78" s="4"/>
      <c r="AI78" s="4"/>
      <c r="AJ78" s="4"/>
      <c r="AK78" s="4"/>
      <c r="AL78" s="4"/>
      <c r="AM78" s="4"/>
      <c r="AN78" s="4"/>
      <c r="AO78" s="4"/>
      <c r="AP78" s="4"/>
      <c r="AQ78" s="4"/>
      <c r="AR78" s="4"/>
      <c r="AS78" s="4"/>
      <c r="AT78" s="4"/>
      <c r="AU78" s="102"/>
      <c r="AV78" s="4"/>
      <c r="AW78" s="102"/>
      <c r="AX78" s="102"/>
      <c r="AY78" s="102"/>
      <c r="AZ78" s="102"/>
      <c r="BA78" s="4"/>
      <c r="BB78" s="102"/>
      <c r="BC78" s="96"/>
      <c r="BD78" s="4"/>
      <c r="BE78" s="4"/>
      <c r="BF78" s="4"/>
      <c r="BG78" s="4"/>
      <c r="BH78" s="4"/>
      <c r="BI78" s="4"/>
      <c r="BJ78" s="4"/>
      <c r="BK78" s="4"/>
      <c r="BL78" s="4"/>
      <c r="BM78" s="4"/>
      <c r="BN78" s="4"/>
      <c r="BO78" s="4"/>
      <c r="BP78" s="4"/>
      <c r="BQ78" s="4"/>
      <c r="BR78" s="4"/>
      <c r="BS78" s="4"/>
    </row>
    <row r="79" spans="1:71" s="63" customFormat="1" ht="12.75" x14ac:dyDescent="0.25">
      <c r="A79" s="20"/>
      <c r="B79" s="31" t="str">
        <f t="shared" si="10"/>
        <v/>
      </c>
      <c r="C79" s="31" t="str">
        <f t="shared" si="11"/>
        <v/>
      </c>
      <c r="D79" s="32"/>
      <c r="E79" s="33"/>
      <c r="F79" s="36"/>
      <c r="G79" s="36"/>
      <c r="H79" s="38" t="str">
        <f t="shared" si="8"/>
        <v/>
      </c>
      <c r="I79" s="34"/>
      <c r="J79" s="13"/>
      <c r="K79" s="13"/>
      <c r="L79" s="13"/>
      <c r="M79" s="13"/>
      <c r="N79" s="35"/>
      <c r="O79" s="5"/>
      <c r="P79" s="5"/>
      <c r="Q79" s="84">
        <f t="shared" si="12"/>
        <v>0</v>
      </c>
      <c r="R79" s="5"/>
      <c r="S79" s="96"/>
      <c r="T79" s="96"/>
      <c r="U79" s="104"/>
      <c r="V79" s="96"/>
      <c r="W79" s="96"/>
      <c r="X79" s="96"/>
      <c r="Y79" s="103"/>
      <c r="Z79" s="88"/>
      <c r="AA79" s="4"/>
      <c r="AB79" s="104"/>
      <c r="AC79" s="102"/>
      <c r="AD79" s="4"/>
      <c r="AE79" s="101"/>
      <c r="AF79" s="4"/>
      <c r="AG79" s="4"/>
      <c r="AH79" s="4"/>
      <c r="AI79" s="4"/>
      <c r="AJ79" s="4"/>
      <c r="AK79" s="4"/>
      <c r="AL79" s="4"/>
      <c r="AM79" s="4"/>
      <c r="AN79" s="4"/>
      <c r="AO79" s="4"/>
      <c r="AP79" s="4"/>
      <c r="AQ79" s="4"/>
      <c r="AR79" s="4"/>
      <c r="AS79" s="4"/>
      <c r="AT79" s="4"/>
      <c r="AU79" s="102"/>
      <c r="AV79" s="4"/>
      <c r="AW79" s="102"/>
      <c r="AX79" s="102"/>
      <c r="AY79" s="102"/>
      <c r="AZ79" s="102"/>
      <c r="BA79" s="4"/>
      <c r="BB79" s="102"/>
      <c r="BC79" s="96"/>
      <c r="BD79" s="4"/>
      <c r="BE79" s="4"/>
      <c r="BF79" s="4"/>
      <c r="BG79" s="4"/>
      <c r="BH79" s="4"/>
      <c r="BI79" s="4"/>
      <c r="BJ79" s="4"/>
      <c r="BK79" s="4"/>
      <c r="BL79" s="4"/>
      <c r="BM79" s="4"/>
      <c r="BN79" s="4"/>
      <c r="BO79" s="4"/>
      <c r="BP79" s="4"/>
      <c r="BQ79" s="4"/>
      <c r="BR79" s="4"/>
      <c r="BS79" s="4"/>
    </row>
    <row r="80" spans="1:71" s="63" customFormat="1" ht="12.75" x14ac:dyDescent="0.25">
      <c r="A80" s="20"/>
      <c r="B80" s="31" t="str">
        <f t="shared" si="10"/>
        <v/>
      </c>
      <c r="C80" s="31" t="str">
        <f t="shared" si="11"/>
        <v/>
      </c>
      <c r="D80" s="32"/>
      <c r="E80" s="33"/>
      <c r="F80" s="36"/>
      <c r="G80" s="36"/>
      <c r="H80" s="38" t="str">
        <f t="shared" si="8"/>
        <v/>
      </c>
      <c r="I80" s="34"/>
      <c r="J80" s="13"/>
      <c r="K80" s="13"/>
      <c r="L80" s="13"/>
      <c r="M80" s="13"/>
      <c r="N80" s="35"/>
      <c r="O80" s="5"/>
      <c r="P80" s="5"/>
      <c r="Q80" s="84">
        <f t="shared" si="12"/>
        <v>0</v>
      </c>
      <c r="R80" s="5"/>
      <c r="S80" s="96"/>
      <c r="T80" s="96"/>
      <c r="U80" s="104"/>
      <c r="V80" s="96"/>
      <c r="W80" s="96"/>
      <c r="X80" s="96"/>
      <c r="Y80" s="103"/>
      <c r="Z80" s="88"/>
      <c r="AA80" s="4"/>
      <c r="AB80" s="104"/>
      <c r="AC80" s="102"/>
      <c r="AD80" s="4"/>
      <c r="AE80" s="101"/>
      <c r="AF80" s="4"/>
      <c r="AG80" s="4"/>
      <c r="AH80" s="4"/>
      <c r="AI80" s="4"/>
      <c r="AJ80" s="4"/>
      <c r="AK80" s="4"/>
      <c r="AL80" s="4"/>
      <c r="AM80" s="4"/>
      <c r="AN80" s="4"/>
      <c r="AO80" s="4"/>
      <c r="AP80" s="4"/>
      <c r="AQ80" s="4"/>
      <c r="AR80" s="4"/>
      <c r="AS80" s="4"/>
      <c r="AT80" s="4"/>
      <c r="AU80" s="102"/>
      <c r="AV80" s="4"/>
      <c r="AW80" s="102"/>
      <c r="AX80" s="102"/>
      <c r="AY80" s="102"/>
      <c r="AZ80" s="102"/>
      <c r="BA80" s="4"/>
      <c r="BB80" s="102"/>
      <c r="BC80" s="96"/>
      <c r="BD80" s="4"/>
      <c r="BE80" s="4"/>
      <c r="BF80" s="4"/>
      <c r="BG80" s="4"/>
      <c r="BH80" s="4"/>
      <c r="BI80" s="4"/>
      <c r="BJ80" s="4"/>
      <c r="BK80" s="4"/>
      <c r="BL80" s="4"/>
      <c r="BM80" s="4"/>
      <c r="BN80" s="4"/>
      <c r="BO80" s="4"/>
      <c r="BP80" s="4"/>
      <c r="BQ80" s="4"/>
      <c r="BR80" s="4"/>
      <c r="BS80" s="4"/>
    </row>
    <row r="81" spans="1:71" s="63" customFormat="1" ht="12.75" x14ac:dyDescent="0.25">
      <c r="A81" s="20"/>
      <c r="B81" s="31" t="str">
        <f t="shared" ref="B81:B106" si="13">IF(C81="","",$B$2)</f>
        <v/>
      </c>
      <c r="C81" s="31" t="str">
        <f t="shared" ref="C81:C106" si="14">IF(I81="","",$C$2)</f>
        <v/>
      </c>
      <c r="D81" s="32"/>
      <c r="E81" s="33"/>
      <c r="F81" s="36"/>
      <c r="G81" s="36"/>
      <c r="H81" s="38" t="str">
        <f t="shared" si="8"/>
        <v/>
      </c>
      <c r="I81" s="34"/>
      <c r="J81" s="13"/>
      <c r="K81" s="13"/>
      <c r="L81" s="13"/>
      <c r="M81" s="13"/>
      <c r="N81" s="35"/>
      <c r="O81" s="5"/>
      <c r="P81" s="5"/>
      <c r="Q81" s="84">
        <f t="shared" ref="Q81:Q106" si="15">IF(AND(OR(L81="MISSING",L81="PART OF A SEQUENCE",L81="NOT HAPPENED"),OR(M81=$AE$37,M81=$AE$38,M81=$AE$43,M81=$AE$40,M81=$AE$25)),1,0)</f>
        <v>0</v>
      </c>
      <c r="R81" s="5"/>
      <c r="S81" s="96"/>
      <c r="T81" s="96"/>
      <c r="U81" s="104"/>
      <c r="V81" s="96"/>
      <c r="W81" s="96"/>
      <c r="X81" s="96"/>
      <c r="Y81" s="103"/>
      <c r="Z81" s="88"/>
      <c r="AA81" s="4"/>
      <c r="AB81" s="104"/>
      <c r="AC81" s="102"/>
      <c r="AD81" s="4"/>
      <c r="AE81" s="101"/>
      <c r="AF81" s="4"/>
      <c r="AG81" s="4"/>
      <c r="AH81" s="4"/>
      <c r="AI81" s="4"/>
      <c r="AJ81" s="4"/>
      <c r="AK81" s="4"/>
      <c r="AL81" s="4"/>
      <c r="AM81" s="4"/>
      <c r="AN81" s="4"/>
      <c r="AO81" s="4"/>
      <c r="AP81" s="4"/>
      <c r="AQ81" s="4"/>
      <c r="AR81" s="4"/>
      <c r="AS81" s="4"/>
      <c r="AT81" s="4"/>
      <c r="AU81" s="102"/>
      <c r="AV81" s="4"/>
      <c r="AW81" s="102"/>
      <c r="AX81" s="102"/>
      <c r="AY81" s="102"/>
      <c r="AZ81" s="102"/>
      <c r="BA81" s="4"/>
      <c r="BB81" s="102"/>
      <c r="BC81" s="96"/>
      <c r="BD81" s="4"/>
      <c r="BE81" s="4"/>
      <c r="BF81" s="4"/>
      <c r="BG81" s="4"/>
      <c r="BH81" s="4"/>
      <c r="BI81" s="4"/>
      <c r="BJ81" s="4"/>
      <c r="BK81" s="4"/>
      <c r="BL81" s="4"/>
      <c r="BM81" s="4"/>
      <c r="BN81" s="4"/>
      <c r="BO81" s="4"/>
      <c r="BP81" s="4"/>
      <c r="BQ81" s="4"/>
      <c r="BR81" s="4"/>
      <c r="BS81" s="4"/>
    </row>
    <row r="82" spans="1:71" s="63" customFormat="1" ht="12.75" x14ac:dyDescent="0.25">
      <c r="A82" s="20"/>
      <c r="B82" s="31" t="str">
        <f t="shared" si="13"/>
        <v/>
      </c>
      <c r="C82" s="31" t="str">
        <f t="shared" si="14"/>
        <v/>
      </c>
      <c r="D82" s="32"/>
      <c r="E82" s="33"/>
      <c r="F82" s="36"/>
      <c r="G82" s="36"/>
      <c r="H82" s="38" t="str">
        <f t="shared" ref="H82:H106" si="16">IF(I82="","",$I$14)</f>
        <v/>
      </c>
      <c r="I82" s="34"/>
      <c r="J82" s="13"/>
      <c r="K82" s="13"/>
      <c r="L82" s="13"/>
      <c r="M82" s="13"/>
      <c r="N82" s="35"/>
      <c r="O82" s="5"/>
      <c r="P82" s="5"/>
      <c r="Q82" s="84">
        <f t="shared" si="15"/>
        <v>0</v>
      </c>
      <c r="R82" s="5"/>
      <c r="S82" s="96"/>
      <c r="T82" s="96"/>
      <c r="U82" s="104"/>
      <c r="V82" s="96"/>
      <c r="W82" s="96"/>
      <c r="X82" s="96"/>
      <c r="Y82" s="103"/>
      <c r="Z82" s="88"/>
      <c r="AA82" s="4"/>
      <c r="AB82" s="104"/>
      <c r="AC82" s="102"/>
      <c r="AD82" s="4"/>
      <c r="AE82" s="101"/>
      <c r="AF82" s="4"/>
      <c r="AG82" s="4"/>
      <c r="AH82" s="4"/>
      <c r="AI82" s="4"/>
      <c r="AJ82" s="4"/>
      <c r="AK82" s="4"/>
      <c r="AL82" s="4"/>
      <c r="AM82" s="4"/>
      <c r="AN82" s="4"/>
      <c r="AO82" s="4"/>
      <c r="AP82" s="4"/>
      <c r="AQ82" s="4"/>
      <c r="AR82" s="4"/>
      <c r="AS82" s="4"/>
      <c r="AT82" s="4"/>
      <c r="AU82" s="102"/>
      <c r="AV82" s="4"/>
      <c r="AW82" s="102"/>
      <c r="AX82" s="102"/>
      <c r="AY82" s="102"/>
      <c r="AZ82" s="102"/>
      <c r="BA82" s="4"/>
      <c r="BB82" s="102"/>
      <c r="BC82" s="96"/>
      <c r="BD82" s="4"/>
      <c r="BE82" s="4"/>
      <c r="BF82" s="4"/>
      <c r="BG82" s="4"/>
      <c r="BH82" s="4"/>
      <c r="BI82" s="4"/>
      <c r="BJ82" s="4"/>
      <c r="BK82" s="4"/>
      <c r="BL82" s="4"/>
      <c r="BM82" s="4"/>
      <c r="BN82" s="4"/>
      <c r="BO82" s="4"/>
      <c r="BP82" s="4"/>
      <c r="BQ82" s="4"/>
      <c r="BR82" s="4"/>
      <c r="BS82" s="4"/>
    </row>
    <row r="83" spans="1:71" s="63" customFormat="1" ht="12.75" x14ac:dyDescent="0.25">
      <c r="A83" s="20"/>
      <c r="B83" s="31" t="str">
        <f t="shared" si="13"/>
        <v/>
      </c>
      <c r="C83" s="31" t="str">
        <f t="shared" si="14"/>
        <v/>
      </c>
      <c r="D83" s="32"/>
      <c r="E83" s="33"/>
      <c r="F83" s="36"/>
      <c r="G83" s="36"/>
      <c r="H83" s="38" t="str">
        <f t="shared" si="16"/>
        <v/>
      </c>
      <c r="I83" s="34"/>
      <c r="J83" s="13"/>
      <c r="K83" s="13"/>
      <c r="L83" s="13"/>
      <c r="M83" s="13"/>
      <c r="N83" s="35"/>
      <c r="O83" s="5"/>
      <c r="P83" s="5"/>
      <c r="Q83" s="84">
        <f t="shared" si="15"/>
        <v>0</v>
      </c>
      <c r="R83" s="5"/>
      <c r="S83" s="96"/>
      <c r="T83" s="96"/>
      <c r="U83" s="104"/>
      <c r="V83" s="96"/>
      <c r="W83" s="96"/>
      <c r="X83" s="96"/>
      <c r="Y83" s="103"/>
      <c r="Z83" s="88"/>
      <c r="AA83" s="4"/>
      <c r="AB83" s="104"/>
      <c r="AC83" s="102"/>
      <c r="AD83" s="4"/>
      <c r="AE83" s="101"/>
      <c r="AF83" s="4"/>
      <c r="AG83" s="4"/>
      <c r="AH83" s="4"/>
      <c r="AI83" s="4"/>
      <c r="AJ83" s="4"/>
      <c r="AK83" s="4"/>
      <c r="AL83" s="4"/>
      <c r="AM83" s="4"/>
      <c r="AN83" s="4"/>
      <c r="AO83" s="4"/>
      <c r="AP83" s="4"/>
      <c r="AQ83" s="4"/>
      <c r="AR83" s="4"/>
      <c r="AS83" s="4"/>
      <c r="AT83" s="4"/>
      <c r="AU83" s="102"/>
      <c r="AV83" s="4"/>
      <c r="AW83" s="102"/>
      <c r="AX83" s="102"/>
      <c r="AY83" s="102"/>
      <c r="AZ83" s="102"/>
      <c r="BA83" s="4"/>
      <c r="BB83" s="102"/>
      <c r="BC83" s="96"/>
      <c r="BD83" s="4"/>
      <c r="BE83" s="4"/>
      <c r="BF83" s="4"/>
      <c r="BG83" s="4"/>
      <c r="BH83" s="4"/>
      <c r="BI83" s="4"/>
      <c r="BJ83" s="4"/>
      <c r="BK83" s="4"/>
      <c r="BL83" s="4"/>
      <c r="BM83" s="4"/>
      <c r="BN83" s="4"/>
      <c r="BO83" s="4"/>
      <c r="BP83" s="4"/>
      <c r="BQ83" s="4"/>
      <c r="BR83" s="4"/>
      <c r="BS83" s="4"/>
    </row>
    <row r="84" spans="1:71" s="63" customFormat="1" ht="12.75" x14ac:dyDescent="0.25">
      <c r="A84" s="20"/>
      <c r="B84" s="31" t="str">
        <f t="shared" si="13"/>
        <v/>
      </c>
      <c r="C84" s="31" t="str">
        <f t="shared" si="14"/>
        <v/>
      </c>
      <c r="D84" s="32"/>
      <c r="E84" s="33"/>
      <c r="F84" s="36"/>
      <c r="G84" s="36"/>
      <c r="H84" s="38" t="str">
        <f t="shared" si="16"/>
        <v/>
      </c>
      <c r="I84" s="34"/>
      <c r="J84" s="13"/>
      <c r="K84" s="13"/>
      <c r="L84" s="13"/>
      <c r="M84" s="13"/>
      <c r="N84" s="35"/>
      <c r="O84" s="5"/>
      <c r="P84" s="5"/>
      <c r="Q84" s="84">
        <f t="shared" si="15"/>
        <v>0</v>
      </c>
      <c r="R84" s="5"/>
      <c r="S84" s="96"/>
      <c r="T84" s="96"/>
      <c r="U84" s="104"/>
      <c r="V84" s="96"/>
      <c r="W84" s="96"/>
      <c r="X84" s="96"/>
      <c r="Y84" s="103"/>
      <c r="Z84" s="88"/>
      <c r="AA84" s="4"/>
      <c r="AB84" s="104"/>
      <c r="AC84" s="102"/>
      <c r="AD84" s="4"/>
      <c r="AE84" s="101"/>
      <c r="AF84" s="4"/>
      <c r="AG84" s="4"/>
      <c r="AH84" s="4"/>
      <c r="AI84" s="4"/>
      <c r="AJ84" s="4"/>
      <c r="AK84" s="4"/>
      <c r="AL84" s="4"/>
      <c r="AM84" s="4"/>
      <c r="AN84" s="4"/>
      <c r="AO84" s="4"/>
      <c r="AP84" s="4"/>
      <c r="AQ84" s="4"/>
      <c r="AR84" s="4"/>
      <c r="AS84" s="4"/>
      <c r="AT84" s="4"/>
      <c r="AU84" s="102"/>
      <c r="AV84" s="4"/>
      <c r="AW84" s="102"/>
      <c r="AX84" s="102"/>
      <c r="AY84" s="102"/>
      <c r="AZ84" s="102"/>
      <c r="BA84" s="4"/>
      <c r="BB84" s="102"/>
      <c r="BC84" s="96"/>
      <c r="BD84" s="4"/>
      <c r="BE84" s="4"/>
      <c r="BF84" s="4"/>
      <c r="BG84" s="4"/>
      <c r="BH84" s="4"/>
      <c r="BI84" s="4"/>
      <c r="BJ84" s="4"/>
      <c r="BK84" s="4"/>
      <c r="BL84" s="4"/>
      <c r="BM84" s="4"/>
      <c r="BN84" s="4"/>
      <c r="BO84" s="4"/>
      <c r="BP84" s="4"/>
      <c r="BQ84" s="4"/>
      <c r="BR84" s="4"/>
      <c r="BS84" s="4"/>
    </row>
    <row r="85" spans="1:71" s="63" customFormat="1" ht="12.75" x14ac:dyDescent="0.25">
      <c r="A85" s="20"/>
      <c r="B85" s="31" t="str">
        <f t="shared" si="13"/>
        <v/>
      </c>
      <c r="C85" s="31" t="str">
        <f t="shared" si="14"/>
        <v/>
      </c>
      <c r="D85" s="32"/>
      <c r="E85" s="33"/>
      <c r="F85" s="36"/>
      <c r="G85" s="36"/>
      <c r="H85" s="38" t="str">
        <f t="shared" si="16"/>
        <v/>
      </c>
      <c r="I85" s="34"/>
      <c r="J85" s="13"/>
      <c r="K85" s="13"/>
      <c r="L85" s="13"/>
      <c r="M85" s="13"/>
      <c r="N85" s="35"/>
      <c r="O85" s="5"/>
      <c r="P85" s="5"/>
      <c r="Q85" s="84">
        <f t="shared" si="15"/>
        <v>0</v>
      </c>
      <c r="R85" s="5"/>
      <c r="S85" s="96"/>
      <c r="T85" s="96"/>
      <c r="U85" s="104"/>
      <c r="V85" s="96"/>
      <c r="W85" s="96"/>
      <c r="X85" s="96"/>
      <c r="Y85" s="103"/>
      <c r="Z85" s="88"/>
      <c r="AA85" s="4"/>
      <c r="AB85" s="104"/>
      <c r="AC85" s="102"/>
      <c r="AD85" s="4"/>
      <c r="AE85" s="101"/>
      <c r="AF85" s="4"/>
      <c r="AG85" s="4"/>
      <c r="AH85" s="4"/>
      <c r="AI85" s="4"/>
      <c r="AJ85" s="4"/>
      <c r="AK85" s="4"/>
      <c r="AL85" s="4"/>
      <c r="AM85" s="4"/>
      <c r="AN85" s="4"/>
      <c r="AO85" s="4"/>
      <c r="AP85" s="4"/>
      <c r="AQ85" s="4"/>
      <c r="AR85" s="4"/>
      <c r="AS85" s="4"/>
      <c r="AT85" s="4"/>
      <c r="AU85" s="102"/>
      <c r="AV85" s="4"/>
      <c r="AW85" s="102"/>
      <c r="AX85" s="102"/>
      <c r="AY85" s="102"/>
      <c r="AZ85" s="102"/>
      <c r="BA85" s="4"/>
      <c r="BB85" s="102"/>
      <c r="BC85" s="96"/>
      <c r="BD85" s="4"/>
      <c r="BE85" s="4"/>
      <c r="BF85" s="4"/>
      <c r="BG85" s="4"/>
      <c r="BH85" s="4"/>
      <c r="BI85" s="4"/>
      <c r="BJ85" s="4"/>
      <c r="BK85" s="4"/>
      <c r="BL85" s="4"/>
      <c r="BM85" s="4"/>
      <c r="BN85" s="4"/>
      <c r="BO85" s="4"/>
      <c r="BP85" s="4"/>
      <c r="BQ85" s="4"/>
      <c r="BR85" s="4"/>
      <c r="BS85" s="4"/>
    </row>
    <row r="86" spans="1:71" s="63" customFormat="1" ht="12.75" x14ac:dyDescent="0.25">
      <c r="A86" s="20"/>
      <c r="B86" s="31" t="str">
        <f t="shared" si="13"/>
        <v/>
      </c>
      <c r="C86" s="31" t="str">
        <f t="shared" si="14"/>
        <v/>
      </c>
      <c r="D86" s="32"/>
      <c r="E86" s="33"/>
      <c r="F86" s="36"/>
      <c r="G86" s="36"/>
      <c r="H86" s="38" t="str">
        <f t="shared" si="16"/>
        <v/>
      </c>
      <c r="I86" s="34"/>
      <c r="J86" s="13"/>
      <c r="K86" s="13"/>
      <c r="L86" s="13"/>
      <c r="M86" s="13"/>
      <c r="N86" s="35"/>
      <c r="O86" s="5"/>
      <c r="P86" s="5"/>
      <c r="Q86" s="84">
        <f t="shared" si="15"/>
        <v>0</v>
      </c>
      <c r="R86" s="5"/>
      <c r="S86" s="96"/>
      <c r="T86" s="96"/>
      <c r="U86" s="104"/>
      <c r="V86" s="96"/>
      <c r="W86" s="96"/>
      <c r="X86" s="96"/>
      <c r="Y86" s="103"/>
      <c r="Z86" s="88"/>
      <c r="AA86" s="4"/>
      <c r="AB86" s="104"/>
      <c r="AC86" s="102"/>
      <c r="AD86" s="4"/>
      <c r="AE86" s="101"/>
      <c r="AF86" s="4"/>
      <c r="AG86" s="4"/>
      <c r="AH86" s="4"/>
      <c r="AI86" s="4"/>
      <c r="AJ86" s="4"/>
      <c r="AK86" s="4"/>
      <c r="AL86" s="4"/>
      <c r="AM86" s="4"/>
      <c r="AN86" s="4"/>
      <c r="AO86" s="4"/>
      <c r="AP86" s="4"/>
      <c r="AQ86" s="4"/>
      <c r="AR86" s="4"/>
      <c r="AS86" s="4"/>
      <c r="AT86" s="4"/>
      <c r="AU86" s="102"/>
      <c r="AV86" s="4"/>
      <c r="AW86" s="102"/>
      <c r="AX86" s="102"/>
      <c r="AY86" s="102"/>
      <c r="AZ86" s="102"/>
      <c r="BA86" s="4"/>
      <c r="BB86" s="102"/>
      <c r="BC86" s="96"/>
      <c r="BD86" s="4"/>
      <c r="BE86" s="4"/>
      <c r="BF86" s="4"/>
      <c r="BG86" s="4"/>
      <c r="BH86" s="4"/>
      <c r="BI86" s="4"/>
      <c r="BJ86" s="4"/>
      <c r="BK86" s="4"/>
      <c r="BL86" s="4"/>
      <c r="BM86" s="4"/>
      <c r="BN86" s="4"/>
      <c r="BO86" s="4"/>
      <c r="BP86" s="4"/>
      <c r="BQ86" s="4"/>
      <c r="BR86" s="4"/>
      <c r="BS86" s="4"/>
    </row>
    <row r="87" spans="1:71" s="63" customFormat="1" ht="12.75" x14ac:dyDescent="0.25">
      <c r="A87" s="20"/>
      <c r="B87" s="31" t="str">
        <f t="shared" si="13"/>
        <v/>
      </c>
      <c r="C87" s="31" t="str">
        <f t="shared" si="14"/>
        <v/>
      </c>
      <c r="D87" s="32"/>
      <c r="E87" s="33"/>
      <c r="F87" s="36"/>
      <c r="G87" s="36"/>
      <c r="H87" s="38" t="str">
        <f t="shared" si="16"/>
        <v/>
      </c>
      <c r="I87" s="34"/>
      <c r="J87" s="13"/>
      <c r="K87" s="13"/>
      <c r="L87" s="13"/>
      <c r="M87" s="13"/>
      <c r="N87" s="35"/>
      <c r="O87" s="5"/>
      <c r="P87" s="5"/>
      <c r="Q87" s="84">
        <f t="shared" si="15"/>
        <v>0</v>
      </c>
      <c r="R87" s="5"/>
      <c r="S87" s="96"/>
      <c r="T87" s="96"/>
      <c r="U87" s="104"/>
      <c r="V87" s="96"/>
      <c r="W87" s="96"/>
      <c r="X87" s="96"/>
      <c r="Y87" s="103"/>
      <c r="Z87" s="88"/>
      <c r="AA87" s="4"/>
      <c r="AB87" s="104"/>
      <c r="AC87" s="102"/>
      <c r="AD87" s="4"/>
      <c r="AE87" s="101"/>
      <c r="AF87" s="4"/>
      <c r="AG87" s="4"/>
      <c r="AH87" s="4"/>
      <c r="AI87" s="4"/>
      <c r="AJ87" s="4"/>
      <c r="AK87" s="4"/>
      <c r="AL87" s="4"/>
      <c r="AM87" s="4"/>
      <c r="AN87" s="4"/>
      <c r="AO87" s="4"/>
      <c r="AP87" s="4"/>
      <c r="AQ87" s="4"/>
      <c r="AR87" s="4"/>
      <c r="AS87" s="4"/>
      <c r="AT87" s="4"/>
      <c r="AU87" s="102"/>
      <c r="AV87" s="4"/>
      <c r="AW87" s="102"/>
      <c r="AX87" s="102"/>
      <c r="AY87" s="102"/>
      <c r="AZ87" s="102"/>
      <c r="BA87" s="4"/>
      <c r="BB87" s="102"/>
      <c r="BC87" s="96"/>
      <c r="BD87" s="4"/>
      <c r="BE87" s="4"/>
      <c r="BF87" s="4"/>
      <c r="BG87" s="4"/>
      <c r="BH87" s="4"/>
      <c r="BI87" s="4"/>
      <c r="BJ87" s="4"/>
      <c r="BK87" s="4"/>
      <c r="BL87" s="4"/>
      <c r="BM87" s="4"/>
      <c r="BN87" s="4"/>
      <c r="BO87" s="4"/>
      <c r="BP87" s="4"/>
      <c r="BQ87" s="4"/>
      <c r="BR87" s="4"/>
      <c r="BS87" s="4"/>
    </row>
    <row r="88" spans="1:71" s="63" customFormat="1" ht="12.75" x14ac:dyDescent="0.25">
      <c r="A88" s="20"/>
      <c r="B88" s="31" t="str">
        <f t="shared" si="13"/>
        <v/>
      </c>
      <c r="C88" s="31" t="str">
        <f t="shared" si="14"/>
        <v/>
      </c>
      <c r="D88" s="32"/>
      <c r="E88" s="33"/>
      <c r="F88" s="36"/>
      <c r="G88" s="36"/>
      <c r="H88" s="38" t="str">
        <f t="shared" si="16"/>
        <v/>
      </c>
      <c r="I88" s="34"/>
      <c r="J88" s="13"/>
      <c r="K88" s="13"/>
      <c r="L88" s="13"/>
      <c r="M88" s="13"/>
      <c r="N88" s="35"/>
      <c r="O88" s="5"/>
      <c r="P88" s="5"/>
      <c r="Q88" s="84">
        <f t="shared" si="15"/>
        <v>0</v>
      </c>
      <c r="R88" s="5"/>
      <c r="S88" s="96"/>
      <c r="T88" s="96"/>
      <c r="U88" s="104"/>
      <c r="V88" s="96"/>
      <c r="W88" s="96"/>
      <c r="X88" s="96"/>
      <c r="Y88" s="103"/>
      <c r="Z88" s="88"/>
      <c r="AA88" s="4"/>
      <c r="AB88" s="104"/>
      <c r="AC88" s="102"/>
      <c r="AD88" s="4"/>
      <c r="AE88" s="101"/>
      <c r="AF88" s="4"/>
      <c r="AG88" s="4"/>
      <c r="AH88" s="4"/>
      <c r="AI88" s="4"/>
      <c r="AJ88" s="4"/>
      <c r="AK88" s="4"/>
      <c r="AL88" s="4"/>
      <c r="AM88" s="4"/>
      <c r="AN88" s="4"/>
      <c r="AO88" s="4"/>
      <c r="AP88" s="4"/>
      <c r="AQ88" s="4"/>
      <c r="AR88" s="4"/>
      <c r="AS88" s="4"/>
      <c r="AT88" s="4"/>
      <c r="AU88" s="102"/>
      <c r="AV88" s="4"/>
      <c r="AW88" s="102"/>
      <c r="AX88" s="102"/>
      <c r="AY88" s="102"/>
      <c r="AZ88" s="102"/>
      <c r="BA88" s="4"/>
      <c r="BB88" s="102"/>
      <c r="BC88" s="96"/>
      <c r="BD88" s="4"/>
      <c r="BE88" s="4"/>
      <c r="BF88" s="4"/>
      <c r="BG88" s="4"/>
      <c r="BH88" s="4"/>
      <c r="BI88" s="4"/>
      <c r="BJ88" s="4"/>
      <c r="BK88" s="4"/>
      <c r="BL88" s="4"/>
      <c r="BM88" s="4"/>
      <c r="BN88" s="4"/>
      <c r="BO88" s="4"/>
      <c r="BP88" s="4"/>
      <c r="BQ88" s="4"/>
      <c r="BR88" s="4"/>
      <c r="BS88" s="4"/>
    </row>
    <row r="89" spans="1:71" s="63" customFormat="1" ht="12.75" x14ac:dyDescent="0.25">
      <c r="A89" s="20"/>
      <c r="B89" s="31" t="str">
        <f t="shared" si="13"/>
        <v/>
      </c>
      <c r="C89" s="31" t="str">
        <f t="shared" si="14"/>
        <v/>
      </c>
      <c r="D89" s="32"/>
      <c r="E89" s="33"/>
      <c r="F89" s="36"/>
      <c r="G89" s="36"/>
      <c r="H89" s="38" t="str">
        <f t="shared" si="16"/>
        <v/>
      </c>
      <c r="I89" s="34"/>
      <c r="J89" s="13"/>
      <c r="K89" s="13"/>
      <c r="L89" s="13"/>
      <c r="M89" s="13"/>
      <c r="N89" s="35"/>
      <c r="O89" s="5"/>
      <c r="P89" s="5"/>
      <c r="Q89" s="84">
        <f t="shared" si="15"/>
        <v>0</v>
      </c>
      <c r="R89" s="5"/>
      <c r="S89" s="96"/>
      <c r="T89" s="96"/>
      <c r="U89" s="104"/>
      <c r="V89" s="96"/>
      <c r="W89" s="96"/>
      <c r="X89" s="96"/>
      <c r="Y89" s="103"/>
      <c r="Z89" s="88"/>
      <c r="AA89" s="4"/>
      <c r="AB89" s="104"/>
      <c r="AC89" s="102"/>
      <c r="AD89" s="4"/>
      <c r="AE89" s="101"/>
      <c r="AF89" s="4"/>
      <c r="AG89" s="4"/>
      <c r="AH89" s="4"/>
      <c r="AI89" s="4"/>
      <c r="AJ89" s="4"/>
      <c r="AK89" s="4"/>
      <c r="AL89" s="4"/>
      <c r="AM89" s="4"/>
      <c r="AN89" s="4"/>
      <c r="AO89" s="4"/>
      <c r="AP89" s="4"/>
      <c r="AQ89" s="4"/>
      <c r="AR89" s="4"/>
      <c r="AS89" s="4"/>
      <c r="AT89" s="4"/>
      <c r="AU89" s="102"/>
      <c r="AV89" s="4"/>
      <c r="AW89" s="102"/>
      <c r="AX89" s="102"/>
      <c r="AY89" s="102"/>
      <c r="AZ89" s="102"/>
      <c r="BA89" s="4"/>
      <c r="BB89" s="102"/>
      <c r="BC89" s="96"/>
      <c r="BD89" s="4"/>
      <c r="BE89" s="4"/>
      <c r="BF89" s="4"/>
      <c r="BG89" s="4"/>
      <c r="BH89" s="4"/>
      <c r="BI89" s="4"/>
      <c r="BJ89" s="4"/>
      <c r="BK89" s="4"/>
      <c r="BL89" s="4"/>
      <c r="BM89" s="4"/>
      <c r="BN89" s="4"/>
      <c r="BO89" s="4"/>
      <c r="BP89" s="4"/>
      <c r="BQ89" s="4"/>
      <c r="BR89" s="4"/>
      <c r="BS89" s="4"/>
    </row>
    <row r="90" spans="1:71" s="63" customFormat="1" ht="12.75" x14ac:dyDescent="0.25">
      <c r="A90" s="20"/>
      <c r="B90" s="31" t="str">
        <f t="shared" si="13"/>
        <v/>
      </c>
      <c r="C90" s="31" t="str">
        <f t="shared" si="14"/>
        <v/>
      </c>
      <c r="D90" s="32"/>
      <c r="E90" s="33"/>
      <c r="F90" s="36"/>
      <c r="G90" s="36"/>
      <c r="H90" s="38" t="str">
        <f t="shared" si="16"/>
        <v/>
      </c>
      <c r="I90" s="34"/>
      <c r="J90" s="13"/>
      <c r="K90" s="13"/>
      <c r="L90" s="13"/>
      <c r="M90" s="13"/>
      <c r="N90" s="35"/>
      <c r="O90" s="5"/>
      <c r="P90" s="5"/>
      <c r="Q90" s="84">
        <f t="shared" si="15"/>
        <v>0</v>
      </c>
      <c r="R90" s="5"/>
      <c r="S90" s="96"/>
      <c r="T90" s="96"/>
      <c r="U90" s="104"/>
      <c r="V90" s="96"/>
      <c r="W90" s="96"/>
      <c r="X90" s="96"/>
      <c r="Y90" s="103"/>
      <c r="Z90" s="88"/>
      <c r="AA90" s="4"/>
      <c r="AB90" s="104"/>
      <c r="AC90" s="102"/>
      <c r="AD90" s="4"/>
      <c r="AE90" s="101"/>
      <c r="AF90" s="4"/>
      <c r="AG90" s="4"/>
      <c r="AH90" s="4"/>
      <c r="AI90" s="4"/>
      <c r="AJ90" s="4"/>
      <c r="AK90" s="4"/>
      <c r="AL90" s="4"/>
      <c r="AM90" s="4"/>
      <c r="AN90" s="4"/>
      <c r="AO90" s="4"/>
      <c r="AP90" s="4"/>
      <c r="AQ90" s="4"/>
      <c r="AR90" s="4"/>
      <c r="AS90" s="4"/>
      <c r="AT90" s="4"/>
      <c r="AU90" s="102"/>
      <c r="AV90" s="4"/>
      <c r="AW90" s="102"/>
      <c r="AX90" s="102"/>
      <c r="AY90" s="102"/>
      <c r="AZ90" s="102"/>
      <c r="BA90" s="4"/>
      <c r="BB90" s="102"/>
      <c r="BC90" s="96"/>
      <c r="BD90" s="4"/>
      <c r="BE90" s="4"/>
      <c r="BF90" s="4"/>
      <c r="BG90" s="4"/>
      <c r="BH90" s="4"/>
      <c r="BI90" s="4"/>
      <c r="BJ90" s="4"/>
      <c r="BK90" s="4"/>
      <c r="BL90" s="4"/>
      <c r="BM90" s="4"/>
      <c r="BN90" s="4"/>
      <c r="BO90" s="4"/>
      <c r="BP90" s="4"/>
      <c r="BQ90" s="4"/>
      <c r="BR90" s="4"/>
      <c r="BS90" s="4"/>
    </row>
    <row r="91" spans="1:71" s="63" customFormat="1" ht="12.75" x14ac:dyDescent="0.25">
      <c r="A91" s="20"/>
      <c r="B91" s="31" t="str">
        <f t="shared" si="13"/>
        <v/>
      </c>
      <c r="C91" s="31" t="str">
        <f t="shared" si="14"/>
        <v/>
      </c>
      <c r="D91" s="32"/>
      <c r="E91" s="33"/>
      <c r="F91" s="36"/>
      <c r="G91" s="36"/>
      <c r="H91" s="38" t="str">
        <f t="shared" si="16"/>
        <v/>
      </c>
      <c r="I91" s="34"/>
      <c r="J91" s="13"/>
      <c r="K91" s="13"/>
      <c r="L91" s="13"/>
      <c r="M91" s="13"/>
      <c r="N91" s="35"/>
      <c r="O91" s="5"/>
      <c r="P91" s="5"/>
      <c r="Q91" s="84">
        <f t="shared" si="15"/>
        <v>0</v>
      </c>
      <c r="R91" s="5"/>
      <c r="S91" s="96"/>
      <c r="T91" s="96"/>
      <c r="U91" s="104"/>
      <c r="V91" s="96"/>
      <c r="W91" s="96"/>
      <c r="X91" s="96"/>
      <c r="Y91" s="103"/>
      <c r="Z91" s="88"/>
      <c r="AA91" s="4"/>
      <c r="AB91" s="104"/>
      <c r="AC91" s="102"/>
      <c r="AD91" s="4"/>
      <c r="AE91" s="101"/>
      <c r="AF91" s="4"/>
      <c r="AG91" s="4"/>
      <c r="AH91" s="4"/>
      <c r="AI91" s="4"/>
      <c r="AJ91" s="4"/>
      <c r="AK91" s="4"/>
      <c r="AL91" s="4"/>
      <c r="AM91" s="4"/>
      <c r="AN91" s="4"/>
      <c r="AO91" s="4"/>
      <c r="AP91" s="4"/>
      <c r="AQ91" s="4"/>
      <c r="AR91" s="4"/>
      <c r="AS91" s="4"/>
      <c r="AT91" s="4"/>
      <c r="AU91" s="102"/>
      <c r="AV91" s="4"/>
      <c r="AW91" s="102"/>
      <c r="AX91" s="102"/>
      <c r="AY91" s="102"/>
      <c r="AZ91" s="102"/>
      <c r="BA91" s="4"/>
      <c r="BB91" s="102"/>
      <c r="BC91" s="96"/>
      <c r="BD91" s="4"/>
      <c r="BE91" s="4"/>
      <c r="BF91" s="4"/>
      <c r="BG91" s="4"/>
      <c r="BH91" s="4"/>
      <c r="BI91" s="4"/>
      <c r="BJ91" s="4"/>
      <c r="BK91" s="4"/>
      <c r="BL91" s="4"/>
      <c r="BM91" s="4"/>
      <c r="BN91" s="4"/>
      <c r="BO91" s="4"/>
      <c r="BP91" s="4"/>
      <c r="BQ91" s="4"/>
      <c r="BR91" s="4"/>
      <c r="BS91" s="4"/>
    </row>
    <row r="92" spans="1:71" s="63" customFormat="1" ht="12.75" x14ac:dyDescent="0.25">
      <c r="A92" s="20"/>
      <c r="B92" s="31" t="str">
        <f t="shared" si="13"/>
        <v/>
      </c>
      <c r="C92" s="31" t="str">
        <f t="shared" si="14"/>
        <v/>
      </c>
      <c r="D92" s="32"/>
      <c r="E92" s="33"/>
      <c r="F92" s="36"/>
      <c r="G92" s="36"/>
      <c r="H92" s="38" t="str">
        <f t="shared" si="16"/>
        <v/>
      </c>
      <c r="I92" s="34"/>
      <c r="J92" s="13"/>
      <c r="K92" s="13"/>
      <c r="L92" s="13"/>
      <c r="M92" s="13"/>
      <c r="N92" s="35"/>
      <c r="O92" s="5"/>
      <c r="P92" s="5"/>
      <c r="Q92" s="84">
        <f t="shared" si="15"/>
        <v>0</v>
      </c>
      <c r="R92" s="5"/>
      <c r="S92" s="96"/>
      <c r="T92" s="96"/>
      <c r="U92" s="104"/>
      <c r="V92" s="96"/>
      <c r="W92" s="96"/>
      <c r="X92" s="96"/>
      <c r="Y92" s="103"/>
      <c r="Z92" s="88"/>
      <c r="AA92" s="4"/>
      <c r="AB92" s="104"/>
      <c r="AC92" s="102"/>
      <c r="AD92" s="4"/>
      <c r="AE92" s="101"/>
      <c r="AF92" s="4"/>
      <c r="AG92" s="4"/>
      <c r="AH92" s="4"/>
      <c r="AI92" s="4"/>
      <c r="AJ92" s="4"/>
      <c r="AK92" s="4"/>
      <c r="AL92" s="4"/>
      <c r="AM92" s="4"/>
      <c r="AN92" s="4"/>
      <c r="AO92" s="4"/>
      <c r="AP92" s="4"/>
      <c r="AQ92" s="4"/>
      <c r="AR92" s="4"/>
      <c r="AS92" s="4"/>
      <c r="AT92" s="4"/>
      <c r="AU92" s="102"/>
      <c r="AV92" s="4"/>
      <c r="AW92" s="102"/>
      <c r="AX92" s="102"/>
      <c r="AY92" s="102"/>
      <c r="AZ92" s="102"/>
      <c r="BA92" s="4"/>
      <c r="BB92" s="102"/>
      <c r="BC92" s="96"/>
      <c r="BD92" s="4"/>
      <c r="BE92" s="4"/>
      <c r="BF92" s="4"/>
      <c r="BG92" s="4"/>
      <c r="BH92" s="4"/>
      <c r="BI92" s="4"/>
      <c r="BJ92" s="4"/>
      <c r="BK92" s="4"/>
      <c r="BL92" s="4"/>
      <c r="BM92" s="4"/>
      <c r="BN92" s="4"/>
      <c r="BO92" s="4"/>
      <c r="BP92" s="4"/>
      <c r="BQ92" s="4"/>
      <c r="BR92" s="4"/>
      <c r="BS92" s="4"/>
    </row>
    <row r="93" spans="1:71" s="63" customFormat="1" ht="12.75" x14ac:dyDescent="0.25">
      <c r="A93" s="20"/>
      <c r="B93" s="31" t="str">
        <f t="shared" si="13"/>
        <v/>
      </c>
      <c r="C93" s="31" t="str">
        <f t="shared" si="14"/>
        <v/>
      </c>
      <c r="D93" s="32"/>
      <c r="E93" s="33"/>
      <c r="F93" s="36"/>
      <c r="G93" s="36"/>
      <c r="H93" s="38" t="str">
        <f t="shared" si="16"/>
        <v/>
      </c>
      <c r="I93" s="34"/>
      <c r="J93" s="13"/>
      <c r="K93" s="13"/>
      <c r="L93" s="13"/>
      <c r="M93" s="13"/>
      <c r="N93" s="35"/>
      <c r="O93" s="5"/>
      <c r="P93" s="5"/>
      <c r="Q93" s="84">
        <f t="shared" si="15"/>
        <v>0</v>
      </c>
      <c r="R93" s="5"/>
      <c r="S93" s="96"/>
      <c r="T93" s="96"/>
      <c r="U93" s="104"/>
      <c r="V93" s="96"/>
      <c r="W93" s="96"/>
      <c r="X93" s="96"/>
      <c r="Y93" s="103"/>
      <c r="Z93" s="88"/>
      <c r="AA93" s="4"/>
      <c r="AB93" s="104"/>
      <c r="AC93" s="102"/>
      <c r="AD93" s="4"/>
      <c r="AE93" s="101"/>
      <c r="AF93" s="4"/>
      <c r="AG93" s="4"/>
      <c r="AH93" s="4"/>
      <c r="AI93" s="4"/>
      <c r="AJ93" s="4"/>
      <c r="AK93" s="4"/>
      <c r="AL93" s="4"/>
      <c r="AM93" s="4"/>
      <c r="AN93" s="4"/>
      <c r="AO93" s="4"/>
      <c r="AP93" s="4"/>
      <c r="AQ93" s="4"/>
      <c r="AR93" s="4"/>
      <c r="AS93" s="4"/>
      <c r="AT93" s="4"/>
      <c r="AU93" s="102"/>
      <c r="AV93" s="4"/>
      <c r="AW93" s="102"/>
      <c r="AX93" s="102"/>
      <c r="AY93" s="102"/>
      <c r="AZ93" s="102"/>
      <c r="BA93" s="4"/>
      <c r="BB93" s="102"/>
      <c r="BC93" s="96"/>
      <c r="BD93" s="4"/>
      <c r="BE93" s="4"/>
      <c r="BF93" s="4"/>
      <c r="BG93" s="4"/>
      <c r="BH93" s="4"/>
      <c r="BI93" s="4"/>
      <c r="BJ93" s="4"/>
      <c r="BK93" s="4"/>
      <c r="BL93" s="4"/>
      <c r="BM93" s="4"/>
      <c r="BN93" s="4"/>
      <c r="BO93" s="4"/>
      <c r="BP93" s="4"/>
      <c r="BQ93" s="4"/>
      <c r="BR93" s="4"/>
      <c r="BS93" s="4"/>
    </row>
    <row r="94" spans="1:71" s="63" customFormat="1" ht="12.75" x14ac:dyDescent="0.25">
      <c r="A94" s="20"/>
      <c r="B94" s="31" t="str">
        <f t="shared" si="13"/>
        <v/>
      </c>
      <c r="C94" s="31" t="str">
        <f t="shared" si="14"/>
        <v/>
      </c>
      <c r="D94" s="32"/>
      <c r="E94" s="33"/>
      <c r="F94" s="36"/>
      <c r="G94" s="36"/>
      <c r="H94" s="38" t="str">
        <f t="shared" si="16"/>
        <v/>
      </c>
      <c r="I94" s="34"/>
      <c r="J94" s="13"/>
      <c r="K94" s="13"/>
      <c r="L94" s="13"/>
      <c r="M94" s="13"/>
      <c r="N94" s="35"/>
      <c r="O94" s="5"/>
      <c r="P94" s="5"/>
      <c r="Q94" s="84">
        <f t="shared" si="15"/>
        <v>0</v>
      </c>
      <c r="R94" s="5"/>
      <c r="S94" s="96"/>
      <c r="T94" s="96"/>
      <c r="U94" s="104"/>
      <c r="V94" s="96"/>
      <c r="W94" s="96"/>
      <c r="X94" s="96"/>
      <c r="Y94" s="103"/>
      <c r="Z94" s="88"/>
      <c r="AA94" s="4"/>
      <c r="AB94" s="104"/>
      <c r="AC94" s="102"/>
      <c r="AD94" s="4"/>
      <c r="AE94" s="101"/>
      <c r="AF94" s="4"/>
      <c r="AG94" s="4"/>
      <c r="AH94" s="4"/>
      <c r="AI94" s="4"/>
      <c r="AJ94" s="4"/>
      <c r="AK94" s="4"/>
      <c r="AL94" s="4"/>
      <c r="AM94" s="4"/>
      <c r="AN94" s="4"/>
      <c r="AO94" s="4"/>
      <c r="AP94" s="4"/>
      <c r="AQ94" s="4"/>
      <c r="AR94" s="4"/>
      <c r="AS94" s="4"/>
      <c r="AT94" s="4"/>
      <c r="AU94" s="102"/>
      <c r="AV94" s="4"/>
      <c r="AW94" s="102"/>
      <c r="AX94" s="102"/>
      <c r="AY94" s="102"/>
      <c r="AZ94" s="102"/>
      <c r="BA94" s="4"/>
      <c r="BB94" s="102"/>
      <c r="BC94" s="96"/>
      <c r="BD94" s="4"/>
      <c r="BE94" s="4"/>
      <c r="BF94" s="4"/>
      <c r="BG94" s="4"/>
      <c r="BH94" s="4"/>
      <c r="BI94" s="4"/>
      <c r="BJ94" s="4"/>
      <c r="BK94" s="4"/>
      <c r="BL94" s="4"/>
      <c r="BM94" s="4"/>
      <c r="BN94" s="4"/>
      <c r="BO94" s="4"/>
      <c r="BP94" s="4"/>
      <c r="BQ94" s="4"/>
      <c r="BR94" s="4"/>
      <c r="BS94" s="4"/>
    </row>
    <row r="95" spans="1:71" s="63" customFormat="1" ht="12.75" x14ac:dyDescent="0.25">
      <c r="A95" s="20"/>
      <c r="B95" s="31" t="str">
        <f t="shared" si="13"/>
        <v/>
      </c>
      <c r="C95" s="31" t="str">
        <f t="shared" si="14"/>
        <v/>
      </c>
      <c r="D95" s="32"/>
      <c r="E95" s="33"/>
      <c r="F95" s="36"/>
      <c r="G95" s="36"/>
      <c r="H95" s="38" t="str">
        <f t="shared" si="16"/>
        <v/>
      </c>
      <c r="I95" s="34"/>
      <c r="J95" s="13"/>
      <c r="K95" s="13"/>
      <c r="L95" s="13"/>
      <c r="M95" s="13"/>
      <c r="N95" s="35"/>
      <c r="O95" s="5"/>
      <c r="P95" s="5"/>
      <c r="Q95" s="84">
        <f t="shared" si="15"/>
        <v>0</v>
      </c>
      <c r="R95" s="5"/>
      <c r="S95" s="96"/>
      <c r="T95" s="96"/>
      <c r="U95" s="104"/>
      <c r="V95" s="96"/>
      <c r="W95" s="96"/>
      <c r="X95" s="96"/>
      <c r="Y95" s="103"/>
      <c r="Z95" s="88"/>
      <c r="AA95" s="4"/>
      <c r="AB95" s="104"/>
      <c r="AC95" s="102"/>
      <c r="AD95" s="4"/>
      <c r="AE95" s="101"/>
      <c r="AF95" s="4"/>
      <c r="AG95" s="4"/>
      <c r="AH95" s="4"/>
      <c r="AI95" s="4"/>
      <c r="AJ95" s="4"/>
      <c r="AK95" s="4"/>
      <c r="AL95" s="4"/>
      <c r="AM95" s="4"/>
      <c r="AN95" s="4"/>
      <c r="AO95" s="4"/>
      <c r="AP95" s="4"/>
      <c r="AQ95" s="4"/>
      <c r="AR95" s="4"/>
      <c r="AS95" s="4"/>
      <c r="AT95" s="4"/>
      <c r="AU95" s="102"/>
      <c r="AV95" s="4"/>
      <c r="AW95" s="102"/>
      <c r="AX95" s="102"/>
      <c r="AY95" s="102"/>
      <c r="AZ95" s="102"/>
      <c r="BA95" s="4"/>
      <c r="BB95" s="102"/>
      <c r="BC95" s="96"/>
      <c r="BD95" s="4"/>
      <c r="BE95" s="4"/>
      <c r="BF95" s="4"/>
      <c r="BG95" s="4"/>
      <c r="BH95" s="4"/>
      <c r="BI95" s="4"/>
      <c r="BJ95" s="4"/>
      <c r="BK95" s="4"/>
      <c r="BL95" s="4"/>
      <c r="BM95" s="4"/>
      <c r="BN95" s="4"/>
      <c r="BO95" s="4"/>
      <c r="BP95" s="4"/>
      <c r="BQ95" s="4"/>
      <c r="BR95" s="4"/>
      <c r="BS95" s="4"/>
    </row>
    <row r="96" spans="1:71" s="63" customFormat="1" ht="12.75" x14ac:dyDescent="0.25">
      <c r="A96" s="20"/>
      <c r="B96" s="31" t="str">
        <f t="shared" si="13"/>
        <v/>
      </c>
      <c r="C96" s="31" t="str">
        <f t="shared" si="14"/>
        <v/>
      </c>
      <c r="D96" s="32"/>
      <c r="E96" s="33"/>
      <c r="F96" s="36"/>
      <c r="G96" s="36"/>
      <c r="H96" s="38" t="str">
        <f t="shared" si="16"/>
        <v/>
      </c>
      <c r="I96" s="34"/>
      <c r="J96" s="13"/>
      <c r="K96" s="13"/>
      <c r="L96" s="13"/>
      <c r="M96" s="13"/>
      <c r="N96" s="35"/>
      <c r="O96" s="5"/>
      <c r="P96" s="5"/>
      <c r="Q96" s="84">
        <f t="shared" si="15"/>
        <v>0</v>
      </c>
      <c r="R96" s="5"/>
      <c r="S96" s="96"/>
      <c r="T96" s="96"/>
      <c r="U96" s="104"/>
      <c r="V96" s="96"/>
      <c r="W96" s="96"/>
      <c r="X96" s="96"/>
      <c r="Y96" s="103"/>
      <c r="Z96" s="88"/>
      <c r="AA96" s="4"/>
      <c r="AB96" s="104"/>
      <c r="AC96" s="102"/>
      <c r="AD96" s="4"/>
      <c r="AE96" s="101"/>
      <c r="AF96" s="4"/>
      <c r="AG96" s="4"/>
      <c r="AH96" s="4"/>
      <c r="AI96" s="4"/>
      <c r="AJ96" s="4"/>
      <c r="AK96" s="4"/>
      <c r="AL96" s="4"/>
      <c r="AM96" s="4"/>
      <c r="AN96" s="4"/>
      <c r="AO96" s="4"/>
      <c r="AP96" s="4"/>
      <c r="AQ96" s="4"/>
      <c r="AR96" s="4"/>
      <c r="AS96" s="4"/>
      <c r="AT96" s="4"/>
      <c r="AU96" s="102"/>
      <c r="AV96" s="4"/>
      <c r="AW96" s="102"/>
      <c r="AX96" s="102"/>
      <c r="AY96" s="102"/>
      <c r="AZ96" s="102"/>
      <c r="BA96" s="4"/>
      <c r="BB96" s="102"/>
      <c r="BC96" s="96"/>
      <c r="BD96" s="4"/>
      <c r="BE96" s="4"/>
      <c r="BF96" s="4"/>
      <c r="BG96" s="4"/>
      <c r="BH96" s="4"/>
      <c r="BI96" s="4"/>
      <c r="BJ96" s="4"/>
      <c r="BK96" s="4"/>
      <c r="BL96" s="4"/>
      <c r="BM96" s="4"/>
      <c r="BN96" s="4"/>
      <c r="BO96" s="4"/>
      <c r="BP96" s="4"/>
      <c r="BQ96" s="4"/>
      <c r="BR96" s="4"/>
      <c r="BS96" s="4"/>
    </row>
    <row r="97" spans="1:71" s="63" customFormat="1" ht="12.75" x14ac:dyDescent="0.25">
      <c r="A97" s="20"/>
      <c r="B97" s="31" t="str">
        <f t="shared" si="13"/>
        <v/>
      </c>
      <c r="C97" s="31" t="str">
        <f t="shared" si="14"/>
        <v/>
      </c>
      <c r="D97" s="32"/>
      <c r="E97" s="33"/>
      <c r="F97" s="36"/>
      <c r="G97" s="36"/>
      <c r="H97" s="38" t="str">
        <f t="shared" si="16"/>
        <v/>
      </c>
      <c r="I97" s="34"/>
      <c r="J97" s="13"/>
      <c r="K97" s="13"/>
      <c r="L97" s="13"/>
      <c r="M97" s="13"/>
      <c r="N97" s="35"/>
      <c r="O97" s="5"/>
      <c r="P97" s="5"/>
      <c r="Q97" s="84">
        <f t="shared" si="15"/>
        <v>0</v>
      </c>
      <c r="R97" s="5"/>
      <c r="S97" s="96"/>
      <c r="T97" s="96"/>
      <c r="U97" s="104"/>
      <c r="V97" s="96"/>
      <c r="W97" s="96"/>
      <c r="X97" s="96"/>
      <c r="Y97" s="103"/>
      <c r="Z97" s="88"/>
      <c r="AA97" s="4"/>
      <c r="AB97" s="104"/>
      <c r="AC97" s="102"/>
      <c r="AD97" s="4"/>
      <c r="AE97" s="101"/>
      <c r="AF97" s="4"/>
      <c r="AG97" s="4"/>
      <c r="AH97" s="4"/>
      <c r="AI97" s="4"/>
      <c r="AJ97" s="4"/>
      <c r="AK97" s="4"/>
      <c r="AL97" s="4"/>
      <c r="AM97" s="4"/>
      <c r="AN97" s="4"/>
      <c r="AO97" s="4"/>
      <c r="AP97" s="4"/>
      <c r="AQ97" s="4"/>
      <c r="AR97" s="4"/>
      <c r="AS97" s="4"/>
      <c r="AT97" s="4"/>
      <c r="AU97" s="102"/>
      <c r="AV97" s="4"/>
      <c r="AW97" s="102"/>
      <c r="AX97" s="102"/>
      <c r="AY97" s="102"/>
      <c r="AZ97" s="102"/>
      <c r="BA97" s="4"/>
      <c r="BB97" s="102"/>
      <c r="BC97" s="96"/>
      <c r="BD97" s="4"/>
      <c r="BE97" s="4"/>
      <c r="BF97" s="4"/>
      <c r="BG97" s="4"/>
      <c r="BH97" s="4"/>
      <c r="BI97" s="4"/>
      <c r="BJ97" s="4"/>
      <c r="BK97" s="4"/>
      <c r="BL97" s="4"/>
      <c r="BM97" s="4"/>
      <c r="BN97" s="4"/>
      <c r="BO97" s="4"/>
      <c r="BP97" s="4"/>
      <c r="BQ97" s="4"/>
      <c r="BR97" s="4"/>
      <c r="BS97" s="4"/>
    </row>
    <row r="98" spans="1:71" s="63" customFormat="1" ht="12.75" x14ac:dyDescent="0.25">
      <c r="A98" s="20"/>
      <c r="B98" s="31" t="str">
        <f t="shared" si="13"/>
        <v/>
      </c>
      <c r="C98" s="31" t="str">
        <f t="shared" si="14"/>
        <v/>
      </c>
      <c r="D98" s="32"/>
      <c r="E98" s="33"/>
      <c r="F98" s="36"/>
      <c r="G98" s="36"/>
      <c r="H98" s="38" t="str">
        <f t="shared" si="16"/>
        <v/>
      </c>
      <c r="I98" s="34"/>
      <c r="J98" s="13"/>
      <c r="K98" s="13"/>
      <c r="L98" s="13"/>
      <c r="M98" s="13"/>
      <c r="N98" s="35"/>
      <c r="O98" s="5"/>
      <c r="P98" s="5"/>
      <c r="Q98" s="84">
        <f t="shared" si="15"/>
        <v>0</v>
      </c>
      <c r="R98" s="5"/>
      <c r="S98" s="96"/>
      <c r="T98" s="96"/>
      <c r="U98" s="104"/>
      <c r="V98" s="96"/>
      <c r="W98" s="96"/>
      <c r="X98" s="96"/>
      <c r="Y98" s="103"/>
      <c r="Z98" s="88"/>
      <c r="AA98" s="4"/>
      <c r="AB98" s="104"/>
      <c r="AC98" s="102"/>
      <c r="AD98" s="4"/>
      <c r="AE98" s="101"/>
      <c r="AF98" s="4"/>
      <c r="AG98" s="4"/>
      <c r="AH98" s="4"/>
      <c r="AI98" s="4"/>
      <c r="AJ98" s="4"/>
      <c r="AK98" s="4"/>
      <c r="AL98" s="4"/>
      <c r="AM98" s="4"/>
      <c r="AN98" s="4"/>
      <c r="AO98" s="4"/>
      <c r="AP98" s="4"/>
      <c r="AQ98" s="4"/>
      <c r="AR98" s="4"/>
      <c r="AS98" s="4"/>
      <c r="AT98" s="4"/>
      <c r="AU98" s="102"/>
      <c r="AV98" s="4"/>
      <c r="AW98" s="102"/>
      <c r="AX98" s="102"/>
      <c r="AY98" s="102"/>
      <c r="AZ98" s="102"/>
      <c r="BA98" s="4"/>
      <c r="BB98" s="102"/>
      <c r="BC98" s="96"/>
      <c r="BD98" s="4"/>
      <c r="BE98" s="4"/>
      <c r="BF98" s="4"/>
      <c r="BG98" s="4"/>
      <c r="BH98" s="4"/>
      <c r="BI98" s="4"/>
      <c r="BJ98" s="4"/>
      <c r="BK98" s="4"/>
      <c r="BL98" s="4"/>
      <c r="BM98" s="4"/>
      <c r="BN98" s="4"/>
      <c r="BO98" s="4"/>
      <c r="BP98" s="4"/>
      <c r="BQ98" s="4"/>
      <c r="BR98" s="4"/>
      <c r="BS98" s="4"/>
    </row>
    <row r="99" spans="1:71" s="63" customFormat="1" ht="12.75" x14ac:dyDescent="0.25">
      <c r="A99" s="20"/>
      <c r="B99" s="31" t="str">
        <f t="shared" si="13"/>
        <v/>
      </c>
      <c r="C99" s="31" t="str">
        <f t="shared" si="14"/>
        <v/>
      </c>
      <c r="D99" s="32"/>
      <c r="E99" s="33"/>
      <c r="F99" s="36"/>
      <c r="G99" s="36"/>
      <c r="H99" s="38" t="str">
        <f t="shared" si="16"/>
        <v/>
      </c>
      <c r="I99" s="34"/>
      <c r="J99" s="13"/>
      <c r="K99" s="13"/>
      <c r="L99" s="13"/>
      <c r="M99" s="13"/>
      <c r="N99" s="35"/>
      <c r="O99" s="5"/>
      <c r="P99" s="5"/>
      <c r="Q99" s="84">
        <f t="shared" si="15"/>
        <v>0</v>
      </c>
      <c r="R99" s="5"/>
      <c r="S99" s="96"/>
      <c r="T99" s="96"/>
      <c r="U99" s="104"/>
      <c r="V99" s="96"/>
      <c r="W99" s="96"/>
      <c r="X99" s="96"/>
      <c r="Y99" s="103"/>
      <c r="Z99" s="88"/>
      <c r="AA99" s="4"/>
      <c r="AB99" s="104"/>
      <c r="AC99" s="102"/>
      <c r="AD99" s="4"/>
      <c r="AE99" s="101"/>
      <c r="AF99" s="4"/>
      <c r="AG99" s="4"/>
      <c r="AH99" s="4"/>
      <c r="AI99" s="4"/>
      <c r="AJ99" s="4"/>
      <c r="AK99" s="4"/>
      <c r="AL99" s="4"/>
      <c r="AM99" s="4"/>
      <c r="AN99" s="4"/>
      <c r="AO99" s="4"/>
      <c r="AP99" s="4"/>
      <c r="AQ99" s="4"/>
      <c r="AR99" s="4"/>
      <c r="AS99" s="4"/>
      <c r="AT99" s="4"/>
      <c r="AU99" s="102"/>
      <c r="AV99" s="4"/>
      <c r="AW99" s="102"/>
      <c r="AX99" s="102"/>
      <c r="AY99" s="102"/>
      <c r="AZ99" s="102"/>
      <c r="BA99" s="4"/>
      <c r="BB99" s="102"/>
      <c r="BC99" s="96"/>
      <c r="BD99" s="4"/>
      <c r="BE99" s="4"/>
      <c r="BF99" s="4"/>
      <c r="BG99" s="4"/>
      <c r="BH99" s="4"/>
      <c r="BI99" s="4"/>
      <c r="BJ99" s="4"/>
      <c r="BK99" s="4"/>
      <c r="BL99" s="4"/>
      <c r="BM99" s="4"/>
      <c r="BN99" s="4"/>
      <c r="BO99" s="4"/>
      <c r="BP99" s="4"/>
      <c r="BQ99" s="4"/>
      <c r="BR99" s="4"/>
      <c r="BS99" s="4"/>
    </row>
    <row r="100" spans="1:71" s="63" customFormat="1" ht="12.75" x14ac:dyDescent="0.25">
      <c r="A100" s="20"/>
      <c r="B100" s="31" t="str">
        <f t="shared" si="13"/>
        <v/>
      </c>
      <c r="C100" s="31" t="str">
        <f t="shared" si="14"/>
        <v/>
      </c>
      <c r="D100" s="32"/>
      <c r="E100" s="33"/>
      <c r="F100" s="36"/>
      <c r="G100" s="36"/>
      <c r="H100" s="38" t="str">
        <f t="shared" si="16"/>
        <v/>
      </c>
      <c r="I100" s="34"/>
      <c r="J100" s="13"/>
      <c r="K100" s="13"/>
      <c r="L100" s="13"/>
      <c r="M100" s="13"/>
      <c r="N100" s="35"/>
      <c r="O100" s="5"/>
      <c r="P100" s="5"/>
      <c r="Q100" s="84">
        <f t="shared" si="15"/>
        <v>0</v>
      </c>
      <c r="R100" s="5"/>
      <c r="S100" s="96"/>
      <c r="T100" s="96"/>
      <c r="U100" s="104"/>
      <c r="V100" s="96"/>
      <c r="W100" s="96"/>
      <c r="X100" s="96"/>
      <c r="Y100" s="103"/>
      <c r="Z100" s="88"/>
      <c r="AA100" s="4"/>
      <c r="AB100" s="104"/>
      <c r="AC100" s="102"/>
      <c r="AD100" s="4"/>
      <c r="AE100" s="101"/>
      <c r="AF100" s="4"/>
      <c r="AG100" s="4"/>
      <c r="AH100" s="4"/>
      <c r="AI100" s="4"/>
      <c r="AJ100" s="4"/>
      <c r="AK100" s="4"/>
      <c r="AL100" s="4"/>
      <c r="AM100" s="4"/>
      <c r="AN100" s="4"/>
      <c r="AO100" s="4"/>
      <c r="AP100" s="4"/>
      <c r="AQ100" s="4"/>
      <c r="AR100" s="4"/>
      <c r="AS100" s="4"/>
      <c r="AT100" s="4"/>
      <c r="AU100" s="102"/>
      <c r="AV100" s="4"/>
      <c r="AW100" s="102"/>
      <c r="AX100" s="102"/>
      <c r="AY100" s="102"/>
      <c r="AZ100" s="102"/>
      <c r="BA100" s="4"/>
      <c r="BB100" s="102"/>
      <c r="BC100" s="96"/>
      <c r="BD100" s="4"/>
      <c r="BE100" s="4"/>
      <c r="BF100" s="4"/>
      <c r="BG100" s="4"/>
      <c r="BH100" s="4"/>
      <c r="BI100" s="4"/>
      <c r="BJ100" s="4"/>
      <c r="BK100" s="4"/>
      <c r="BL100" s="4"/>
      <c r="BM100" s="4"/>
      <c r="BN100" s="4"/>
      <c r="BO100" s="4"/>
      <c r="BP100" s="4"/>
      <c r="BQ100" s="4"/>
      <c r="BR100" s="4"/>
      <c r="BS100" s="4"/>
    </row>
    <row r="101" spans="1:71" s="63" customFormat="1" ht="12.75" x14ac:dyDescent="0.25">
      <c r="A101" s="20"/>
      <c r="B101" s="31" t="str">
        <f t="shared" si="13"/>
        <v/>
      </c>
      <c r="C101" s="31" t="str">
        <f t="shared" si="14"/>
        <v/>
      </c>
      <c r="D101" s="32"/>
      <c r="E101" s="33"/>
      <c r="F101" s="36"/>
      <c r="G101" s="36"/>
      <c r="H101" s="38" t="str">
        <f t="shared" si="16"/>
        <v/>
      </c>
      <c r="I101" s="34"/>
      <c r="J101" s="13"/>
      <c r="K101" s="13"/>
      <c r="L101" s="13"/>
      <c r="M101" s="13"/>
      <c r="N101" s="35"/>
      <c r="O101" s="5"/>
      <c r="P101" s="5"/>
      <c r="Q101" s="84">
        <f t="shared" si="15"/>
        <v>0</v>
      </c>
      <c r="R101" s="5"/>
      <c r="S101" s="96"/>
      <c r="T101" s="96"/>
      <c r="U101" s="104"/>
      <c r="V101" s="96"/>
      <c r="W101" s="96"/>
      <c r="X101" s="96"/>
      <c r="Y101" s="103"/>
      <c r="Z101" s="88"/>
      <c r="AA101" s="4"/>
      <c r="AB101" s="104"/>
      <c r="AC101" s="102"/>
      <c r="AD101" s="4"/>
      <c r="AE101" s="101"/>
      <c r="AF101" s="4"/>
      <c r="AG101" s="4"/>
      <c r="AH101" s="4"/>
      <c r="AI101" s="4"/>
      <c r="AJ101" s="4"/>
      <c r="AK101" s="4"/>
      <c r="AL101" s="4"/>
      <c r="AM101" s="4"/>
      <c r="AN101" s="4"/>
      <c r="AO101" s="4"/>
      <c r="AP101" s="4"/>
      <c r="AQ101" s="4"/>
      <c r="AR101" s="4"/>
      <c r="AS101" s="4"/>
      <c r="AT101" s="4"/>
      <c r="AU101" s="102"/>
      <c r="AV101" s="4"/>
      <c r="AW101" s="102"/>
      <c r="AX101" s="102"/>
      <c r="AY101" s="102"/>
      <c r="AZ101" s="102"/>
      <c r="BA101" s="4"/>
      <c r="BB101" s="102"/>
      <c r="BC101" s="96"/>
      <c r="BD101" s="4"/>
      <c r="BE101" s="4"/>
      <c r="BF101" s="4"/>
      <c r="BG101" s="4"/>
      <c r="BH101" s="4"/>
      <c r="BI101" s="4"/>
      <c r="BJ101" s="4"/>
      <c r="BK101" s="4"/>
      <c r="BL101" s="4"/>
      <c r="BM101" s="4"/>
      <c r="BN101" s="4"/>
      <c r="BO101" s="4"/>
      <c r="BP101" s="4"/>
      <c r="BQ101" s="4"/>
      <c r="BR101" s="4"/>
      <c r="BS101" s="4"/>
    </row>
    <row r="102" spans="1:71" s="63" customFormat="1" ht="12.75" x14ac:dyDescent="0.25">
      <c r="A102" s="20"/>
      <c r="B102" s="31" t="str">
        <f t="shared" si="13"/>
        <v/>
      </c>
      <c r="C102" s="31" t="str">
        <f t="shared" si="14"/>
        <v/>
      </c>
      <c r="D102" s="32"/>
      <c r="E102" s="33"/>
      <c r="F102" s="36"/>
      <c r="G102" s="36"/>
      <c r="H102" s="38" t="str">
        <f t="shared" si="16"/>
        <v/>
      </c>
      <c r="I102" s="34"/>
      <c r="J102" s="13"/>
      <c r="K102" s="13"/>
      <c r="L102" s="13"/>
      <c r="M102" s="13"/>
      <c r="N102" s="35"/>
      <c r="O102" s="5"/>
      <c r="P102" s="5"/>
      <c r="Q102" s="84">
        <f t="shared" si="15"/>
        <v>0</v>
      </c>
      <c r="R102" s="5"/>
      <c r="S102" s="96"/>
      <c r="T102" s="96"/>
      <c r="U102" s="104"/>
      <c r="V102" s="96"/>
      <c r="W102" s="96"/>
      <c r="X102" s="96"/>
      <c r="Y102" s="103"/>
      <c r="Z102" s="88"/>
      <c r="AA102" s="4"/>
      <c r="AB102" s="104"/>
      <c r="AC102" s="102"/>
      <c r="AD102" s="4"/>
      <c r="AE102" s="101"/>
      <c r="AF102" s="4"/>
      <c r="AG102" s="4"/>
      <c r="AH102" s="4"/>
      <c r="AI102" s="4"/>
      <c r="AJ102" s="4"/>
      <c r="AK102" s="4"/>
      <c r="AL102" s="4"/>
      <c r="AM102" s="4"/>
      <c r="AN102" s="4"/>
      <c r="AO102" s="4"/>
      <c r="AP102" s="4"/>
      <c r="AQ102" s="4"/>
      <c r="AR102" s="4"/>
      <c r="AS102" s="4"/>
      <c r="AT102" s="4"/>
      <c r="AU102" s="102"/>
      <c r="AV102" s="4"/>
      <c r="AW102" s="102"/>
      <c r="AX102" s="102"/>
      <c r="AY102" s="102"/>
      <c r="AZ102" s="102"/>
      <c r="BA102" s="4"/>
      <c r="BB102" s="102"/>
      <c r="BC102" s="96"/>
      <c r="BD102" s="4"/>
      <c r="BE102" s="4"/>
      <c r="BF102" s="4"/>
      <c r="BG102" s="4"/>
      <c r="BH102" s="4"/>
      <c r="BI102" s="4"/>
      <c r="BJ102" s="4"/>
      <c r="BK102" s="4"/>
      <c r="BL102" s="4"/>
      <c r="BM102" s="4"/>
      <c r="BN102" s="4"/>
      <c r="BO102" s="4"/>
      <c r="BP102" s="4"/>
      <c r="BQ102" s="4"/>
      <c r="BR102" s="4"/>
      <c r="BS102" s="4"/>
    </row>
    <row r="103" spans="1:71" s="63" customFormat="1" ht="12.75" x14ac:dyDescent="0.25">
      <c r="A103" s="20"/>
      <c r="B103" s="31" t="str">
        <f t="shared" si="13"/>
        <v/>
      </c>
      <c r="C103" s="31" t="str">
        <f t="shared" si="14"/>
        <v/>
      </c>
      <c r="D103" s="32"/>
      <c r="E103" s="33"/>
      <c r="F103" s="36"/>
      <c r="G103" s="36"/>
      <c r="H103" s="38" t="str">
        <f t="shared" si="16"/>
        <v/>
      </c>
      <c r="I103" s="34"/>
      <c r="J103" s="13"/>
      <c r="K103" s="13"/>
      <c r="L103" s="13"/>
      <c r="M103" s="13"/>
      <c r="N103" s="35"/>
      <c r="O103" s="5"/>
      <c r="P103" s="5"/>
      <c r="Q103" s="84">
        <f t="shared" si="15"/>
        <v>0</v>
      </c>
      <c r="R103" s="5"/>
      <c r="S103" s="96"/>
      <c r="T103" s="96"/>
      <c r="U103" s="104"/>
      <c r="V103" s="96"/>
      <c r="W103" s="96"/>
      <c r="X103" s="96"/>
      <c r="Y103" s="103"/>
      <c r="Z103" s="88"/>
      <c r="AA103" s="4"/>
      <c r="AB103" s="104"/>
      <c r="AC103" s="102"/>
      <c r="AD103" s="4"/>
      <c r="AE103" s="101"/>
      <c r="AF103" s="4"/>
      <c r="AG103" s="4"/>
      <c r="AH103" s="4"/>
      <c r="AI103" s="4"/>
      <c r="AJ103" s="4"/>
      <c r="AK103" s="4"/>
      <c r="AL103" s="4"/>
      <c r="AM103" s="4"/>
      <c r="AN103" s="4"/>
      <c r="AO103" s="4"/>
      <c r="AP103" s="4"/>
      <c r="AQ103" s="4"/>
      <c r="AR103" s="4"/>
      <c r="AS103" s="4"/>
      <c r="AT103" s="4"/>
      <c r="AU103" s="102"/>
      <c r="AV103" s="4"/>
      <c r="AW103" s="102"/>
      <c r="AX103" s="102"/>
      <c r="AY103" s="102"/>
      <c r="AZ103" s="102"/>
      <c r="BA103" s="4"/>
      <c r="BB103" s="102"/>
      <c r="BC103" s="96"/>
      <c r="BD103" s="4"/>
      <c r="BE103" s="4"/>
      <c r="BF103" s="4"/>
      <c r="BG103" s="4"/>
      <c r="BH103" s="4"/>
      <c r="BI103" s="4"/>
      <c r="BJ103" s="4"/>
      <c r="BK103" s="4"/>
      <c r="BL103" s="4"/>
      <c r="BM103" s="4"/>
      <c r="BN103" s="4"/>
      <c r="BO103" s="4"/>
      <c r="BP103" s="4"/>
      <c r="BQ103" s="4"/>
      <c r="BR103" s="4"/>
      <c r="BS103" s="4"/>
    </row>
    <row r="104" spans="1:71" s="63" customFormat="1" ht="12.75" x14ac:dyDescent="0.25">
      <c r="A104" s="20"/>
      <c r="B104" s="31" t="str">
        <f t="shared" si="13"/>
        <v/>
      </c>
      <c r="C104" s="31" t="str">
        <f t="shared" si="14"/>
        <v/>
      </c>
      <c r="D104" s="32"/>
      <c r="E104" s="33"/>
      <c r="F104" s="36"/>
      <c r="G104" s="36"/>
      <c r="H104" s="38" t="str">
        <f t="shared" si="16"/>
        <v/>
      </c>
      <c r="I104" s="34"/>
      <c r="J104" s="13"/>
      <c r="K104" s="13"/>
      <c r="L104" s="13"/>
      <c r="M104" s="13"/>
      <c r="N104" s="35"/>
      <c r="O104" s="5"/>
      <c r="P104" s="5"/>
      <c r="Q104" s="84">
        <f t="shared" si="15"/>
        <v>0</v>
      </c>
      <c r="R104" s="5"/>
      <c r="S104" s="96"/>
      <c r="T104" s="96"/>
      <c r="U104" s="104"/>
      <c r="V104" s="96"/>
      <c r="W104" s="96"/>
      <c r="X104" s="96"/>
      <c r="Y104" s="103"/>
      <c r="Z104" s="88"/>
      <c r="AA104" s="4"/>
      <c r="AB104" s="104"/>
      <c r="AC104" s="102"/>
      <c r="AD104" s="4"/>
      <c r="AE104" s="101"/>
      <c r="AF104" s="4"/>
      <c r="AG104" s="4"/>
      <c r="AH104" s="4"/>
      <c r="AI104" s="4"/>
      <c r="AJ104" s="4"/>
      <c r="AK104" s="4"/>
      <c r="AL104" s="4"/>
      <c r="AM104" s="4"/>
      <c r="AN104" s="4"/>
      <c r="AO104" s="4"/>
      <c r="AP104" s="4"/>
      <c r="AQ104" s="4"/>
      <c r="AR104" s="4"/>
      <c r="AS104" s="4"/>
      <c r="AT104" s="4"/>
      <c r="AU104" s="102"/>
      <c r="AV104" s="4"/>
      <c r="AW104" s="102"/>
      <c r="AX104" s="102"/>
      <c r="AY104" s="102"/>
      <c r="AZ104" s="102"/>
      <c r="BA104" s="4"/>
      <c r="BB104" s="102"/>
      <c r="BC104" s="96"/>
      <c r="BD104" s="4"/>
      <c r="BE104" s="4"/>
      <c r="BF104" s="4"/>
      <c r="BG104" s="4"/>
      <c r="BH104" s="4"/>
      <c r="BI104" s="4"/>
      <c r="BJ104" s="4"/>
      <c r="BK104" s="4"/>
      <c r="BL104" s="4"/>
      <c r="BM104" s="4"/>
      <c r="BN104" s="4"/>
      <c r="BO104" s="4"/>
      <c r="BP104" s="4"/>
      <c r="BQ104" s="4"/>
      <c r="BR104" s="4"/>
      <c r="BS104" s="4"/>
    </row>
    <row r="105" spans="1:71" s="63" customFormat="1" ht="12.75" x14ac:dyDescent="0.25">
      <c r="A105" s="20"/>
      <c r="B105" s="31" t="str">
        <f t="shared" si="13"/>
        <v/>
      </c>
      <c r="C105" s="31" t="str">
        <f t="shared" si="14"/>
        <v/>
      </c>
      <c r="D105" s="32"/>
      <c r="E105" s="33"/>
      <c r="F105" s="36"/>
      <c r="G105" s="36"/>
      <c r="H105" s="38" t="str">
        <f t="shared" si="16"/>
        <v/>
      </c>
      <c r="I105" s="34"/>
      <c r="J105" s="13"/>
      <c r="K105" s="13"/>
      <c r="L105" s="13"/>
      <c r="M105" s="13"/>
      <c r="N105" s="35"/>
      <c r="O105" s="5"/>
      <c r="P105" s="5"/>
      <c r="Q105" s="84">
        <f t="shared" si="15"/>
        <v>0</v>
      </c>
      <c r="R105" s="5"/>
      <c r="S105" s="96"/>
      <c r="T105" s="96"/>
      <c r="U105" s="104"/>
      <c r="V105" s="96"/>
      <c r="W105" s="96"/>
      <c r="X105" s="96"/>
      <c r="Y105" s="103"/>
      <c r="Z105" s="88"/>
      <c r="AA105" s="4"/>
      <c r="AB105" s="104"/>
      <c r="AC105" s="102"/>
      <c r="AD105" s="4"/>
      <c r="AE105" s="101"/>
      <c r="AF105" s="4"/>
      <c r="AG105" s="4"/>
      <c r="AH105" s="4"/>
      <c r="AI105" s="4"/>
      <c r="AJ105" s="4"/>
      <c r="AK105" s="4"/>
      <c r="AL105" s="4"/>
      <c r="AM105" s="4"/>
      <c r="AN105" s="4"/>
      <c r="AO105" s="4"/>
      <c r="AP105" s="4"/>
      <c r="AQ105" s="4"/>
      <c r="AR105" s="4"/>
      <c r="AS105" s="4"/>
      <c r="AT105" s="4"/>
      <c r="AU105" s="102"/>
      <c r="AV105" s="4"/>
      <c r="AW105" s="102"/>
      <c r="AX105" s="102"/>
      <c r="AY105" s="102"/>
      <c r="AZ105" s="102"/>
      <c r="BA105" s="4"/>
      <c r="BB105" s="102"/>
      <c r="BC105" s="96"/>
      <c r="BD105" s="4"/>
      <c r="BE105" s="4"/>
      <c r="BF105" s="4"/>
      <c r="BG105" s="4"/>
      <c r="BH105" s="4"/>
      <c r="BI105" s="4"/>
      <c r="BJ105" s="4"/>
      <c r="BK105" s="4"/>
      <c r="BL105" s="4"/>
      <c r="BM105" s="4"/>
      <c r="BN105" s="4"/>
      <c r="BO105" s="4"/>
      <c r="BP105" s="4"/>
      <c r="BQ105" s="4"/>
      <c r="BR105" s="4"/>
      <c r="BS105" s="4"/>
    </row>
    <row r="106" spans="1:71" s="63" customFormat="1" ht="12.75" x14ac:dyDescent="0.25">
      <c r="A106" s="20"/>
      <c r="B106" s="31" t="str">
        <f t="shared" si="13"/>
        <v/>
      </c>
      <c r="C106" s="31" t="str">
        <f t="shared" si="14"/>
        <v/>
      </c>
      <c r="D106" s="32"/>
      <c r="E106" s="33"/>
      <c r="F106" s="36"/>
      <c r="G106" s="36"/>
      <c r="H106" s="38" t="str">
        <f t="shared" si="16"/>
        <v/>
      </c>
      <c r="I106" s="34"/>
      <c r="J106" s="13"/>
      <c r="K106" s="13"/>
      <c r="L106" s="13"/>
      <c r="M106" s="13"/>
      <c r="N106" s="35"/>
      <c r="O106" s="5"/>
      <c r="P106" s="5"/>
      <c r="Q106" s="84">
        <f t="shared" si="15"/>
        <v>0</v>
      </c>
      <c r="R106" s="5"/>
      <c r="S106" s="96"/>
      <c r="T106" s="96"/>
      <c r="U106" s="104"/>
      <c r="V106" s="96"/>
      <c r="W106" s="96"/>
      <c r="X106" s="96"/>
      <c r="Y106" s="103"/>
      <c r="Z106" s="88"/>
      <c r="AA106" s="4"/>
      <c r="AB106" s="104"/>
      <c r="AC106" s="102"/>
      <c r="AD106" s="4"/>
      <c r="AE106" s="101"/>
      <c r="AF106" s="4"/>
      <c r="AG106" s="4"/>
      <c r="AH106" s="4"/>
      <c r="AI106" s="4"/>
      <c r="AJ106" s="4"/>
      <c r="AK106" s="4"/>
      <c r="AL106" s="4"/>
      <c r="AM106" s="4"/>
      <c r="AN106" s="4"/>
      <c r="AO106" s="4"/>
      <c r="AP106" s="4"/>
      <c r="AQ106" s="4"/>
      <c r="AR106" s="4"/>
      <c r="AS106" s="4"/>
      <c r="AT106" s="4"/>
      <c r="AU106" s="102"/>
      <c r="AV106" s="4"/>
      <c r="AW106" s="102"/>
      <c r="AX106" s="102"/>
      <c r="AY106" s="102"/>
      <c r="AZ106" s="102"/>
      <c r="BA106" s="4"/>
      <c r="BB106" s="102"/>
      <c r="BC106" s="96"/>
      <c r="BD106" s="4"/>
      <c r="BE106" s="4"/>
      <c r="BF106" s="4"/>
      <c r="BG106" s="4"/>
      <c r="BH106" s="4"/>
      <c r="BI106" s="4"/>
      <c r="BJ106" s="4"/>
      <c r="BK106" s="4"/>
      <c r="BL106" s="4"/>
      <c r="BM106" s="4"/>
      <c r="BN106" s="4"/>
      <c r="BO106" s="4"/>
      <c r="BP106" s="4"/>
      <c r="BQ106" s="4"/>
      <c r="BR106" s="4"/>
      <c r="BS106" s="4"/>
    </row>
    <row r="107" spans="1:71" s="63" customFormat="1" ht="12.75" x14ac:dyDescent="0.2">
      <c r="A107" s="5"/>
      <c r="B107" s="5"/>
      <c r="C107" s="5"/>
      <c r="D107" s="5"/>
      <c r="E107" s="5"/>
      <c r="F107" s="37"/>
      <c r="G107" s="37"/>
      <c r="H107" s="5"/>
      <c r="I107" s="5"/>
      <c r="J107" s="5"/>
      <c r="K107" s="5"/>
      <c r="L107" s="5"/>
      <c r="M107" s="5"/>
      <c r="N107" s="5"/>
      <c r="O107" s="5"/>
      <c r="P107" s="5"/>
      <c r="Q107" s="88"/>
      <c r="R107" s="5"/>
      <c r="S107" s="4"/>
      <c r="T107" s="4"/>
      <c r="U107" s="101"/>
      <c r="V107" s="4"/>
      <c r="W107" s="96"/>
      <c r="X107" s="4"/>
      <c r="Y107" s="100"/>
      <c r="Z107" s="88"/>
      <c r="AA107" s="4"/>
      <c r="AB107" s="101"/>
      <c r="AC107" s="102"/>
      <c r="AD107" s="4"/>
      <c r="AE107" s="101"/>
      <c r="AF107" s="4"/>
      <c r="AG107" s="4"/>
      <c r="AH107" s="4"/>
      <c r="AI107" s="4"/>
      <c r="AJ107" s="4"/>
      <c r="AK107" s="4"/>
      <c r="AL107" s="4"/>
      <c r="AM107" s="4"/>
      <c r="AN107" s="4"/>
      <c r="AO107" s="4"/>
      <c r="AP107" s="4"/>
      <c r="AQ107" s="4"/>
      <c r="AR107" s="4"/>
      <c r="AS107" s="4"/>
      <c r="AT107" s="4"/>
      <c r="AU107" s="102"/>
      <c r="AV107" s="4"/>
      <c r="AW107" s="102"/>
      <c r="AX107" s="102"/>
      <c r="AY107" s="102"/>
      <c r="AZ107" s="102"/>
      <c r="BA107" s="4"/>
      <c r="BB107" s="102"/>
      <c r="BC107" s="4"/>
      <c r="BD107" s="4"/>
      <c r="BE107" s="4"/>
      <c r="BF107" s="4"/>
      <c r="BG107" s="4"/>
      <c r="BH107" s="4"/>
      <c r="BI107" s="4"/>
      <c r="BJ107" s="4"/>
      <c r="BK107" s="4"/>
      <c r="BL107" s="4"/>
      <c r="BM107" s="4"/>
      <c r="BN107" s="4"/>
      <c r="BO107" s="4"/>
      <c r="BP107" s="4"/>
      <c r="BQ107" s="4"/>
      <c r="BR107" s="4"/>
      <c r="BS107" s="4"/>
    </row>
    <row r="108" spans="1:71" s="63" customFormat="1" ht="12.75" x14ac:dyDescent="0.2">
      <c r="A108" s="4"/>
      <c r="B108" s="4"/>
      <c r="C108" s="4"/>
      <c r="D108" s="4"/>
      <c r="E108" s="4"/>
      <c r="F108" s="4"/>
      <c r="G108" s="4"/>
      <c r="H108" s="4"/>
      <c r="I108" s="4"/>
      <c r="J108" s="4"/>
      <c r="K108" s="4"/>
      <c r="L108" s="4"/>
      <c r="M108" s="4"/>
      <c r="N108" s="4"/>
      <c r="O108" s="4"/>
      <c r="P108" s="4"/>
      <c r="Q108" s="88"/>
      <c r="R108" s="4"/>
      <c r="S108" s="4"/>
      <c r="T108" s="4"/>
      <c r="U108" s="101"/>
      <c r="V108" s="4"/>
      <c r="W108" s="96"/>
      <c r="X108" s="4"/>
      <c r="Y108" s="100"/>
      <c r="Z108" s="88"/>
      <c r="AA108" s="4"/>
      <c r="AB108" s="101"/>
      <c r="AC108" s="102"/>
      <c r="AD108" s="4"/>
      <c r="AE108" s="101"/>
      <c r="AF108" s="4"/>
      <c r="AG108" s="4"/>
      <c r="AH108" s="4"/>
      <c r="AI108" s="4"/>
      <c r="AJ108" s="4"/>
      <c r="AK108" s="4"/>
      <c r="AL108" s="4"/>
      <c r="AM108" s="4"/>
      <c r="AN108" s="4"/>
      <c r="AO108" s="4"/>
      <c r="AP108" s="4"/>
      <c r="AQ108" s="4"/>
      <c r="AR108" s="4"/>
      <c r="AS108" s="4"/>
      <c r="AT108" s="4"/>
      <c r="AU108" s="102"/>
      <c r="AV108" s="4"/>
      <c r="AW108" s="102"/>
      <c r="AX108" s="102"/>
      <c r="AY108" s="102"/>
      <c r="AZ108" s="102"/>
      <c r="BA108" s="4"/>
      <c r="BB108" s="102"/>
      <c r="BC108" s="4"/>
      <c r="BD108" s="4"/>
      <c r="BE108" s="4"/>
      <c r="BF108" s="4"/>
      <c r="BG108" s="4"/>
      <c r="BH108" s="4"/>
      <c r="BI108" s="4"/>
      <c r="BJ108" s="4"/>
      <c r="BK108" s="4"/>
      <c r="BL108" s="4"/>
      <c r="BM108" s="4"/>
      <c r="BN108" s="4"/>
      <c r="BO108" s="4"/>
      <c r="BP108" s="4"/>
      <c r="BQ108" s="4"/>
      <c r="BR108" s="4"/>
      <c r="BS108" s="4"/>
    </row>
    <row r="109" spans="1:71" x14ac:dyDescent="0.2">
      <c r="W109" s="96"/>
    </row>
    <row r="110" spans="1:71" x14ac:dyDescent="0.2">
      <c r="W110" s="4"/>
    </row>
    <row r="111" spans="1:71" x14ac:dyDescent="0.2">
      <c r="W111" s="4"/>
    </row>
  </sheetData>
  <sheetProtection algorithmName="SHA-512" hashValue="oDascZDeNQC/31e2wm+Jz82/elC/Nbc7FUJB7hHbUZKTPyzPxce7GJ2EFy9rUaDG4GSKpc0tzUdN2CGs690zqQ==" saltValue="Q6b5mKtUQ4Ll2CMgaKiFwg==" spinCount="100000" sheet="1" selectLockedCells="1"/>
  <autoFilter ref="I16:M106" xr:uid="{00000000-0009-0000-0000-000000000000}"/>
  <sortState xmlns:xlrd2="http://schemas.microsoft.com/office/spreadsheetml/2017/richdata2" ref="AE17:AF48">
    <sortCondition ref="AE16:AE48"/>
  </sortState>
  <mergeCells count="21">
    <mergeCell ref="B3:C3"/>
    <mergeCell ref="M3:N3"/>
    <mergeCell ref="D4:G4"/>
    <mergeCell ref="B4:C4"/>
    <mergeCell ref="B5:C5"/>
    <mergeCell ref="M4:N6"/>
    <mergeCell ref="D5:G5"/>
    <mergeCell ref="B14:C14"/>
    <mergeCell ref="D6:G6"/>
    <mergeCell ref="D7:G7"/>
    <mergeCell ref="D8:G8"/>
    <mergeCell ref="D9:G9"/>
    <mergeCell ref="D10:G10"/>
    <mergeCell ref="D14:G14"/>
    <mergeCell ref="B6:C6"/>
    <mergeCell ref="B7:C7"/>
    <mergeCell ref="B8:C8"/>
    <mergeCell ref="B9:C9"/>
    <mergeCell ref="B10:C10"/>
    <mergeCell ref="B11:C11"/>
    <mergeCell ref="D11:G11"/>
  </mergeCells>
  <phoneticPr fontId="0" type="noConversion"/>
  <conditionalFormatting sqref="M12">
    <cfRule type="cellIs" dxfId="2" priority="1" stopIfTrue="1" operator="equal">
      <formula>"YES"</formula>
    </cfRule>
  </conditionalFormatting>
  <dataValidations count="9">
    <dataValidation type="list" errorStyle="information" allowBlank="1" showInputMessage="1" showErrorMessage="1" errorTitle="CLOSED LIST" error="Choose existent" sqref="J17:J106" xr:uid="{6E6E87EB-6B2E-4115-AC72-27BF42D43D52}">
      <formula1>X$17:X$18</formula1>
    </dataValidation>
    <dataValidation type="list" allowBlank="1" showInputMessage="1" showErrorMessage="1" sqref="E17:E106" xr:uid="{188C7F93-0849-4F67-B34B-30A551E8AF8C}">
      <formula1>$AN$17:$AN$21</formula1>
    </dataValidation>
    <dataValidation type="list" allowBlank="1" showInputMessage="1" showErrorMessage="1" sqref="I12" xr:uid="{3D64822D-5701-46D0-AAAB-3EA552AE666D}">
      <formula1>$AP$17:$AP$18</formula1>
    </dataValidation>
    <dataValidation type="list" allowBlank="1" showInputMessage="1" showErrorMessage="1" sqref="M12 J12" xr:uid="{00000000-0002-0000-0000-000004000000}">
      <formula1>$AR$17:$AR$18</formula1>
    </dataValidation>
    <dataValidation type="list" allowBlank="1" showInputMessage="1" showErrorMessage="1" sqref="K12" xr:uid="{14CC08F7-5ED3-4822-955B-275315DF7E5F}">
      <formula1>$AT$17:$AT$19</formula1>
    </dataValidation>
    <dataValidation type="list" allowBlank="1" showInputMessage="1" showErrorMessage="1" sqref="L12" xr:uid="{00000000-0002-0000-0000-000005000000}">
      <formula1>$AV$17:$AV$19</formula1>
    </dataValidation>
    <dataValidation type="list" allowBlank="1" showInputMessage="1" showErrorMessage="1" sqref="K17:K106" xr:uid="{0E9A5E8E-6AF8-44EE-8D6C-BBABBCA15145}">
      <formula1>Z$17:Z$19</formula1>
    </dataValidation>
    <dataValidation type="list" errorStyle="information" allowBlank="1" showInputMessage="1" showErrorMessage="1" errorTitle="CLOSED LIST" error="Choose existent" sqref="M17:M106" xr:uid="{2AECD07E-6526-48ED-9945-DA1451CA2880}">
      <formula1>AE$17:AE$48</formula1>
    </dataValidation>
    <dataValidation type="list" errorStyle="information" allowBlank="1" showInputMessage="1" showErrorMessage="1" errorTitle="CLOSED LIST" error="Choose existent" sqref="L17:L106" xr:uid="{21BE9489-25DD-441A-B83D-DA27D8362DFE}">
      <formula1>$AB$17:$AB$29</formula1>
    </dataValidation>
  </dataValidations>
  <pageMargins left="0.75" right="0.75" top="1" bottom="1" header="0" footer="0"/>
  <pageSetup paperSize="9" orientation="portrait" r:id="rId1"/>
  <headerFooter alignWithMargins="0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E10E8E-443E-4029-8210-F350F1446C36}">
  <sheetPr codeName="Sheet2"/>
  <dimension ref="B1:O46"/>
  <sheetViews>
    <sheetView workbookViewId="0">
      <selection activeCell="D29" sqref="D29"/>
    </sheetView>
  </sheetViews>
  <sheetFormatPr defaultRowHeight="13.5" x14ac:dyDescent="0.25"/>
  <cols>
    <col min="1" max="1" width="0.7109375" customWidth="1"/>
    <col min="2" max="2" width="3.7109375" style="150" customWidth="1"/>
    <col min="3" max="3" width="23.5703125" style="150" bestFit="1" customWidth="1"/>
    <col min="4" max="15" width="14" style="25" customWidth="1"/>
  </cols>
  <sheetData>
    <row r="1" spans="2:15" ht="14.25" thickBot="1" x14ac:dyDescent="0.3">
      <c r="D1" s="126">
        <v>1</v>
      </c>
      <c r="E1" s="127"/>
      <c r="F1" s="127"/>
      <c r="G1" s="127"/>
      <c r="H1" s="128"/>
      <c r="I1" s="127"/>
      <c r="J1" s="126">
        <v>2</v>
      </c>
      <c r="K1" s="127"/>
      <c r="L1" s="127"/>
      <c r="M1" s="127"/>
      <c r="N1" s="127"/>
      <c r="O1" s="128"/>
    </row>
    <row r="2" spans="2:15" ht="14.25" thickBot="1" x14ac:dyDescent="0.3">
      <c r="B2" s="150" t="s">
        <v>176</v>
      </c>
      <c r="D2" s="126" t="s">
        <v>709</v>
      </c>
      <c r="E2" s="127" t="s">
        <v>710</v>
      </c>
      <c r="F2" s="127" t="s">
        <v>711</v>
      </c>
      <c r="G2" s="127" t="s">
        <v>712</v>
      </c>
      <c r="H2" s="128" t="s">
        <v>713</v>
      </c>
      <c r="I2" s="127" t="s">
        <v>716</v>
      </c>
      <c r="J2" s="126" t="s">
        <v>709</v>
      </c>
      <c r="K2" s="127" t="s">
        <v>710</v>
      </c>
      <c r="L2" s="127" t="s">
        <v>711</v>
      </c>
      <c r="M2" s="127" t="s">
        <v>712</v>
      </c>
      <c r="N2" s="128" t="s">
        <v>713</v>
      </c>
      <c r="O2" s="128" t="s">
        <v>716</v>
      </c>
    </row>
    <row r="3" spans="2:15" x14ac:dyDescent="0.25">
      <c r="B3" s="151" t="s">
        <v>177</v>
      </c>
      <c r="C3" s="152" t="s">
        <v>227</v>
      </c>
      <c r="D3" s="132"/>
      <c r="E3" s="133"/>
      <c r="F3" s="133"/>
      <c r="G3" s="133"/>
      <c r="H3" s="133"/>
      <c r="I3" s="134"/>
      <c r="J3" s="135"/>
      <c r="K3" s="133"/>
      <c r="L3" s="133"/>
      <c r="M3" s="133"/>
      <c r="N3" s="134"/>
      <c r="O3" s="134"/>
    </row>
    <row r="4" spans="2:15" x14ac:dyDescent="0.25">
      <c r="B4" s="153" t="s">
        <v>178</v>
      </c>
      <c r="C4" s="150" t="s">
        <v>223</v>
      </c>
      <c r="D4" s="136"/>
      <c r="E4" s="137"/>
      <c r="F4" s="137"/>
      <c r="G4" s="137"/>
      <c r="H4" s="137"/>
      <c r="I4" s="138"/>
      <c r="J4" s="139"/>
      <c r="K4" s="137"/>
      <c r="L4" s="137"/>
      <c r="M4" s="137"/>
      <c r="N4" s="140"/>
      <c r="O4" s="138"/>
    </row>
    <row r="5" spans="2:15" x14ac:dyDescent="0.25">
      <c r="B5" s="153" t="s">
        <v>179</v>
      </c>
      <c r="C5" s="150" t="s">
        <v>219</v>
      </c>
      <c r="D5" s="136"/>
      <c r="E5" s="137"/>
      <c r="F5" s="137"/>
      <c r="G5" s="137"/>
      <c r="H5" s="137"/>
      <c r="I5" s="138"/>
      <c r="J5" s="139"/>
      <c r="K5" s="137"/>
      <c r="L5" s="137"/>
      <c r="M5" s="137"/>
      <c r="N5" s="140"/>
      <c r="O5" s="138"/>
    </row>
    <row r="6" spans="2:15" x14ac:dyDescent="0.25">
      <c r="B6" s="153" t="s">
        <v>180</v>
      </c>
      <c r="C6" s="150" t="s">
        <v>221</v>
      </c>
      <c r="D6" s="136"/>
      <c r="E6" s="137"/>
      <c r="F6" s="137"/>
      <c r="G6" s="137"/>
      <c r="H6" s="137"/>
      <c r="I6" s="138"/>
      <c r="J6" s="139"/>
      <c r="K6" s="137"/>
      <c r="L6" s="137"/>
      <c r="M6" s="137"/>
      <c r="N6" s="140"/>
      <c r="O6" s="138"/>
    </row>
    <row r="7" spans="2:15" x14ac:dyDescent="0.25">
      <c r="B7" s="153" t="s">
        <v>181</v>
      </c>
      <c r="C7" s="150" t="s">
        <v>226</v>
      </c>
      <c r="D7" s="136"/>
      <c r="E7" s="137"/>
      <c r="F7" s="137"/>
      <c r="G7" s="137"/>
      <c r="H7" s="137"/>
      <c r="I7" s="138"/>
      <c r="J7" s="139"/>
      <c r="K7" s="137"/>
      <c r="L7" s="137"/>
      <c r="M7" s="137"/>
      <c r="N7" s="140"/>
      <c r="O7" s="138"/>
    </row>
    <row r="8" spans="2:15" x14ac:dyDescent="0.25">
      <c r="B8" s="153" t="s">
        <v>182</v>
      </c>
      <c r="C8" s="150" t="s">
        <v>217</v>
      </c>
      <c r="D8" s="136">
        <v>1</v>
      </c>
      <c r="E8" s="137">
        <v>2</v>
      </c>
      <c r="F8" s="137">
        <v>3</v>
      </c>
      <c r="G8" s="137">
        <v>4</v>
      </c>
      <c r="H8" s="137">
        <v>5</v>
      </c>
      <c r="I8" s="138">
        <v>6</v>
      </c>
      <c r="J8" s="139" t="s">
        <v>717</v>
      </c>
      <c r="K8" s="137" t="s">
        <v>718</v>
      </c>
      <c r="L8" s="137" t="s">
        <v>719</v>
      </c>
      <c r="M8" s="137" t="s">
        <v>720</v>
      </c>
      <c r="N8" s="140" t="s">
        <v>721</v>
      </c>
      <c r="O8" s="138" t="s">
        <v>722</v>
      </c>
    </row>
    <row r="9" spans="2:15" x14ac:dyDescent="0.25">
      <c r="B9" s="153" t="s">
        <v>183</v>
      </c>
      <c r="C9" s="150" t="s">
        <v>233</v>
      </c>
      <c r="D9" s="136"/>
      <c r="E9" s="137"/>
      <c r="F9" s="137"/>
      <c r="G9" s="137"/>
      <c r="H9" s="137"/>
      <c r="I9" s="138"/>
      <c r="J9" s="139"/>
      <c r="K9" s="137"/>
      <c r="L9" s="137"/>
      <c r="M9" s="137"/>
      <c r="N9" s="140"/>
      <c r="O9" s="138"/>
    </row>
    <row r="10" spans="2:15" x14ac:dyDescent="0.25">
      <c r="B10" s="153" t="s">
        <v>184</v>
      </c>
      <c r="C10" s="150" t="s">
        <v>218</v>
      </c>
      <c r="D10" s="136"/>
      <c r="E10" s="137"/>
      <c r="F10" s="137"/>
      <c r="G10" s="137"/>
      <c r="H10" s="137"/>
      <c r="I10" s="138"/>
      <c r="J10" s="139"/>
      <c r="K10" s="137"/>
      <c r="L10" s="137"/>
      <c r="M10" s="137"/>
      <c r="N10" s="140"/>
      <c r="O10" s="138"/>
    </row>
    <row r="11" spans="2:15" x14ac:dyDescent="0.25">
      <c r="B11" s="153" t="s">
        <v>185</v>
      </c>
      <c r="C11" s="150" t="s">
        <v>222</v>
      </c>
      <c r="D11" s="136"/>
      <c r="E11" s="137"/>
      <c r="F11" s="137"/>
      <c r="G11" s="137"/>
      <c r="H11" s="137"/>
      <c r="I11" s="138"/>
      <c r="J11" s="139"/>
      <c r="K11" s="137"/>
      <c r="L11" s="137"/>
      <c r="M11" s="137"/>
      <c r="N11" s="140"/>
      <c r="O11" s="138"/>
    </row>
    <row r="12" spans="2:15" x14ac:dyDescent="0.25">
      <c r="B12" s="153" t="s">
        <v>186</v>
      </c>
      <c r="C12" s="150" t="s">
        <v>224</v>
      </c>
      <c r="D12" s="136" t="s">
        <v>723</v>
      </c>
      <c r="E12" s="137" t="s">
        <v>724</v>
      </c>
      <c r="F12" s="137" t="s">
        <v>725</v>
      </c>
      <c r="G12" s="137" t="s">
        <v>726</v>
      </c>
      <c r="H12" s="137" t="s">
        <v>727</v>
      </c>
      <c r="I12" s="138" t="s">
        <v>728</v>
      </c>
      <c r="J12" s="139"/>
      <c r="K12" s="137"/>
      <c r="L12" s="137"/>
      <c r="M12" s="137"/>
      <c r="N12" s="140"/>
      <c r="O12" s="138"/>
    </row>
    <row r="13" spans="2:15" x14ac:dyDescent="0.25">
      <c r="B13" s="153" t="s">
        <v>187</v>
      </c>
      <c r="C13" s="150" t="s">
        <v>229</v>
      </c>
      <c r="D13" s="136"/>
      <c r="E13" s="137"/>
      <c r="F13" s="137"/>
      <c r="G13" s="137"/>
      <c r="H13" s="137"/>
      <c r="I13" s="138"/>
      <c r="J13" s="139"/>
      <c r="K13" s="137"/>
      <c r="L13" s="137"/>
      <c r="M13" s="137"/>
      <c r="N13" s="140"/>
      <c r="O13" s="138"/>
    </row>
    <row r="14" spans="2:15" x14ac:dyDescent="0.25">
      <c r="B14" s="153" t="s">
        <v>188</v>
      </c>
      <c r="C14" s="150" t="s">
        <v>234</v>
      </c>
      <c r="D14" s="136"/>
      <c r="E14" s="137"/>
      <c r="F14" s="137"/>
      <c r="G14" s="137"/>
      <c r="H14" s="137"/>
      <c r="I14" s="138"/>
      <c r="J14" s="139"/>
      <c r="K14" s="137"/>
      <c r="L14" s="137"/>
      <c r="M14" s="137"/>
      <c r="N14" s="140"/>
      <c r="O14" s="138"/>
    </row>
    <row r="15" spans="2:15" x14ac:dyDescent="0.25">
      <c r="B15" s="153" t="s">
        <v>189</v>
      </c>
      <c r="C15" s="150" t="s">
        <v>230</v>
      </c>
      <c r="D15" s="136" t="s">
        <v>729</v>
      </c>
      <c r="E15" s="137" t="s">
        <v>730</v>
      </c>
      <c r="F15" s="137" t="s">
        <v>731</v>
      </c>
      <c r="G15" s="137" t="s">
        <v>732</v>
      </c>
      <c r="H15" s="137" t="s">
        <v>733</v>
      </c>
      <c r="I15" s="138" t="s">
        <v>734</v>
      </c>
      <c r="J15" s="139"/>
      <c r="K15" s="137"/>
      <c r="L15" s="137"/>
      <c r="M15" s="137"/>
      <c r="N15" s="140"/>
      <c r="O15" s="138"/>
    </row>
    <row r="16" spans="2:15" x14ac:dyDescent="0.25">
      <c r="B16" s="153" t="s">
        <v>190</v>
      </c>
      <c r="C16" s="150" t="s">
        <v>232</v>
      </c>
      <c r="D16" s="136" t="s">
        <v>747</v>
      </c>
      <c r="E16" s="137" t="s">
        <v>746</v>
      </c>
      <c r="F16" s="137" t="s">
        <v>748</v>
      </c>
      <c r="G16" s="137" t="s">
        <v>744</v>
      </c>
      <c r="H16" s="137" t="s">
        <v>745</v>
      </c>
      <c r="I16" s="138"/>
      <c r="J16" s="139"/>
      <c r="K16" s="137"/>
      <c r="L16" s="137"/>
      <c r="M16" s="137"/>
      <c r="N16" s="140"/>
      <c r="O16" s="138"/>
    </row>
    <row r="17" spans="2:15" x14ac:dyDescent="0.25">
      <c r="B17" s="153" t="s">
        <v>191</v>
      </c>
      <c r="C17" s="150" t="s">
        <v>231</v>
      </c>
      <c r="D17" s="136"/>
      <c r="E17" s="137"/>
      <c r="F17" s="137"/>
      <c r="G17" s="137"/>
      <c r="H17" s="137"/>
      <c r="I17" s="138"/>
      <c r="J17" s="139"/>
      <c r="K17" s="137"/>
      <c r="L17" s="137"/>
      <c r="M17" s="137"/>
      <c r="N17" s="140"/>
      <c r="O17" s="138"/>
    </row>
    <row r="18" spans="2:15" x14ac:dyDescent="0.25">
      <c r="B18" s="153" t="s">
        <v>192</v>
      </c>
      <c r="C18" s="150" t="s">
        <v>220</v>
      </c>
      <c r="D18" s="136"/>
      <c r="E18" s="137"/>
      <c r="F18" s="137"/>
      <c r="G18" s="137"/>
      <c r="H18" s="137"/>
      <c r="I18" s="138"/>
      <c r="J18" s="139"/>
      <c r="K18" s="137"/>
      <c r="L18" s="137"/>
      <c r="M18" s="137"/>
      <c r="N18" s="140"/>
      <c r="O18" s="138"/>
    </row>
    <row r="19" spans="2:15" x14ac:dyDescent="0.25">
      <c r="B19" s="153" t="s">
        <v>193</v>
      </c>
      <c r="C19" s="150" t="s">
        <v>228</v>
      </c>
      <c r="D19" s="136"/>
      <c r="E19" s="137"/>
      <c r="F19" s="137"/>
      <c r="G19" s="137"/>
      <c r="H19" s="137"/>
      <c r="I19" s="138"/>
      <c r="J19" s="139"/>
      <c r="K19" s="137"/>
      <c r="L19" s="137"/>
      <c r="M19" s="137"/>
      <c r="N19" s="140"/>
      <c r="O19" s="138"/>
    </row>
    <row r="20" spans="2:15" x14ac:dyDescent="0.25">
      <c r="B20" s="153" t="s">
        <v>194</v>
      </c>
      <c r="C20" s="150" t="s">
        <v>225</v>
      </c>
      <c r="D20" s="136" t="s">
        <v>735</v>
      </c>
      <c r="E20" s="137" t="s">
        <v>736</v>
      </c>
      <c r="F20" s="137" t="s">
        <v>737</v>
      </c>
      <c r="G20" s="137" t="s">
        <v>738</v>
      </c>
      <c r="H20" s="137" t="s">
        <v>739</v>
      </c>
      <c r="I20" s="138" t="s">
        <v>740</v>
      </c>
      <c r="J20" s="139"/>
      <c r="K20" s="137"/>
      <c r="L20" s="137"/>
      <c r="M20" s="137"/>
      <c r="N20" s="140"/>
      <c r="O20" s="138"/>
    </row>
    <row r="21" spans="2:15" x14ac:dyDescent="0.25">
      <c r="B21" s="153" t="s">
        <v>195</v>
      </c>
      <c r="C21" s="150" t="s">
        <v>235</v>
      </c>
      <c r="D21" s="136"/>
      <c r="E21" s="137"/>
      <c r="F21" s="137"/>
      <c r="G21" s="137"/>
      <c r="H21" s="137"/>
      <c r="I21" s="138"/>
      <c r="J21" s="139"/>
      <c r="K21" s="137"/>
      <c r="L21" s="137"/>
      <c r="M21" s="137"/>
      <c r="N21" s="140"/>
      <c r="O21" s="138"/>
    </row>
    <row r="22" spans="2:15" ht="14.25" thickBot="1" x14ac:dyDescent="0.3">
      <c r="B22" s="154" t="s">
        <v>196</v>
      </c>
      <c r="C22" s="155" t="s">
        <v>236</v>
      </c>
      <c r="D22" s="141"/>
      <c r="E22" s="142"/>
      <c r="F22" s="142"/>
      <c r="G22" s="142"/>
      <c r="H22" s="142"/>
      <c r="I22" s="143"/>
      <c r="J22" s="144"/>
      <c r="K22" s="142"/>
      <c r="L22" s="142"/>
      <c r="M22" s="142"/>
      <c r="N22" s="145"/>
      <c r="O22" s="143"/>
    </row>
    <row r="23" spans="2:15" x14ac:dyDescent="0.25">
      <c r="B23" s="151" t="s">
        <v>197</v>
      </c>
      <c r="C23" s="152" t="s">
        <v>241</v>
      </c>
      <c r="D23" s="146"/>
      <c r="E23" s="147"/>
      <c r="F23" s="147"/>
      <c r="G23" s="147"/>
      <c r="H23" s="147"/>
      <c r="I23" s="147"/>
      <c r="J23" s="147"/>
      <c r="K23" s="147"/>
      <c r="L23" s="147"/>
      <c r="M23" s="147"/>
      <c r="N23" s="148"/>
      <c r="O23" s="149"/>
    </row>
    <row r="24" spans="2:15" x14ac:dyDescent="0.25">
      <c r="B24" s="153" t="s">
        <v>198</v>
      </c>
      <c r="C24" s="150" t="s">
        <v>242</v>
      </c>
      <c r="D24" s="136"/>
      <c r="E24" s="137"/>
      <c r="F24" s="137"/>
      <c r="G24" s="137"/>
      <c r="H24" s="137"/>
      <c r="I24" s="137"/>
      <c r="J24" s="137"/>
      <c r="K24" s="137"/>
      <c r="L24" s="137"/>
      <c r="M24" s="137"/>
      <c r="N24" s="140"/>
      <c r="O24" s="138"/>
    </row>
    <row r="25" spans="2:15" x14ac:dyDescent="0.25">
      <c r="B25" s="153" t="s">
        <v>199</v>
      </c>
      <c r="C25" s="150" t="s">
        <v>244</v>
      </c>
      <c r="D25" s="136"/>
      <c r="E25" s="137"/>
      <c r="F25" s="137"/>
      <c r="G25" s="137"/>
      <c r="H25" s="137"/>
      <c r="I25" s="137"/>
      <c r="J25" s="137"/>
      <c r="K25" s="137"/>
      <c r="L25" s="137"/>
      <c r="M25" s="137"/>
      <c r="N25" s="140"/>
      <c r="O25" s="138"/>
    </row>
    <row r="26" spans="2:15" x14ac:dyDescent="0.25">
      <c r="B26" s="153" t="s">
        <v>200</v>
      </c>
      <c r="C26" s="150" t="s">
        <v>247</v>
      </c>
      <c r="D26" s="136"/>
      <c r="E26" s="137"/>
      <c r="F26" s="137"/>
      <c r="G26" s="137"/>
      <c r="H26" s="137"/>
      <c r="I26" s="137"/>
      <c r="J26" s="137"/>
      <c r="K26" s="137"/>
      <c r="L26" s="137"/>
      <c r="M26" s="137"/>
      <c r="N26" s="140"/>
      <c r="O26" s="138"/>
    </row>
    <row r="27" spans="2:15" x14ac:dyDescent="0.25">
      <c r="B27" s="153" t="s">
        <v>201</v>
      </c>
      <c r="C27" s="150" t="s">
        <v>245</v>
      </c>
      <c r="D27" s="136"/>
      <c r="E27" s="137"/>
      <c r="F27" s="137"/>
      <c r="G27" s="137"/>
      <c r="H27" s="137"/>
      <c r="I27" s="137"/>
      <c r="J27" s="137"/>
      <c r="K27" s="137"/>
      <c r="L27" s="137"/>
      <c r="M27" s="137"/>
      <c r="N27" s="140"/>
      <c r="O27" s="138"/>
    </row>
    <row r="28" spans="2:15" x14ac:dyDescent="0.25">
      <c r="B28" s="153" t="s">
        <v>202</v>
      </c>
      <c r="C28" s="150" t="s">
        <v>258</v>
      </c>
      <c r="D28" s="136"/>
      <c r="E28" s="137"/>
      <c r="F28" s="137"/>
      <c r="G28" s="137"/>
      <c r="H28" s="137"/>
      <c r="I28" s="137"/>
      <c r="J28" s="137"/>
      <c r="K28" s="137"/>
      <c r="L28" s="137"/>
      <c r="M28" s="137"/>
      <c r="N28" s="140"/>
      <c r="O28" s="138"/>
    </row>
    <row r="29" spans="2:15" x14ac:dyDescent="0.25">
      <c r="B29" s="153" t="s">
        <v>203</v>
      </c>
      <c r="C29" s="150" t="s">
        <v>260</v>
      </c>
      <c r="D29" s="136"/>
      <c r="E29" s="137"/>
      <c r="F29" s="137"/>
      <c r="G29" s="137"/>
      <c r="H29" s="137"/>
      <c r="I29" s="137"/>
      <c r="J29" s="137"/>
      <c r="K29" s="137"/>
      <c r="L29" s="137"/>
      <c r="M29" s="137"/>
      <c r="N29" s="140"/>
      <c r="O29" s="138"/>
    </row>
    <row r="30" spans="2:15" x14ac:dyDescent="0.25">
      <c r="B30" s="153" t="s">
        <v>204</v>
      </c>
      <c r="C30" s="150" t="s">
        <v>249</v>
      </c>
      <c r="D30" s="136" t="s">
        <v>747</v>
      </c>
      <c r="E30" s="137" t="s">
        <v>746</v>
      </c>
      <c r="F30" s="137" t="s">
        <v>748</v>
      </c>
      <c r="G30" s="137" t="s">
        <v>744</v>
      </c>
      <c r="H30" s="137" t="s">
        <v>745</v>
      </c>
      <c r="I30" s="137"/>
      <c r="J30" s="137"/>
      <c r="K30" s="137"/>
      <c r="L30" s="137"/>
      <c r="M30" s="137"/>
      <c r="N30" s="140"/>
      <c r="O30" s="138"/>
    </row>
    <row r="31" spans="2:15" x14ac:dyDescent="0.25">
      <c r="B31" s="153" t="s">
        <v>205</v>
      </c>
      <c r="C31" s="150" t="s">
        <v>252</v>
      </c>
      <c r="D31" s="136"/>
      <c r="E31" s="137"/>
      <c r="F31" s="137"/>
      <c r="G31" s="137"/>
      <c r="H31" s="137"/>
      <c r="I31" s="137"/>
      <c r="J31" s="137"/>
      <c r="K31" s="137"/>
      <c r="L31" s="137"/>
      <c r="M31" s="137"/>
      <c r="N31" s="140"/>
      <c r="O31" s="138"/>
    </row>
    <row r="32" spans="2:15" x14ac:dyDescent="0.25">
      <c r="B32" s="153" t="s">
        <v>206</v>
      </c>
      <c r="C32" s="150" t="s">
        <v>246</v>
      </c>
      <c r="D32" s="136"/>
      <c r="E32" s="137"/>
      <c r="F32" s="137"/>
      <c r="G32" s="137"/>
      <c r="H32" s="137"/>
      <c r="I32" s="137"/>
      <c r="J32" s="137"/>
      <c r="K32" s="137"/>
      <c r="L32" s="137"/>
      <c r="M32" s="137"/>
      <c r="N32" s="140"/>
      <c r="O32" s="138"/>
    </row>
    <row r="33" spans="2:15" x14ac:dyDescent="0.25">
      <c r="B33" s="153" t="s">
        <v>207</v>
      </c>
      <c r="C33" s="150" t="s">
        <v>250</v>
      </c>
      <c r="D33" s="136"/>
      <c r="E33" s="137"/>
      <c r="F33" s="137"/>
      <c r="G33" s="137"/>
      <c r="H33" s="137"/>
      <c r="I33" s="137"/>
      <c r="J33" s="137"/>
      <c r="K33" s="137"/>
      <c r="L33" s="137"/>
      <c r="M33" s="137"/>
      <c r="N33" s="140"/>
      <c r="O33" s="138"/>
    </row>
    <row r="34" spans="2:15" x14ac:dyDescent="0.25">
      <c r="B34" s="153" t="s">
        <v>208</v>
      </c>
      <c r="C34" s="150" t="s">
        <v>251</v>
      </c>
      <c r="D34" s="136"/>
      <c r="E34" s="137"/>
      <c r="F34" s="137"/>
      <c r="G34" s="137"/>
      <c r="H34" s="137"/>
      <c r="I34" s="137"/>
      <c r="J34" s="137"/>
      <c r="K34" s="137"/>
      <c r="L34" s="137"/>
      <c r="M34" s="137"/>
      <c r="N34" s="140"/>
      <c r="O34" s="138"/>
    </row>
    <row r="35" spans="2:15" x14ac:dyDescent="0.25">
      <c r="B35" s="153" t="s">
        <v>209</v>
      </c>
      <c r="C35" s="150" t="s">
        <v>243</v>
      </c>
      <c r="D35" s="136"/>
      <c r="E35" s="137"/>
      <c r="F35" s="137"/>
      <c r="G35" s="137"/>
      <c r="H35" s="137"/>
      <c r="I35" s="137"/>
      <c r="J35" s="137"/>
      <c r="K35" s="137"/>
      <c r="L35" s="137"/>
      <c r="M35" s="137"/>
      <c r="N35" s="140"/>
      <c r="O35" s="138"/>
    </row>
    <row r="36" spans="2:15" x14ac:dyDescent="0.25">
      <c r="B36" s="153" t="s">
        <v>210</v>
      </c>
      <c r="C36" s="150" t="s">
        <v>253</v>
      </c>
      <c r="D36" s="136"/>
      <c r="E36" s="137"/>
      <c r="F36" s="137"/>
      <c r="G36" s="137"/>
      <c r="H36" s="137"/>
      <c r="I36" s="137"/>
      <c r="J36" s="137"/>
      <c r="K36" s="137"/>
      <c r="L36" s="137"/>
      <c r="M36" s="137"/>
      <c r="N36" s="140"/>
      <c r="O36" s="138"/>
    </row>
    <row r="37" spans="2:15" x14ac:dyDescent="0.25">
      <c r="B37" s="153" t="s">
        <v>211</v>
      </c>
      <c r="C37" s="150" t="s">
        <v>254</v>
      </c>
      <c r="D37" s="136"/>
      <c r="E37" s="137"/>
      <c r="F37" s="137"/>
      <c r="G37" s="137"/>
      <c r="H37" s="137"/>
      <c r="I37" s="137"/>
      <c r="J37" s="137"/>
      <c r="K37" s="137"/>
      <c r="L37" s="137"/>
      <c r="M37" s="137"/>
      <c r="N37" s="140"/>
      <c r="O37" s="138"/>
    </row>
    <row r="38" spans="2:15" x14ac:dyDescent="0.25">
      <c r="B38" s="153" t="s">
        <v>212</v>
      </c>
      <c r="C38" s="150" t="s">
        <v>248</v>
      </c>
      <c r="D38" s="136"/>
      <c r="E38" s="137"/>
      <c r="F38" s="137"/>
      <c r="G38" s="137"/>
      <c r="H38" s="137"/>
      <c r="I38" s="137"/>
      <c r="J38" s="137"/>
      <c r="K38" s="137"/>
      <c r="L38" s="137"/>
      <c r="M38" s="137"/>
      <c r="N38" s="140"/>
      <c r="O38" s="138"/>
    </row>
    <row r="39" spans="2:15" x14ac:dyDescent="0.25">
      <c r="B39" s="153" t="s">
        <v>213</v>
      </c>
      <c r="C39" s="150" t="s">
        <v>257</v>
      </c>
      <c r="D39" s="136"/>
      <c r="E39" s="137"/>
      <c r="F39" s="137"/>
      <c r="G39" s="137"/>
      <c r="H39" s="137"/>
      <c r="I39" s="137"/>
      <c r="J39" s="137"/>
      <c r="K39" s="137"/>
      <c r="L39" s="137"/>
      <c r="M39" s="137"/>
      <c r="N39" s="140"/>
      <c r="O39" s="138"/>
    </row>
    <row r="40" spans="2:15" x14ac:dyDescent="0.25">
      <c r="B40" s="153" t="s">
        <v>214</v>
      </c>
      <c r="C40" s="150" t="s">
        <v>255</v>
      </c>
      <c r="D40" s="136"/>
      <c r="E40" s="137"/>
      <c r="F40" s="137"/>
      <c r="G40" s="137"/>
      <c r="H40" s="137"/>
      <c r="I40" s="137"/>
      <c r="J40" s="137"/>
      <c r="K40" s="137"/>
      <c r="L40" s="137"/>
      <c r="M40" s="137"/>
      <c r="N40" s="140"/>
      <c r="O40" s="138"/>
    </row>
    <row r="41" spans="2:15" x14ac:dyDescent="0.25">
      <c r="B41" s="153" t="s">
        <v>215</v>
      </c>
      <c r="C41" s="150" t="s">
        <v>259</v>
      </c>
      <c r="D41" s="136"/>
      <c r="E41" s="137"/>
      <c r="F41" s="137"/>
      <c r="G41" s="137"/>
      <c r="H41" s="137"/>
      <c r="I41" s="137"/>
      <c r="J41" s="137"/>
      <c r="K41" s="137"/>
      <c r="L41" s="137"/>
      <c r="M41" s="137"/>
      <c r="N41" s="140"/>
      <c r="O41" s="138"/>
    </row>
    <row r="42" spans="2:15" x14ac:dyDescent="0.25">
      <c r="B42" s="153" t="s">
        <v>216</v>
      </c>
      <c r="C42" s="150" t="s">
        <v>256</v>
      </c>
      <c r="D42" s="136"/>
      <c r="E42" s="137"/>
      <c r="F42" s="137"/>
      <c r="G42" s="137"/>
      <c r="H42" s="137"/>
      <c r="I42" s="137"/>
      <c r="J42" s="137"/>
      <c r="K42" s="137"/>
      <c r="L42" s="137"/>
      <c r="M42" s="137"/>
      <c r="N42" s="140"/>
      <c r="O42" s="138"/>
    </row>
    <row r="43" spans="2:15" x14ac:dyDescent="0.25">
      <c r="B43" s="153" t="s">
        <v>237</v>
      </c>
      <c r="C43" s="150" t="s">
        <v>705</v>
      </c>
      <c r="D43" s="136"/>
      <c r="E43" s="137"/>
      <c r="F43" s="137"/>
      <c r="G43" s="137"/>
      <c r="H43" s="137"/>
      <c r="I43" s="137"/>
      <c r="J43" s="137"/>
      <c r="K43" s="137"/>
      <c r="L43" s="137"/>
      <c r="M43" s="137"/>
      <c r="N43" s="140"/>
      <c r="O43" s="138"/>
    </row>
    <row r="44" spans="2:15" ht="14.25" thickBot="1" x14ac:dyDescent="0.3">
      <c r="B44" s="154" t="s">
        <v>238</v>
      </c>
      <c r="C44" s="155" t="s">
        <v>706</v>
      </c>
      <c r="D44" s="141"/>
      <c r="E44" s="142"/>
      <c r="F44" s="142"/>
      <c r="G44" s="142"/>
      <c r="H44" s="142"/>
      <c r="I44" s="142"/>
      <c r="J44" s="142"/>
      <c r="K44" s="142"/>
      <c r="L44" s="142"/>
      <c r="M44" s="142"/>
      <c r="N44" s="145"/>
      <c r="O44" s="143"/>
    </row>
    <row r="45" spans="2:15" ht="14.25" thickBot="1" x14ac:dyDescent="0.3"/>
    <row r="46" spans="2:15" x14ac:dyDescent="0.25">
      <c r="D46" s="25" t="s">
        <v>741</v>
      </c>
      <c r="E46" s="25" t="s">
        <v>718</v>
      </c>
      <c r="F46" s="25" t="s">
        <v>719</v>
      </c>
      <c r="G46" s="25" t="s">
        <v>720</v>
      </c>
      <c r="H46" s="25" t="s">
        <v>721</v>
      </c>
      <c r="I46" s="134" t="s">
        <v>722</v>
      </c>
    </row>
  </sheetData>
  <sheetProtection algorithmName="SHA-512" hashValue="dsa5vUW0jDnPMBk1j8Ox9OF4JHsvM8ofnsNjq7M9argRivXXGbsFCQEe9+OQ0i00Rd9yluvN6e1tfNHaTf8SIQ==" saltValue="m1SggGuCIfED391HE7rKBQ==" spinCount="100000" sheet="1" objects="1" scenarios="1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200246-49AC-486F-AA34-CB3DAF5C7D9F}">
  <sheetPr codeName="Sheet1"/>
  <dimension ref="A2:I562"/>
  <sheetViews>
    <sheetView workbookViewId="0"/>
  </sheetViews>
  <sheetFormatPr defaultRowHeight="12.75" x14ac:dyDescent="0.2"/>
  <cols>
    <col min="2" max="2" width="11.85546875" bestFit="1" customWidth="1"/>
    <col min="3" max="3" width="6.140625" bestFit="1" customWidth="1"/>
    <col min="4" max="4" width="3.42578125" bestFit="1" customWidth="1"/>
    <col min="5" max="5" width="15.28515625" bestFit="1" customWidth="1"/>
    <col min="6" max="7" width="14.140625" bestFit="1" customWidth="1"/>
    <col min="8" max="8" width="14.85546875" bestFit="1" customWidth="1"/>
    <col min="9" max="9" width="20.85546875" bestFit="1" customWidth="1"/>
  </cols>
  <sheetData>
    <row r="2" spans="1:9" ht="15" x14ac:dyDescent="0.25">
      <c r="B2" s="107" t="s">
        <v>261</v>
      </c>
      <c r="C2" s="107" t="s">
        <v>262</v>
      </c>
      <c r="D2" s="107" t="s">
        <v>263</v>
      </c>
      <c r="E2" s="107" t="s">
        <v>264</v>
      </c>
      <c r="F2" s="107" t="s">
        <v>176</v>
      </c>
      <c r="G2" s="107" t="s">
        <v>265</v>
      </c>
      <c r="H2" s="107" t="s">
        <v>266</v>
      </c>
      <c r="I2" s="107" t="s">
        <v>267</v>
      </c>
    </row>
    <row r="3" spans="1:9" ht="15" x14ac:dyDescent="0.25">
      <c r="A3" t="str">
        <f>B3&amp;TEXT(C3,"000")</f>
        <v>E2025001</v>
      </c>
      <c r="B3" s="108" t="s">
        <v>268</v>
      </c>
      <c r="C3" s="109">
        <v>1</v>
      </c>
      <c r="D3" s="109">
        <v>1</v>
      </c>
      <c r="E3" s="108" t="s">
        <v>269</v>
      </c>
      <c r="F3" s="108" t="s">
        <v>182</v>
      </c>
      <c r="G3" s="108" t="s">
        <v>193</v>
      </c>
      <c r="H3" s="110">
        <v>45930.822916666664</v>
      </c>
      <c r="I3" s="108" t="s">
        <v>270</v>
      </c>
    </row>
    <row r="4" spans="1:9" ht="15" x14ac:dyDescent="0.25">
      <c r="A4" t="str">
        <f t="shared" ref="A4:A67" si="0">B4&amp;TEXT(C4,"000")</f>
        <v>E2025002</v>
      </c>
      <c r="B4" s="108" t="s">
        <v>268</v>
      </c>
      <c r="C4" s="109">
        <v>2</v>
      </c>
      <c r="D4" s="109">
        <v>1</v>
      </c>
      <c r="E4" s="108" t="s">
        <v>269</v>
      </c>
      <c r="F4" s="108" t="s">
        <v>179</v>
      </c>
      <c r="G4" s="108" t="s">
        <v>187</v>
      </c>
      <c r="H4" s="110">
        <v>45930.854166666664</v>
      </c>
      <c r="I4" s="108" t="s">
        <v>271</v>
      </c>
    </row>
    <row r="5" spans="1:9" ht="15" x14ac:dyDescent="0.25">
      <c r="A5" t="str">
        <f t="shared" si="0"/>
        <v>E2025003</v>
      </c>
      <c r="B5" s="108" t="s">
        <v>268</v>
      </c>
      <c r="C5" s="109">
        <v>3</v>
      </c>
      <c r="D5" s="109">
        <v>1</v>
      </c>
      <c r="E5" s="108" t="s">
        <v>269</v>
      </c>
      <c r="F5" s="108" t="s">
        <v>192</v>
      </c>
      <c r="G5" s="108" t="s">
        <v>185</v>
      </c>
      <c r="H5" s="110">
        <v>45930.833333333336</v>
      </c>
      <c r="I5" s="108" t="s">
        <v>272</v>
      </c>
    </row>
    <row r="6" spans="1:9" ht="15" x14ac:dyDescent="0.25">
      <c r="A6" t="str">
        <f t="shared" si="0"/>
        <v>E2025004</v>
      </c>
      <c r="B6" s="108" t="s">
        <v>268</v>
      </c>
      <c r="C6" s="109">
        <v>4</v>
      </c>
      <c r="D6" s="109">
        <v>1</v>
      </c>
      <c r="E6" s="108" t="s">
        <v>269</v>
      </c>
      <c r="F6" s="108" t="s">
        <v>180</v>
      </c>
      <c r="G6" s="108" t="s">
        <v>190</v>
      </c>
      <c r="H6" s="110">
        <v>45930.833333333336</v>
      </c>
      <c r="I6" s="108" t="s">
        <v>273</v>
      </c>
    </row>
    <row r="7" spans="1:9" ht="15" x14ac:dyDescent="0.25">
      <c r="A7" t="str">
        <f t="shared" si="0"/>
        <v>E2025005</v>
      </c>
      <c r="B7" s="108" t="s">
        <v>268</v>
      </c>
      <c r="C7" s="109">
        <v>5</v>
      </c>
      <c r="D7" s="109">
        <v>1</v>
      </c>
      <c r="E7" s="108" t="s">
        <v>269</v>
      </c>
      <c r="F7" s="108" t="s">
        <v>181</v>
      </c>
      <c r="G7" s="108" t="s">
        <v>178</v>
      </c>
      <c r="H7" s="110">
        <v>45930.791666666664</v>
      </c>
      <c r="I7" s="108" t="s">
        <v>273</v>
      </c>
    </row>
    <row r="8" spans="1:9" ht="15" x14ac:dyDescent="0.25">
      <c r="A8" t="str">
        <f t="shared" si="0"/>
        <v>E2025006</v>
      </c>
      <c r="B8" s="108" t="s">
        <v>268</v>
      </c>
      <c r="C8" s="109">
        <v>6</v>
      </c>
      <c r="D8" s="109">
        <v>1</v>
      </c>
      <c r="E8" s="108" t="s">
        <v>269</v>
      </c>
      <c r="F8" s="108" t="s">
        <v>189</v>
      </c>
      <c r="G8" s="108" t="s">
        <v>186</v>
      </c>
      <c r="H8" s="110">
        <v>45930.885416666664</v>
      </c>
      <c r="I8" s="108" t="s">
        <v>274</v>
      </c>
    </row>
    <row r="9" spans="1:9" ht="15" x14ac:dyDescent="0.25">
      <c r="A9" t="str">
        <f t="shared" si="0"/>
        <v>E2025007</v>
      </c>
      <c r="B9" s="108" t="s">
        <v>268</v>
      </c>
      <c r="C9" s="109">
        <v>7</v>
      </c>
      <c r="D9" s="109">
        <v>1</v>
      </c>
      <c r="E9" s="108" t="s">
        <v>269</v>
      </c>
      <c r="F9" s="108" t="s">
        <v>195</v>
      </c>
      <c r="G9" s="108" t="s">
        <v>183</v>
      </c>
      <c r="H9" s="110">
        <v>45930.864583333336</v>
      </c>
      <c r="I9" s="108" t="s">
        <v>275</v>
      </c>
    </row>
    <row r="10" spans="1:9" ht="15" x14ac:dyDescent="0.25">
      <c r="A10" t="str">
        <f t="shared" si="0"/>
        <v>E2025008</v>
      </c>
      <c r="B10" s="108" t="s">
        <v>268</v>
      </c>
      <c r="C10" s="109">
        <v>8</v>
      </c>
      <c r="D10" s="109">
        <v>1</v>
      </c>
      <c r="E10" s="108" t="s">
        <v>269</v>
      </c>
      <c r="F10" s="108" t="s">
        <v>194</v>
      </c>
      <c r="G10" s="108" t="s">
        <v>191</v>
      </c>
      <c r="H10" s="110">
        <v>45931.864583333336</v>
      </c>
      <c r="I10" s="108" t="s">
        <v>276</v>
      </c>
    </row>
    <row r="11" spans="1:9" ht="15" x14ac:dyDescent="0.25">
      <c r="A11" t="str">
        <f t="shared" si="0"/>
        <v>E2025009</v>
      </c>
      <c r="B11" s="108" t="s">
        <v>268</v>
      </c>
      <c r="C11" s="109">
        <v>9</v>
      </c>
      <c r="D11" s="109">
        <v>1</v>
      </c>
      <c r="E11" s="108" t="s">
        <v>269</v>
      </c>
      <c r="F11" s="108" t="s">
        <v>184</v>
      </c>
      <c r="G11" s="108" t="s">
        <v>196</v>
      </c>
      <c r="H11" s="110">
        <v>45931.8125</v>
      </c>
      <c r="I11" s="108" t="s">
        <v>277</v>
      </c>
    </row>
    <row r="12" spans="1:9" ht="15" x14ac:dyDescent="0.25">
      <c r="A12" t="str">
        <f t="shared" si="0"/>
        <v>E2025010</v>
      </c>
      <c r="B12" s="108" t="s">
        <v>268</v>
      </c>
      <c r="C12" s="109">
        <v>10</v>
      </c>
      <c r="D12" s="109">
        <v>1</v>
      </c>
      <c r="E12" s="108" t="s">
        <v>269</v>
      </c>
      <c r="F12" s="108" t="s">
        <v>177</v>
      </c>
      <c r="G12" s="108" t="s">
        <v>188</v>
      </c>
      <c r="H12" s="110">
        <v>45931.833333333336</v>
      </c>
      <c r="I12" s="108" t="s">
        <v>278</v>
      </c>
    </row>
    <row r="13" spans="1:9" ht="15" x14ac:dyDescent="0.25">
      <c r="A13" t="str">
        <f t="shared" si="0"/>
        <v>E2025011</v>
      </c>
      <c r="B13" s="108" t="s">
        <v>268</v>
      </c>
      <c r="C13" s="109">
        <v>11</v>
      </c>
      <c r="D13" s="109">
        <v>2</v>
      </c>
      <c r="E13" s="108" t="s">
        <v>269</v>
      </c>
      <c r="F13" s="108" t="s">
        <v>186</v>
      </c>
      <c r="G13" s="108" t="s">
        <v>192</v>
      </c>
      <c r="H13" s="110">
        <v>45932.854166666664</v>
      </c>
      <c r="I13" s="108" t="s">
        <v>279</v>
      </c>
    </row>
    <row r="14" spans="1:9" ht="15" x14ac:dyDescent="0.25">
      <c r="A14" t="str">
        <f t="shared" si="0"/>
        <v>E2025012</v>
      </c>
      <c r="B14" s="108" t="s">
        <v>268</v>
      </c>
      <c r="C14" s="109">
        <v>12</v>
      </c>
      <c r="D14" s="109">
        <v>2</v>
      </c>
      <c r="E14" s="108" t="s">
        <v>269</v>
      </c>
      <c r="F14" s="108" t="s">
        <v>190</v>
      </c>
      <c r="G14" s="108" t="s">
        <v>185</v>
      </c>
      <c r="H14" s="110">
        <v>45932.854166666664</v>
      </c>
      <c r="I14" s="108" t="s">
        <v>279</v>
      </c>
    </row>
    <row r="15" spans="1:9" ht="15" x14ac:dyDescent="0.25">
      <c r="A15" t="str">
        <f t="shared" si="0"/>
        <v>E2025013</v>
      </c>
      <c r="B15" s="108" t="s">
        <v>268</v>
      </c>
      <c r="C15" s="109">
        <v>13</v>
      </c>
      <c r="D15" s="109">
        <v>2</v>
      </c>
      <c r="E15" s="108" t="s">
        <v>269</v>
      </c>
      <c r="F15" s="108" t="s">
        <v>183</v>
      </c>
      <c r="G15" s="108" t="s">
        <v>187</v>
      </c>
      <c r="H15" s="110">
        <v>45932.864583333336</v>
      </c>
      <c r="I15" s="108" t="s">
        <v>280</v>
      </c>
    </row>
    <row r="16" spans="1:9" ht="15" x14ac:dyDescent="0.25">
      <c r="A16" t="str">
        <f t="shared" si="0"/>
        <v>E2025014</v>
      </c>
      <c r="B16" s="108" t="s">
        <v>268</v>
      </c>
      <c r="C16" s="109">
        <v>14</v>
      </c>
      <c r="D16" s="109">
        <v>2</v>
      </c>
      <c r="E16" s="108" t="s">
        <v>269</v>
      </c>
      <c r="F16" s="108" t="s">
        <v>182</v>
      </c>
      <c r="G16" s="108" t="s">
        <v>181</v>
      </c>
      <c r="H16" s="110">
        <v>45933.8125</v>
      </c>
      <c r="I16" s="108" t="s">
        <v>281</v>
      </c>
    </row>
    <row r="17" spans="1:9" ht="15" x14ac:dyDescent="0.25">
      <c r="A17" t="str">
        <f t="shared" si="0"/>
        <v>E2025015</v>
      </c>
      <c r="B17" s="108" t="s">
        <v>268</v>
      </c>
      <c r="C17" s="109">
        <v>15</v>
      </c>
      <c r="D17" s="109">
        <v>2</v>
      </c>
      <c r="E17" s="108" t="s">
        <v>269</v>
      </c>
      <c r="F17" s="108" t="s">
        <v>193</v>
      </c>
      <c r="G17" s="108" t="s">
        <v>191</v>
      </c>
      <c r="H17" s="110">
        <v>45933.895833333336</v>
      </c>
      <c r="I17" s="108" t="s">
        <v>282</v>
      </c>
    </row>
    <row r="18" spans="1:9" ht="15" x14ac:dyDescent="0.25">
      <c r="A18" t="str">
        <f t="shared" si="0"/>
        <v>E2025016</v>
      </c>
      <c r="B18" s="108" t="s">
        <v>268</v>
      </c>
      <c r="C18" s="109">
        <v>16</v>
      </c>
      <c r="D18" s="109">
        <v>2</v>
      </c>
      <c r="E18" s="108" t="s">
        <v>269</v>
      </c>
      <c r="F18" s="108" t="s">
        <v>184</v>
      </c>
      <c r="G18" s="108" t="s">
        <v>180</v>
      </c>
      <c r="H18" s="110">
        <v>45933.8125</v>
      </c>
      <c r="I18" s="108" t="s">
        <v>281</v>
      </c>
    </row>
    <row r="19" spans="1:9" ht="15" x14ac:dyDescent="0.25">
      <c r="A19" t="str">
        <f t="shared" si="0"/>
        <v>E2025017</v>
      </c>
      <c r="B19" s="108" t="s">
        <v>268</v>
      </c>
      <c r="C19" s="109">
        <v>17</v>
      </c>
      <c r="D19" s="109">
        <v>2</v>
      </c>
      <c r="E19" s="108" t="s">
        <v>269</v>
      </c>
      <c r="F19" s="108" t="s">
        <v>177</v>
      </c>
      <c r="G19" s="108" t="s">
        <v>179</v>
      </c>
      <c r="H19" s="110">
        <v>45933.833333333336</v>
      </c>
      <c r="I19" s="108" t="s">
        <v>283</v>
      </c>
    </row>
    <row r="20" spans="1:9" ht="15" x14ac:dyDescent="0.25">
      <c r="A20" t="str">
        <f t="shared" si="0"/>
        <v>E2025018</v>
      </c>
      <c r="B20" s="108" t="s">
        <v>268</v>
      </c>
      <c r="C20" s="109">
        <v>18</v>
      </c>
      <c r="D20" s="109">
        <v>2</v>
      </c>
      <c r="E20" s="108" t="s">
        <v>269</v>
      </c>
      <c r="F20" s="108" t="s">
        <v>189</v>
      </c>
      <c r="G20" s="108" t="s">
        <v>178</v>
      </c>
      <c r="H20" s="110">
        <v>45933.885416666664</v>
      </c>
      <c r="I20" s="108" t="s">
        <v>284</v>
      </c>
    </row>
    <row r="21" spans="1:9" ht="15" x14ac:dyDescent="0.25">
      <c r="A21" t="str">
        <f t="shared" si="0"/>
        <v>E2025019</v>
      </c>
      <c r="B21" s="108" t="s">
        <v>268</v>
      </c>
      <c r="C21" s="109">
        <v>19</v>
      </c>
      <c r="D21" s="109">
        <v>2</v>
      </c>
      <c r="E21" s="108" t="s">
        <v>269</v>
      </c>
      <c r="F21" s="108" t="s">
        <v>188</v>
      </c>
      <c r="G21" s="108" t="s">
        <v>195</v>
      </c>
      <c r="H21" s="110">
        <v>45933.854166666664</v>
      </c>
      <c r="I21" s="108" t="s">
        <v>285</v>
      </c>
    </row>
    <row r="22" spans="1:9" ht="15" x14ac:dyDescent="0.25">
      <c r="A22" t="str">
        <f t="shared" si="0"/>
        <v>E2025020</v>
      </c>
      <c r="B22" s="108" t="s">
        <v>268</v>
      </c>
      <c r="C22" s="109">
        <v>20</v>
      </c>
      <c r="D22" s="109">
        <v>2</v>
      </c>
      <c r="E22" s="108" t="s">
        <v>269</v>
      </c>
      <c r="F22" s="108" t="s">
        <v>196</v>
      </c>
      <c r="G22" s="108" t="s">
        <v>194</v>
      </c>
      <c r="H22" s="110">
        <v>45933.833333333336</v>
      </c>
      <c r="I22" s="108" t="s">
        <v>286</v>
      </c>
    </row>
    <row r="23" spans="1:9" ht="15" x14ac:dyDescent="0.25">
      <c r="A23" t="str">
        <f t="shared" si="0"/>
        <v>E2025021</v>
      </c>
      <c r="B23" s="108" t="s">
        <v>268</v>
      </c>
      <c r="C23" s="109">
        <v>21</v>
      </c>
      <c r="D23" s="109">
        <v>3</v>
      </c>
      <c r="E23" s="108" t="s">
        <v>269</v>
      </c>
      <c r="F23" s="108" t="s">
        <v>181</v>
      </c>
      <c r="G23" s="108" t="s">
        <v>193</v>
      </c>
      <c r="H23" s="110">
        <v>45938.878472222219</v>
      </c>
      <c r="I23" s="108" t="s">
        <v>287</v>
      </c>
    </row>
    <row r="24" spans="1:9" ht="15" x14ac:dyDescent="0.25">
      <c r="A24" t="str">
        <f t="shared" si="0"/>
        <v>E2025022</v>
      </c>
      <c r="B24" s="108" t="s">
        <v>268</v>
      </c>
      <c r="C24" s="109">
        <v>22</v>
      </c>
      <c r="D24" s="109">
        <v>3</v>
      </c>
      <c r="E24" s="108" t="s">
        <v>269</v>
      </c>
      <c r="F24" s="108" t="s">
        <v>179</v>
      </c>
      <c r="G24" s="108" t="s">
        <v>189</v>
      </c>
      <c r="H24" s="110">
        <v>45939.854166666664</v>
      </c>
      <c r="I24" s="108" t="s">
        <v>288</v>
      </c>
    </row>
    <row r="25" spans="1:9" ht="15" x14ac:dyDescent="0.25">
      <c r="A25" t="str">
        <f t="shared" si="0"/>
        <v>E2025023</v>
      </c>
      <c r="B25" s="108" t="s">
        <v>268</v>
      </c>
      <c r="C25" s="109">
        <v>23</v>
      </c>
      <c r="D25" s="109">
        <v>3</v>
      </c>
      <c r="E25" s="108" t="s">
        <v>269</v>
      </c>
      <c r="F25" s="108" t="s">
        <v>185</v>
      </c>
      <c r="G25" s="108" t="s">
        <v>184</v>
      </c>
      <c r="H25" s="110">
        <v>45939.854166666664</v>
      </c>
      <c r="I25" s="108" t="s">
        <v>288</v>
      </c>
    </row>
    <row r="26" spans="1:9" ht="15" x14ac:dyDescent="0.25">
      <c r="A26" t="str">
        <f t="shared" si="0"/>
        <v>E2025024</v>
      </c>
      <c r="B26" s="108" t="s">
        <v>268</v>
      </c>
      <c r="C26" s="109">
        <v>24</v>
      </c>
      <c r="D26" s="109">
        <v>3</v>
      </c>
      <c r="E26" s="108" t="s">
        <v>269</v>
      </c>
      <c r="F26" s="108" t="s">
        <v>191</v>
      </c>
      <c r="G26" s="108" t="s">
        <v>195</v>
      </c>
      <c r="H26" s="110">
        <v>45939.864583333336</v>
      </c>
      <c r="I26" s="108" t="s">
        <v>289</v>
      </c>
    </row>
    <row r="27" spans="1:9" ht="15" x14ac:dyDescent="0.25">
      <c r="A27" t="str">
        <f t="shared" si="0"/>
        <v>E2025025</v>
      </c>
      <c r="B27" s="108" t="s">
        <v>268</v>
      </c>
      <c r="C27" s="109">
        <v>25</v>
      </c>
      <c r="D27" s="109">
        <v>3</v>
      </c>
      <c r="E27" s="108" t="s">
        <v>269</v>
      </c>
      <c r="F27" s="108" t="s">
        <v>183</v>
      </c>
      <c r="G27" s="108" t="s">
        <v>177</v>
      </c>
      <c r="H27" s="110">
        <v>45939.875</v>
      </c>
      <c r="I27" s="108" t="s">
        <v>290</v>
      </c>
    </row>
    <row r="28" spans="1:9" ht="15" x14ac:dyDescent="0.25">
      <c r="A28" t="str">
        <f t="shared" si="0"/>
        <v>E2025026</v>
      </c>
      <c r="B28" s="108" t="s">
        <v>268</v>
      </c>
      <c r="C28" s="109">
        <v>26</v>
      </c>
      <c r="D28" s="109">
        <v>3</v>
      </c>
      <c r="E28" s="108" t="s">
        <v>269</v>
      </c>
      <c r="F28" s="108" t="s">
        <v>190</v>
      </c>
      <c r="G28" s="108" t="s">
        <v>182</v>
      </c>
      <c r="H28" s="110">
        <v>45939.854166666664</v>
      </c>
      <c r="I28" s="108" t="s">
        <v>288</v>
      </c>
    </row>
    <row r="29" spans="1:9" ht="15" x14ac:dyDescent="0.25">
      <c r="A29" t="str">
        <f t="shared" si="0"/>
        <v>E2025027</v>
      </c>
      <c r="B29" s="108" t="s">
        <v>268</v>
      </c>
      <c r="C29" s="109">
        <v>27</v>
      </c>
      <c r="D29" s="109">
        <v>3</v>
      </c>
      <c r="E29" s="108" t="s">
        <v>269</v>
      </c>
      <c r="F29" s="108" t="s">
        <v>187</v>
      </c>
      <c r="G29" s="108" t="s">
        <v>180</v>
      </c>
      <c r="H29" s="110">
        <v>45940.885416666664</v>
      </c>
      <c r="I29" s="108" t="s">
        <v>291</v>
      </c>
    </row>
    <row r="30" spans="1:9" ht="15" x14ac:dyDescent="0.25">
      <c r="A30" t="str">
        <f t="shared" si="0"/>
        <v>E2025028</v>
      </c>
      <c r="B30" s="108" t="s">
        <v>268</v>
      </c>
      <c r="C30" s="109">
        <v>28</v>
      </c>
      <c r="D30" s="109">
        <v>3</v>
      </c>
      <c r="E30" s="108" t="s">
        <v>269</v>
      </c>
      <c r="F30" s="108" t="s">
        <v>178</v>
      </c>
      <c r="G30" s="108" t="s">
        <v>188</v>
      </c>
      <c r="H30" s="110">
        <v>45940.854166666664</v>
      </c>
      <c r="I30" s="108" t="s">
        <v>292</v>
      </c>
    </row>
    <row r="31" spans="1:9" ht="15" x14ac:dyDescent="0.25">
      <c r="A31" t="str">
        <f t="shared" si="0"/>
        <v>E2025029</v>
      </c>
      <c r="B31" s="108" t="s">
        <v>268</v>
      </c>
      <c r="C31" s="109">
        <v>29</v>
      </c>
      <c r="D31" s="109">
        <v>3</v>
      </c>
      <c r="E31" s="108" t="s">
        <v>269</v>
      </c>
      <c r="F31" s="108" t="s">
        <v>186</v>
      </c>
      <c r="G31" s="108" t="s">
        <v>196</v>
      </c>
      <c r="H31" s="110">
        <v>45940.854166666664</v>
      </c>
      <c r="I31" s="108" t="s">
        <v>292</v>
      </c>
    </row>
    <row r="32" spans="1:9" ht="15" x14ac:dyDescent="0.25">
      <c r="A32" t="str">
        <f t="shared" si="0"/>
        <v>E2025030</v>
      </c>
      <c r="B32" s="108" t="s">
        <v>268</v>
      </c>
      <c r="C32" s="109">
        <v>30</v>
      </c>
      <c r="D32" s="109">
        <v>3</v>
      </c>
      <c r="E32" s="108" t="s">
        <v>269</v>
      </c>
      <c r="F32" s="108" t="s">
        <v>194</v>
      </c>
      <c r="G32" s="108" t="s">
        <v>192</v>
      </c>
      <c r="H32" s="110">
        <v>45940.864583333336</v>
      </c>
      <c r="I32" s="108" t="s">
        <v>293</v>
      </c>
    </row>
    <row r="33" spans="1:9" ht="15" x14ac:dyDescent="0.25">
      <c r="A33" t="str">
        <f t="shared" si="0"/>
        <v>E2025031</v>
      </c>
      <c r="B33" s="108" t="s">
        <v>268</v>
      </c>
      <c r="C33" s="109">
        <v>31</v>
      </c>
      <c r="D33" s="109">
        <v>4</v>
      </c>
      <c r="E33" s="108" t="s">
        <v>269</v>
      </c>
      <c r="F33" s="108" t="s">
        <v>192</v>
      </c>
      <c r="G33" s="108" t="s">
        <v>196</v>
      </c>
      <c r="H33" s="110">
        <v>45944.833333333336</v>
      </c>
      <c r="I33" s="108" t="s">
        <v>294</v>
      </c>
    </row>
    <row r="34" spans="1:9" ht="15" x14ac:dyDescent="0.25">
      <c r="A34" t="str">
        <f t="shared" si="0"/>
        <v>E2025032</v>
      </c>
      <c r="B34" s="108" t="s">
        <v>268</v>
      </c>
      <c r="C34" s="109">
        <v>32</v>
      </c>
      <c r="D34" s="109">
        <v>4</v>
      </c>
      <c r="E34" s="108" t="s">
        <v>269</v>
      </c>
      <c r="F34" s="108" t="s">
        <v>186</v>
      </c>
      <c r="G34" s="108" t="s">
        <v>185</v>
      </c>
      <c r="H34" s="110">
        <v>45944.854166666664</v>
      </c>
      <c r="I34" s="108" t="s">
        <v>295</v>
      </c>
    </row>
    <row r="35" spans="1:9" ht="15" x14ac:dyDescent="0.25">
      <c r="A35" t="str">
        <f t="shared" si="0"/>
        <v>E2025033</v>
      </c>
      <c r="B35" s="108" t="s">
        <v>268</v>
      </c>
      <c r="C35" s="109">
        <v>33</v>
      </c>
      <c r="D35" s="109">
        <v>4</v>
      </c>
      <c r="E35" s="108" t="s">
        <v>269</v>
      </c>
      <c r="F35" s="108" t="s">
        <v>194</v>
      </c>
      <c r="G35" s="108" t="s">
        <v>180</v>
      </c>
      <c r="H35" s="110">
        <v>45944.864583333336</v>
      </c>
      <c r="I35" s="108" t="s">
        <v>296</v>
      </c>
    </row>
    <row r="36" spans="1:9" ht="15" x14ac:dyDescent="0.25">
      <c r="A36" t="str">
        <f t="shared" si="0"/>
        <v>E2025034</v>
      </c>
      <c r="B36" s="108" t="s">
        <v>268</v>
      </c>
      <c r="C36" s="109">
        <v>34</v>
      </c>
      <c r="D36" s="109">
        <v>4</v>
      </c>
      <c r="E36" s="108" t="s">
        <v>269</v>
      </c>
      <c r="F36" s="108" t="s">
        <v>187</v>
      </c>
      <c r="G36" s="108" t="s">
        <v>182</v>
      </c>
      <c r="H36" s="110">
        <v>45944.885416666664</v>
      </c>
      <c r="I36" s="108" t="s">
        <v>297</v>
      </c>
    </row>
    <row r="37" spans="1:9" ht="15" x14ac:dyDescent="0.25">
      <c r="A37" t="str">
        <f t="shared" si="0"/>
        <v>E2025035</v>
      </c>
      <c r="B37" s="108" t="s">
        <v>268</v>
      </c>
      <c r="C37" s="109">
        <v>35</v>
      </c>
      <c r="D37" s="109">
        <v>4</v>
      </c>
      <c r="E37" s="108" t="s">
        <v>269</v>
      </c>
      <c r="F37" s="108" t="s">
        <v>193</v>
      </c>
      <c r="G37" s="108" t="s">
        <v>178</v>
      </c>
      <c r="H37" s="110">
        <v>45944.791666666664</v>
      </c>
      <c r="I37" s="108" t="s">
        <v>298</v>
      </c>
    </row>
    <row r="38" spans="1:9" ht="15" x14ac:dyDescent="0.25">
      <c r="A38" t="str">
        <f t="shared" si="0"/>
        <v>E2025036</v>
      </c>
      <c r="B38" s="108" t="s">
        <v>268</v>
      </c>
      <c r="C38" s="109">
        <v>36</v>
      </c>
      <c r="D38" s="109">
        <v>4</v>
      </c>
      <c r="E38" s="108" t="s">
        <v>269</v>
      </c>
      <c r="F38" s="108" t="s">
        <v>189</v>
      </c>
      <c r="G38" s="108" t="s">
        <v>177</v>
      </c>
      <c r="H38" s="110">
        <v>45945.885416666664</v>
      </c>
      <c r="I38" s="108" t="s">
        <v>299</v>
      </c>
    </row>
    <row r="39" spans="1:9" ht="15" x14ac:dyDescent="0.25">
      <c r="A39" t="str">
        <f t="shared" si="0"/>
        <v>E2025037</v>
      </c>
      <c r="B39" s="108" t="s">
        <v>268</v>
      </c>
      <c r="C39" s="109">
        <v>37</v>
      </c>
      <c r="D39" s="109">
        <v>4</v>
      </c>
      <c r="E39" s="108" t="s">
        <v>269</v>
      </c>
      <c r="F39" s="108" t="s">
        <v>191</v>
      </c>
      <c r="G39" s="108" t="s">
        <v>179</v>
      </c>
      <c r="H39" s="110">
        <v>45945.864583333336</v>
      </c>
      <c r="I39" s="108" t="s">
        <v>300</v>
      </c>
    </row>
    <row r="40" spans="1:9" ht="15" x14ac:dyDescent="0.25">
      <c r="A40" t="str">
        <f t="shared" si="0"/>
        <v>E2025038</v>
      </c>
      <c r="B40" s="108" t="s">
        <v>268</v>
      </c>
      <c r="C40" s="109">
        <v>38</v>
      </c>
      <c r="D40" s="109">
        <v>4</v>
      </c>
      <c r="E40" s="108" t="s">
        <v>269</v>
      </c>
      <c r="F40" s="108" t="s">
        <v>183</v>
      </c>
      <c r="G40" s="108" t="s">
        <v>190</v>
      </c>
      <c r="H40" s="110">
        <v>45945.864583333336</v>
      </c>
      <c r="I40" s="108" t="s">
        <v>300</v>
      </c>
    </row>
    <row r="41" spans="1:9" ht="15" x14ac:dyDescent="0.25">
      <c r="A41" t="str">
        <f t="shared" si="0"/>
        <v>E2025039</v>
      </c>
      <c r="B41" s="108" t="s">
        <v>268</v>
      </c>
      <c r="C41" s="109">
        <v>39</v>
      </c>
      <c r="D41" s="109">
        <v>4</v>
      </c>
      <c r="E41" s="108" t="s">
        <v>269</v>
      </c>
      <c r="F41" s="108" t="s">
        <v>188</v>
      </c>
      <c r="G41" s="108" t="s">
        <v>181</v>
      </c>
      <c r="H41" s="110">
        <v>45945.854166666664</v>
      </c>
      <c r="I41" s="108" t="s">
        <v>301</v>
      </c>
    </row>
    <row r="42" spans="1:9" ht="15" x14ac:dyDescent="0.25">
      <c r="A42" t="str">
        <f t="shared" si="0"/>
        <v>E2025040</v>
      </c>
      <c r="B42" s="108" t="s">
        <v>268</v>
      </c>
      <c r="C42" s="109">
        <v>40</v>
      </c>
      <c r="D42" s="109">
        <v>4</v>
      </c>
      <c r="E42" s="108" t="s">
        <v>269</v>
      </c>
      <c r="F42" s="108" t="s">
        <v>195</v>
      </c>
      <c r="G42" s="108" t="s">
        <v>184</v>
      </c>
      <c r="H42" s="110">
        <v>45945.854166666664</v>
      </c>
      <c r="I42" s="108" t="s">
        <v>301</v>
      </c>
    </row>
    <row r="43" spans="1:9" ht="15" x14ac:dyDescent="0.25">
      <c r="A43" t="str">
        <f t="shared" si="0"/>
        <v>E2025041</v>
      </c>
      <c r="B43" s="108" t="s">
        <v>268</v>
      </c>
      <c r="C43" s="109">
        <v>41</v>
      </c>
      <c r="D43" s="109">
        <v>5</v>
      </c>
      <c r="E43" s="108" t="s">
        <v>269</v>
      </c>
      <c r="F43" s="108" t="s">
        <v>180</v>
      </c>
      <c r="G43" s="108" t="s">
        <v>178</v>
      </c>
      <c r="H43" s="110">
        <v>45946.833333333336</v>
      </c>
      <c r="I43" s="108" t="s">
        <v>302</v>
      </c>
    </row>
    <row r="44" spans="1:9" ht="15" x14ac:dyDescent="0.25">
      <c r="A44" t="str">
        <f t="shared" si="0"/>
        <v>E2025042</v>
      </c>
      <c r="B44" s="108" t="s">
        <v>268</v>
      </c>
      <c r="C44" s="109">
        <v>42</v>
      </c>
      <c r="D44" s="109">
        <v>5</v>
      </c>
      <c r="E44" s="108" t="s">
        <v>269</v>
      </c>
      <c r="F44" s="108" t="s">
        <v>194</v>
      </c>
      <c r="G44" s="108" t="s">
        <v>186</v>
      </c>
      <c r="H44" s="110">
        <v>45946.864583333336</v>
      </c>
      <c r="I44" s="108" t="s">
        <v>303</v>
      </c>
    </row>
    <row r="45" spans="1:9" ht="15" x14ac:dyDescent="0.25">
      <c r="A45" t="str">
        <f t="shared" si="0"/>
        <v>E2025043</v>
      </c>
      <c r="B45" s="108" t="s">
        <v>268</v>
      </c>
      <c r="C45" s="109">
        <v>43</v>
      </c>
      <c r="D45" s="109">
        <v>5</v>
      </c>
      <c r="E45" s="108" t="s">
        <v>269</v>
      </c>
      <c r="F45" s="108" t="s">
        <v>193</v>
      </c>
      <c r="G45" s="108" t="s">
        <v>187</v>
      </c>
      <c r="H45" s="110">
        <v>45946.875</v>
      </c>
      <c r="I45" s="108" t="s">
        <v>304</v>
      </c>
    </row>
    <row r="46" spans="1:9" ht="15" x14ac:dyDescent="0.25">
      <c r="A46" t="str">
        <f t="shared" si="0"/>
        <v>E2025044</v>
      </c>
      <c r="B46" s="108" t="s">
        <v>268</v>
      </c>
      <c r="C46" s="109">
        <v>44</v>
      </c>
      <c r="D46" s="109">
        <v>5</v>
      </c>
      <c r="E46" s="108" t="s">
        <v>269</v>
      </c>
      <c r="F46" s="108" t="s">
        <v>196</v>
      </c>
      <c r="G46" s="108" t="s">
        <v>185</v>
      </c>
      <c r="H46" s="110">
        <v>45946.833333333336</v>
      </c>
      <c r="I46" s="108" t="s">
        <v>305</v>
      </c>
    </row>
    <row r="47" spans="1:9" ht="15" x14ac:dyDescent="0.25">
      <c r="A47" t="str">
        <f t="shared" si="0"/>
        <v>E2025045</v>
      </c>
      <c r="B47" s="108" t="s">
        <v>268</v>
      </c>
      <c r="C47" s="109">
        <v>45</v>
      </c>
      <c r="D47" s="109">
        <v>5</v>
      </c>
      <c r="E47" s="108" t="s">
        <v>269</v>
      </c>
      <c r="F47" s="108" t="s">
        <v>182</v>
      </c>
      <c r="G47" s="108" t="s">
        <v>189</v>
      </c>
      <c r="H47" s="110">
        <v>45947.854166666664</v>
      </c>
      <c r="I47" s="108" t="s">
        <v>306</v>
      </c>
    </row>
    <row r="48" spans="1:9" ht="15" x14ac:dyDescent="0.25">
      <c r="A48" t="str">
        <f t="shared" si="0"/>
        <v>E2025046</v>
      </c>
      <c r="B48" s="108" t="s">
        <v>268</v>
      </c>
      <c r="C48" s="109">
        <v>46</v>
      </c>
      <c r="D48" s="109">
        <v>5</v>
      </c>
      <c r="E48" s="108" t="s">
        <v>269</v>
      </c>
      <c r="F48" s="108" t="s">
        <v>184</v>
      </c>
      <c r="G48" s="108" t="s">
        <v>188</v>
      </c>
      <c r="H48" s="110">
        <v>45947.8125</v>
      </c>
      <c r="I48" s="108" t="s">
        <v>306</v>
      </c>
    </row>
    <row r="49" spans="1:9" ht="15" x14ac:dyDescent="0.25">
      <c r="A49" t="str">
        <f t="shared" si="0"/>
        <v>E2025047</v>
      </c>
      <c r="B49" s="108" t="s">
        <v>268</v>
      </c>
      <c r="C49" s="109">
        <v>47</v>
      </c>
      <c r="D49" s="109">
        <v>5</v>
      </c>
      <c r="E49" s="108" t="s">
        <v>269</v>
      </c>
      <c r="F49" s="108" t="s">
        <v>179</v>
      </c>
      <c r="G49" s="108" t="s">
        <v>190</v>
      </c>
      <c r="H49" s="110">
        <v>45947.864583333336</v>
      </c>
      <c r="I49" s="108" t="s">
        <v>307</v>
      </c>
    </row>
    <row r="50" spans="1:9" ht="15" x14ac:dyDescent="0.25">
      <c r="A50" t="str">
        <f t="shared" si="0"/>
        <v>E2025048</v>
      </c>
      <c r="B50" s="108" t="s">
        <v>268</v>
      </c>
      <c r="C50" s="109">
        <v>48</v>
      </c>
      <c r="D50" s="109">
        <v>5</v>
      </c>
      <c r="E50" s="108" t="s">
        <v>269</v>
      </c>
      <c r="F50" s="108" t="s">
        <v>192</v>
      </c>
      <c r="G50" s="108" t="s">
        <v>183</v>
      </c>
      <c r="H50" s="110">
        <v>45947.791666666664</v>
      </c>
      <c r="I50" s="108" t="s">
        <v>308</v>
      </c>
    </row>
    <row r="51" spans="1:9" ht="15" x14ac:dyDescent="0.25">
      <c r="A51" t="str">
        <f t="shared" si="0"/>
        <v>E2025049</v>
      </c>
      <c r="B51" s="108" t="s">
        <v>268</v>
      </c>
      <c r="C51" s="109">
        <v>49</v>
      </c>
      <c r="D51" s="109">
        <v>5</v>
      </c>
      <c r="E51" s="108" t="s">
        <v>269</v>
      </c>
      <c r="F51" s="108" t="s">
        <v>177</v>
      </c>
      <c r="G51" s="108" t="s">
        <v>195</v>
      </c>
      <c r="H51" s="110">
        <v>45947.833333333336</v>
      </c>
      <c r="I51" s="108" t="s">
        <v>309</v>
      </c>
    </row>
    <row r="52" spans="1:9" ht="15" x14ac:dyDescent="0.25">
      <c r="A52" t="str">
        <f t="shared" si="0"/>
        <v>E2025050</v>
      </c>
      <c r="B52" s="108" t="s">
        <v>268</v>
      </c>
      <c r="C52" s="109">
        <v>50</v>
      </c>
      <c r="D52" s="109">
        <v>5</v>
      </c>
      <c r="E52" s="108" t="s">
        <v>269</v>
      </c>
      <c r="F52" s="108" t="s">
        <v>191</v>
      </c>
      <c r="G52" s="108" t="s">
        <v>181</v>
      </c>
      <c r="H52" s="110">
        <v>45947.864583333336</v>
      </c>
      <c r="I52" s="108" t="s">
        <v>307</v>
      </c>
    </row>
    <row r="53" spans="1:9" ht="15" x14ac:dyDescent="0.25">
      <c r="A53" t="str">
        <f t="shared" si="0"/>
        <v>E2025051</v>
      </c>
      <c r="B53" s="108" t="s">
        <v>268</v>
      </c>
      <c r="C53" s="109">
        <v>51</v>
      </c>
      <c r="D53" s="109">
        <v>6</v>
      </c>
      <c r="E53" s="108" t="s">
        <v>269</v>
      </c>
      <c r="F53" s="108" t="s">
        <v>193</v>
      </c>
      <c r="G53" s="108" t="s">
        <v>183</v>
      </c>
      <c r="H53" s="110">
        <v>45952.836805555555</v>
      </c>
      <c r="I53" s="108" t="s">
        <v>310</v>
      </c>
    </row>
    <row r="54" spans="1:9" ht="15" x14ac:dyDescent="0.25">
      <c r="A54" t="str">
        <f t="shared" si="0"/>
        <v>E2025052</v>
      </c>
      <c r="B54" s="108" t="s">
        <v>268</v>
      </c>
      <c r="C54" s="109">
        <v>52</v>
      </c>
      <c r="D54" s="109">
        <v>6</v>
      </c>
      <c r="E54" s="108" t="s">
        <v>269</v>
      </c>
      <c r="F54" s="108" t="s">
        <v>192</v>
      </c>
      <c r="G54" s="108" t="s">
        <v>179</v>
      </c>
      <c r="H54" s="110">
        <v>45953.875</v>
      </c>
      <c r="I54" s="108" t="s">
        <v>311</v>
      </c>
    </row>
    <row r="55" spans="1:9" ht="15" x14ac:dyDescent="0.25">
      <c r="A55" t="str">
        <f t="shared" si="0"/>
        <v>E2025053</v>
      </c>
      <c r="B55" s="108" t="s">
        <v>268</v>
      </c>
      <c r="C55" s="109">
        <v>53</v>
      </c>
      <c r="D55" s="109">
        <v>6</v>
      </c>
      <c r="E55" s="108" t="s">
        <v>269</v>
      </c>
      <c r="F55" s="108" t="s">
        <v>185</v>
      </c>
      <c r="G55" s="108" t="s">
        <v>188</v>
      </c>
      <c r="H55" s="110">
        <v>45953.854166666664</v>
      </c>
      <c r="I55" s="108" t="s">
        <v>312</v>
      </c>
    </row>
    <row r="56" spans="1:9" ht="15" x14ac:dyDescent="0.25">
      <c r="A56" t="str">
        <f t="shared" si="0"/>
        <v>E2025054</v>
      </c>
      <c r="B56" s="108" t="s">
        <v>268</v>
      </c>
      <c r="C56" s="109">
        <v>54</v>
      </c>
      <c r="D56" s="109">
        <v>6</v>
      </c>
      <c r="E56" s="108" t="s">
        <v>269</v>
      </c>
      <c r="F56" s="108" t="s">
        <v>178</v>
      </c>
      <c r="G56" s="108" t="s">
        <v>196</v>
      </c>
      <c r="H56" s="110">
        <v>45953.854166666664</v>
      </c>
      <c r="I56" s="108" t="s">
        <v>312</v>
      </c>
    </row>
    <row r="57" spans="1:9" ht="15" x14ac:dyDescent="0.25">
      <c r="A57" t="str">
        <f t="shared" si="0"/>
        <v>E2025055</v>
      </c>
      <c r="B57" s="108" t="s">
        <v>268</v>
      </c>
      <c r="C57" s="109">
        <v>55</v>
      </c>
      <c r="D57" s="109">
        <v>6</v>
      </c>
      <c r="E57" s="108" t="s">
        <v>269</v>
      </c>
      <c r="F57" s="108" t="s">
        <v>181</v>
      </c>
      <c r="G57" s="108" t="s">
        <v>184</v>
      </c>
      <c r="H57" s="110">
        <v>45953.878472222219</v>
      </c>
      <c r="I57" s="108" t="s">
        <v>313</v>
      </c>
    </row>
    <row r="58" spans="1:9" ht="15" x14ac:dyDescent="0.25">
      <c r="A58" t="str">
        <f t="shared" si="0"/>
        <v>E2025056</v>
      </c>
      <c r="B58" s="108" t="s">
        <v>268</v>
      </c>
      <c r="C58" s="109">
        <v>56</v>
      </c>
      <c r="D58" s="109">
        <v>6</v>
      </c>
      <c r="E58" s="108" t="s">
        <v>269</v>
      </c>
      <c r="F58" s="108" t="s">
        <v>177</v>
      </c>
      <c r="G58" s="108" t="s">
        <v>180</v>
      </c>
      <c r="H58" s="110">
        <v>45953.8125</v>
      </c>
      <c r="I58" s="108" t="s">
        <v>314</v>
      </c>
    </row>
    <row r="59" spans="1:9" ht="15" x14ac:dyDescent="0.25">
      <c r="A59" t="str">
        <f t="shared" si="0"/>
        <v>E2025057</v>
      </c>
      <c r="B59" s="108" t="s">
        <v>268</v>
      </c>
      <c r="C59" s="109">
        <v>57</v>
      </c>
      <c r="D59" s="109">
        <v>6</v>
      </c>
      <c r="E59" s="108" t="s">
        <v>269</v>
      </c>
      <c r="F59" s="108" t="s">
        <v>182</v>
      </c>
      <c r="G59" s="108" t="s">
        <v>194</v>
      </c>
      <c r="H59" s="110">
        <v>45954.854166666664</v>
      </c>
      <c r="I59" s="108" t="s">
        <v>315</v>
      </c>
    </row>
    <row r="60" spans="1:9" ht="15" x14ac:dyDescent="0.25">
      <c r="A60" t="str">
        <f t="shared" si="0"/>
        <v>E2025058</v>
      </c>
      <c r="B60" s="108" t="s">
        <v>268</v>
      </c>
      <c r="C60" s="109">
        <v>58</v>
      </c>
      <c r="D60" s="109">
        <v>6</v>
      </c>
      <c r="E60" s="108" t="s">
        <v>269</v>
      </c>
      <c r="F60" s="108" t="s">
        <v>186</v>
      </c>
      <c r="G60" s="108" t="s">
        <v>187</v>
      </c>
      <c r="H60" s="110">
        <v>45954.864583333336</v>
      </c>
      <c r="I60" s="108" t="s">
        <v>316</v>
      </c>
    </row>
    <row r="61" spans="1:9" ht="15" x14ac:dyDescent="0.25">
      <c r="A61" t="str">
        <f t="shared" si="0"/>
        <v>E2025059</v>
      </c>
      <c r="B61" s="108" t="s">
        <v>268</v>
      </c>
      <c r="C61" s="109">
        <v>59</v>
      </c>
      <c r="D61" s="109">
        <v>6</v>
      </c>
      <c r="E61" s="108" t="s">
        <v>269</v>
      </c>
      <c r="F61" s="108" t="s">
        <v>190</v>
      </c>
      <c r="G61" s="108" t="s">
        <v>191</v>
      </c>
      <c r="H61" s="110">
        <v>45954.854166666664</v>
      </c>
      <c r="I61" s="108" t="s">
        <v>317</v>
      </c>
    </row>
    <row r="62" spans="1:9" ht="15" x14ac:dyDescent="0.25">
      <c r="A62" t="str">
        <f t="shared" si="0"/>
        <v>E2025060</v>
      </c>
      <c r="B62" s="108" t="s">
        <v>268</v>
      </c>
      <c r="C62" s="109">
        <v>60</v>
      </c>
      <c r="D62" s="109">
        <v>6</v>
      </c>
      <c r="E62" s="108" t="s">
        <v>269</v>
      </c>
      <c r="F62" s="108" t="s">
        <v>195</v>
      </c>
      <c r="G62" s="108" t="s">
        <v>189</v>
      </c>
      <c r="H62" s="110">
        <v>45954.833333333336</v>
      </c>
      <c r="I62" s="108" t="s">
        <v>318</v>
      </c>
    </row>
    <row r="63" spans="1:9" ht="15" x14ac:dyDescent="0.25">
      <c r="A63" t="str">
        <f t="shared" si="0"/>
        <v>E2025061</v>
      </c>
      <c r="B63" s="108" t="s">
        <v>268</v>
      </c>
      <c r="C63" s="109">
        <v>61</v>
      </c>
      <c r="D63" s="109">
        <v>7</v>
      </c>
      <c r="E63" s="108" t="s">
        <v>269</v>
      </c>
      <c r="F63" s="108" t="s">
        <v>179</v>
      </c>
      <c r="G63" s="108" t="s">
        <v>180</v>
      </c>
      <c r="H63" s="110">
        <v>45958.854166666664</v>
      </c>
      <c r="I63" s="108" t="s">
        <v>319</v>
      </c>
    </row>
    <row r="64" spans="1:9" ht="15" x14ac:dyDescent="0.25">
      <c r="A64" t="str">
        <f t="shared" si="0"/>
        <v>E2025062</v>
      </c>
      <c r="B64" s="108" t="s">
        <v>268</v>
      </c>
      <c r="C64" s="109">
        <v>62</v>
      </c>
      <c r="D64" s="109">
        <v>7</v>
      </c>
      <c r="E64" s="108" t="s">
        <v>269</v>
      </c>
      <c r="F64" s="108" t="s">
        <v>192</v>
      </c>
      <c r="G64" s="108" t="s">
        <v>177</v>
      </c>
      <c r="H64" s="110">
        <v>45958.791666666664</v>
      </c>
      <c r="I64" s="108" t="s">
        <v>320</v>
      </c>
    </row>
    <row r="65" spans="1:9" ht="15" x14ac:dyDescent="0.25">
      <c r="A65" t="str">
        <f t="shared" si="0"/>
        <v>E2025063</v>
      </c>
      <c r="B65" s="108" t="s">
        <v>268</v>
      </c>
      <c r="C65" s="109">
        <v>63</v>
      </c>
      <c r="D65" s="109">
        <v>7</v>
      </c>
      <c r="E65" s="108" t="s">
        <v>269</v>
      </c>
      <c r="F65" s="108" t="s">
        <v>178</v>
      </c>
      <c r="G65" s="108" t="s">
        <v>185</v>
      </c>
      <c r="H65" s="110">
        <v>45958.854166666664</v>
      </c>
      <c r="I65" s="108" t="s">
        <v>319</v>
      </c>
    </row>
    <row r="66" spans="1:9" ht="15" x14ac:dyDescent="0.25">
      <c r="A66" t="str">
        <f t="shared" si="0"/>
        <v>E2025064</v>
      </c>
      <c r="B66" s="108" t="s">
        <v>268</v>
      </c>
      <c r="C66" s="109">
        <v>64</v>
      </c>
      <c r="D66" s="109">
        <v>7</v>
      </c>
      <c r="E66" s="108" t="s">
        <v>269</v>
      </c>
      <c r="F66" s="108" t="s">
        <v>186</v>
      </c>
      <c r="G66" s="108" t="s">
        <v>183</v>
      </c>
      <c r="H66" s="110">
        <v>45958.833333333336</v>
      </c>
      <c r="I66" s="108" t="s">
        <v>321</v>
      </c>
    </row>
    <row r="67" spans="1:9" ht="15" x14ac:dyDescent="0.25">
      <c r="A67" t="str">
        <f t="shared" si="0"/>
        <v>E2025065</v>
      </c>
      <c r="B67" s="108" t="s">
        <v>268</v>
      </c>
      <c r="C67" s="109">
        <v>65</v>
      </c>
      <c r="D67" s="109">
        <v>7</v>
      </c>
      <c r="E67" s="108" t="s">
        <v>269</v>
      </c>
      <c r="F67" s="108" t="s">
        <v>189</v>
      </c>
      <c r="G67" s="108" t="s">
        <v>193</v>
      </c>
      <c r="H67" s="110">
        <v>45958.885416666664</v>
      </c>
      <c r="I67" s="108" t="s">
        <v>322</v>
      </c>
    </row>
    <row r="68" spans="1:9" ht="15" x14ac:dyDescent="0.25">
      <c r="A68" t="str">
        <f t="shared" ref="A68:A131" si="1">B68&amp;TEXT(C68,"000")</f>
        <v>E2025066</v>
      </c>
      <c r="B68" s="108" t="s">
        <v>268</v>
      </c>
      <c r="C68" s="109">
        <v>66</v>
      </c>
      <c r="D68" s="109">
        <v>7</v>
      </c>
      <c r="E68" s="108" t="s">
        <v>269</v>
      </c>
      <c r="F68" s="108" t="s">
        <v>191</v>
      </c>
      <c r="G68" s="108" t="s">
        <v>182</v>
      </c>
      <c r="H68" s="110">
        <v>45958.864583333336</v>
      </c>
      <c r="I68" s="108" t="s">
        <v>323</v>
      </c>
    </row>
    <row r="69" spans="1:9" ht="15" x14ac:dyDescent="0.25">
      <c r="A69" t="str">
        <f t="shared" si="1"/>
        <v>E2025067</v>
      </c>
      <c r="B69" s="108" t="s">
        <v>268</v>
      </c>
      <c r="C69" s="109">
        <v>67</v>
      </c>
      <c r="D69" s="109">
        <v>7</v>
      </c>
      <c r="E69" s="108" t="s">
        <v>269</v>
      </c>
      <c r="F69" s="108" t="s">
        <v>188</v>
      </c>
      <c r="G69" s="108" t="s">
        <v>194</v>
      </c>
      <c r="H69" s="110">
        <v>45958.875</v>
      </c>
      <c r="I69" s="108" t="s">
        <v>324</v>
      </c>
    </row>
    <row r="70" spans="1:9" ht="15" x14ac:dyDescent="0.25">
      <c r="A70" t="str">
        <f t="shared" si="1"/>
        <v>E2025068</v>
      </c>
      <c r="B70" s="108" t="s">
        <v>268</v>
      </c>
      <c r="C70" s="109">
        <v>68</v>
      </c>
      <c r="D70" s="109">
        <v>7</v>
      </c>
      <c r="E70" s="108" t="s">
        <v>269</v>
      </c>
      <c r="F70" s="108" t="s">
        <v>196</v>
      </c>
      <c r="G70" s="108" t="s">
        <v>195</v>
      </c>
      <c r="H70" s="110">
        <v>45958.833333333336</v>
      </c>
      <c r="I70" s="108" t="s">
        <v>320</v>
      </c>
    </row>
    <row r="71" spans="1:9" ht="15" x14ac:dyDescent="0.25">
      <c r="A71" t="str">
        <f t="shared" si="1"/>
        <v>E2025069</v>
      </c>
      <c r="B71" s="108" t="s">
        <v>268</v>
      </c>
      <c r="C71" s="109">
        <v>69</v>
      </c>
      <c r="D71" s="109">
        <v>7</v>
      </c>
      <c r="E71" s="108" t="s">
        <v>269</v>
      </c>
      <c r="F71" s="108" t="s">
        <v>181</v>
      </c>
      <c r="G71" s="108" t="s">
        <v>190</v>
      </c>
      <c r="H71" s="110">
        <v>45959.833333333336</v>
      </c>
      <c r="I71" s="108" t="s">
        <v>325</v>
      </c>
    </row>
    <row r="72" spans="1:9" ht="15" x14ac:dyDescent="0.25">
      <c r="A72" t="str">
        <f t="shared" si="1"/>
        <v>E2025070</v>
      </c>
      <c r="B72" s="108" t="s">
        <v>268</v>
      </c>
      <c r="C72" s="109">
        <v>70</v>
      </c>
      <c r="D72" s="109">
        <v>7</v>
      </c>
      <c r="E72" s="108" t="s">
        <v>269</v>
      </c>
      <c r="F72" s="108" t="s">
        <v>187</v>
      </c>
      <c r="G72" s="108" t="s">
        <v>184</v>
      </c>
      <c r="H72" s="110">
        <v>45959.885416666664</v>
      </c>
      <c r="I72" s="108" t="s">
        <v>326</v>
      </c>
    </row>
    <row r="73" spans="1:9" ht="15" x14ac:dyDescent="0.25">
      <c r="A73" t="str">
        <f t="shared" si="1"/>
        <v>E2025071</v>
      </c>
      <c r="B73" s="108" t="s">
        <v>268</v>
      </c>
      <c r="C73" s="109">
        <v>71</v>
      </c>
      <c r="D73" s="109">
        <v>8</v>
      </c>
      <c r="E73" s="108" t="s">
        <v>269</v>
      </c>
      <c r="F73" s="108" t="s">
        <v>185</v>
      </c>
      <c r="G73" s="108" t="s">
        <v>191</v>
      </c>
      <c r="H73" s="110">
        <v>45960.854166666664</v>
      </c>
      <c r="I73" s="108" t="s">
        <v>327</v>
      </c>
    </row>
    <row r="74" spans="1:9" ht="15" x14ac:dyDescent="0.25">
      <c r="A74" t="str">
        <f t="shared" si="1"/>
        <v>E2025072</v>
      </c>
      <c r="B74" s="108" t="s">
        <v>268</v>
      </c>
      <c r="C74" s="109">
        <v>72</v>
      </c>
      <c r="D74" s="109">
        <v>8</v>
      </c>
      <c r="E74" s="108" t="s">
        <v>269</v>
      </c>
      <c r="F74" s="108" t="s">
        <v>186</v>
      </c>
      <c r="G74" s="108" t="s">
        <v>195</v>
      </c>
      <c r="H74" s="110">
        <v>45960.854166666664</v>
      </c>
      <c r="I74" s="108" t="s">
        <v>327</v>
      </c>
    </row>
    <row r="75" spans="1:9" ht="15" x14ac:dyDescent="0.25">
      <c r="A75" t="str">
        <f t="shared" si="1"/>
        <v>E2025073</v>
      </c>
      <c r="B75" s="108" t="s">
        <v>268</v>
      </c>
      <c r="C75" s="109">
        <v>73</v>
      </c>
      <c r="D75" s="109">
        <v>8</v>
      </c>
      <c r="E75" s="108" t="s">
        <v>269</v>
      </c>
      <c r="F75" s="108" t="s">
        <v>193</v>
      </c>
      <c r="G75" s="108" t="s">
        <v>192</v>
      </c>
      <c r="H75" s="110">
        <v>45960.836805555555</v>
      </c>
      <c r="I75" s="108" t="s">
        <v>328</v>
      </c>
    </row>
    <row r="76" spans="1:9" ht="15" x14ac:dyDescent="0.25">
      <c r="A76" t="str">
        <f t="shared" si="1"/>
        <v>E2025074</v>
      </c>
      <c r="B76" s="108" t="s">
        <v>268</v>
      </c>
      <c r="C76" s="109">
        <v>74</v>
      </c>
      <c r="D76" s="109">
        <v>8</v>
      </c>
      <c r="E76" s="108" t="s">
        <v>269</v>
      </c>
      <c r="F76" s="108" t="s">
        <v>183</v>
      </c>
      <c r="G76" s="108" t="s">
        <v>194</v>
      </c>
      <c r="H76" s="110">
        <v>45960.875</v>
      </c>
      <c r="I76" s="108" t="s">
        <v>329</v>
      </c>
    </row>
    <row r="77" spans="1:9" ht="15" x14ac:dyDescent="0.25">
      <c r="A77" t="str">
        <f t="shared" si="1"/>
        <v>E2025075</v>
      </c>
      <c r="B77" s="108" t="s">
        <v>268</v>
      </c>
      <c r="C77" s="109">
        <v>75</v>
      </c>
      <c r="D77" s="109">
        <v>8</v>
      </c>
      <c r="E77" s="108" t="s">
        <v>269</v>
      </c>
      <c r="F77" s="108" t="s">
        <v>188</v>
      </c>
      <c r="G77" s="108" t="s">
        <v>180</v>
      </c>
      <c r="H77" s="110">
        <v>45960.854166666664</v>
      </c>
      <c r="I77" s="108" t="s">
        <v>327</v>
      </c>
    </row>
    <row r="78" spans="1:9" ht="15" x14ac:dyDescent="0.25">
      <c r="A78" t="str">
        <f t="shared" si="1"/>
        <v>E2025076</v>
      </c>
      <c r="B78" s="108" t="s">
        <v>268</v>
      </c>
      <c r="C78" s="109">
        <v>76</v>
      </c>
      <c r="D78" s="109">
        <v>8</v>
      </c>
      <c r="E78" s="108" t="s">
        <v>269</v>
      </c>
      <c r="F78" s="108" t="s">
        <v>196</v>
      </c>
      <c r="G78" s="108" t="s">
        <v>177</v>
      </c>
      <c r="H78" s="110">
        <v>45960.833333333336</v>
      </c>
      <c r="I78" s="108" t="s">
        <v>330</v>
      </c>
    </row>
    <row r="79" spans="1:9" ht="15" x14ac:dyDescent="0.25">
      <c r="A79" t="str">
        <f t="shared" si="1"/>
        <v>E2025077</v>
      </c>
      <c r="B79" s="108" t="s">
        <v>268</v>
      </c>
      <c r="C79" s="109">
        <v>77</v>
      </c>
      <c r="D79" s="109">
        <v>8</v>
      </c>
      <c r="E79" s="108" t="s">
        <v>269</v>
      </c>
      <c r="F79" s="108" t="s">
        <v>184</v>
      </c>
      <c r="G79" s="108" t="s">
        <v>189</v>
      </c>
      <c r="H79" s="110">
        <v>45961.791666666664</v>
      </c>
      <c r="I79" s="108" t="s">
        <v>331</v>
      </c>
    </row>
    <row r="80" spans="1:9" ht="15" x14ac:dyDescent="0.25">
      <c r="A80" t="str">
        <f t="shared" si="1"/>
        <v>E2025078</v>
      </c>
      <c r="B80" s="108" t="s">
        <v>268</v>
      </c>
      <c r="C80" s="109">
        <v>78</v>
      </c>
      <c r="D80" s="109">
        <v>8</v>
      </c>
      <c r="E80" s="108" t="s">
        <v>269</v>
      </c>
      <c r="F80" s="108" t="s">
        <v>179</v>
      </c>
      <c r="G80" s="108" t="s">
        <v>182</v>
      </c>
      <c r="H80" s="110">
        <v>45961.854166666664</v>
      </c>
      <c r="I80" s="108" t="s">
        <v>332</v>
      </c>
    </row>
    <row r="81" spans="1:9" ht="15" x14ac:dyDescent="0.25">
      <c r="A81" t="str">
        <f t="shared" si="1"/>
        <v>E2025079</v>
      </c>
      <c r="B81" s="108" t="s">
        <v>268</v>
      </c>
      <c r="C81" s="109">
        <v>79</v>
      </c>
      <c r="D81" s="109">
        <v>8</v>
      </c>
      <c r="E81" s="108" t="s">
        <v>269</v>
      </c>
      <c r="F81" s="108" t="s">
        <v>187</v>
      </c>
      <c r="G81" s="108" t="s">
        <v>181</v>
      </c>
      <c r="H81" s="110">
        <v>45961.885416666664</v>
      </c>
      <c r="I81" s="108" t="s">
        <v>333</v>
      </c>
    </row>
    <row r="82" spans="1:9" ht="15" x14ac:dyDescent="0.25">
      <c r="A82" t="str">
        <f t="shared" si="1"/>
        <v>E2025080</v>
      </c>
      <c r="B82" s="108" t="s">
        <v>268</v>
      </c>
      <c r="C82" s="109">
        <v>80</v>
      </c>
      <c r="D82" s="109">
        <v>8</v>
      </c>
      <c r="E82" s="108" t="s">
        <v>269</v>
      </c>
      <c r="F82" s="108" t="s">
        <v>190</v>
      </c>
      <c r="G82" s="108" t="s">
        <v>178</v>
      </c>
      <c r="H82" s="110">
        <v>45961.854166666664</v>
      </c>
      <c r="I82" s="108" t="s">
        <v>332</v>
      </c>
    </row>
    <row r="83" spans="1:9" ht="15" x14ac:dyDescent="0.25">
      <c r="A83" t="str">
        <f t="shared" si="1"/>
        <v>E2025081</v>
      </c>
      <c r="B83" s="108" t="s">
        <v>268</v>
      </c>
      <c r="C83" s="109">
        <v>81</v>
      </c>
      <c r="D83" s="109">
        <v>9</v>
      </c>
      <c r="E83" s="108" t="s">
        <v>269</v>
      </c>
      <c r="F83" s="108" t="s">
        <v>191</v>
      </c>
      <c r="G83" s="108" t="s">
        <v>186</v>
      </c>
      <c r="H83" s="110">
        <v>45967.864583333336</v>
      </c>
      <c r="I83" s="108" t="s">
        <v>334</v>
      </c>
    </row>
    <row r="84" spans="1:9" ht="15" x14ac:dyDescent="0.25">
      <c r="A84" t="str">
        <f t="shared" si="1"/>
        <v>E2025082</v>
      </c>
      <c r="B84" s="108" t="s">
        <v>268</v>
      </c>
      <c r="C84" s="109">
        <v>82</v>
      </c>
      <c r="D84" s="109">
        <v>9</v>
      </c>
      <c r="E84" s="108" t="s">
        <v>269</v>
      </c>
      <c r="F84" s="108" t="s">
        <v>179</v>
      </c>
      <c r="G84" s="108" t="s">
        <v>195</v>
      </c>
      <c r="H84" s="110">
        <v>45967.854166666664</v>
      </c>
      <c r="I84" s="108" t="s">
        <v>335</v>
      </c>
    </row>
    <row r="85" spans="1:9" ht="15" x14ac:dyDescent="0.25">
      <c r="A85" t="str">
        <f t="shared" si="1"/>
        <v>E2025083</v>
      </c>
      <c r="B85" s="108" t="s">
        <v>268</v>
      </c>
      <c r="C85" s="109">
        <v>83</v>
      </c>
      <c r="D85" s="109">
        <v>9</v>
      </c>
      <c r="E85" s="108" t="s">
        <v>269</v>
      </c>
      <c r="F85" s="108" t="s">
        <v>192</v>
      </c>
      <c r="G85" s="108" t="s">
        <v>189</v>
      </c>
      <c r="H85" s="110">
        <v>45967.833333333336</v>
      </c>
      <c r="I85" s="108" t="s">
        <v>336</v>
      </c>
    </row>
    <row r="86" spans="1:9" ht="15" x14ac:dyDescent="0.25">
      <c r="A86" t="str">
        <f t="shared" si="1"/>
        <v>E2025084</v>
      </c>
      <c r="B86" s="108" t="s">
        <v>268</v>
      </c>
      <c r="C86" s="109">
        <v>84</v>
      </c>
      <c r="D86" s="109">
        <v>9</v>
      </c>
      <c r="E86" s="108" t="s">
        <v>269</v>
      </c>
      <c r="F86" s="108" t="s">
        <v>180</v>
      </c>
      <c r="G86" s="108" t="s">
        <v>181</v>
      </c>
      <c r="H86" s="110">
        <v>45967.833333333336</v>
      </c>
      <c r="I86" s="108" t="s">
        <v>337</v>
      </c>
    </row>
    <row r="87" spans="1:9" ht="15" x14ac:dyDescent="0.25">
      <c r="A87" t="str">
        <f t="shared" si="1"/>
        <v>E2025085</v>
      </c>
      <c r="B87" s="108" t="s">
        <v>268</v>
      </c>
      <c r="C87" s="109">
        <v>85</v>
      </c>
      <c r="D87" s="109">
        <v>9</v>
      </c>
      <c r="E87" s="108" t="s">
        <v>269</v>
      </c>
      <c r="F87" s="108" t="s">
        <v>194</v>
      </c>
      <c r="G87" s="108" t="s">
        <v>177</v>
      </c>
      <c r="H87" s="110">
        <v>45967.864583333336</v>
      </c>
      <c r="I87" s="108" t="s">
        <v>338</v>
      </c>
    </row>
    <row r="88" spans="1:9" ht="15" x14ac:dyDescent="0.25">
      <c r="A88" t="str">
        <f t="shared" si="1"/>
        <v>E2025086</v>
      </c>
      <c r="B88" s="108" t="s">
        <v>268</v>
      </c>
      <c r="C88" s="109">
        <v>86</v>
      </c>
      <c r="D88" s="109">
        <v>9</v>
      </c>
      <c r="E88" s="108" t="s">
        <v>269</v>
      </c>
      <c r="F88" s="108" t="s">
        <v>193</v>
      </c>
      <c r="G88" s="108" t="s">
        <v>184</v>
      </c>
      <c r="H88" s="110">
        <v>45967.836805555555</v>
      </c>
      <c r="I88" s="108" t="s">
        <v>339</v>
      </c>
    </row>
    <row r="89" spans="1:9" ht="15" x14ac:dyDescent="0.25">
      <c r="A89" t="str">
        <f t="shared" si="1"/>
        <v>E2025087</v>
      </c>
      <c r="B89" s="108" t="s">
        <v>268</v>
      </c>
      <c r="C89" s="109">
        <v>87</v>
      </c>
      <c r="D89" s="109">
        <v>9</v>
      </c>
      <c r="E89" s="108" t="s">
        <v>269</v>
      </c>
      <c r="F89" s="108" t="s">
        <v>182</v>
      </c>
      <c r="G89" s="108" t="s">
        <v>185</v>
      </c>
      <c r="H89" s="110">
        <v>45968.854166666664</v>
      </c>
      <c r="I89" s="108" t="s">
        <v>340</v>
      </c>
    </row>
    <row r="90" spans="1:9" ht="15" x14ac:dyDescent="0.25">
      <c r="A90" t="str">
        <f t="shared" si="1"/>
        <v>E2025088</v>
      </c>
      <c r="B90" s="108" t="s">
        <v>268</v>
      </c>
      <c r="C90" s="109">
        <v>88</v>
      </c>
      <c r="D90" s="109">
        <v>9</v>
      </c>
      <c r="E90" s="108" t="s">
        <v>269</v>
      </c>
      <c r="F90" s="108" t="s">
        <v>178</v>
      </c>
      <c r="G90" s="108" t="s">
        <v>183</v>
      </c>
      <c r="H90" s="110">
        <v>45968.854166666664</v>
      </c>
      <c r="I90" s="108" t="s">
        <v>341</v>
      </c>
    </row>
    <row r="91" spans="1:9" ht="15" x14ac:dyDescent="0.25">
      <c r="A91" t="str">
        <f t="shared" si="1"/>
        <v>E2025089</v>
      </c>
      <c r="B91" s="108" t="s">
        <v>268</v>
      </c>
      <c r="C91" s="109">
        <v>89</v>
      </c>
      <c r="D91" s="109">
        <v>9</v>
      </c>
      <c r="E91" s="108" t="s">
        <v>269</v>
      </c>
      <c r="F91" s="108" t="s">
        <v>187</v>
      </c>
      <c r="G91" s="108" t="s">
        <v>190</v>
      </c>
      <c r="H91" s="110">
        <v>45968.885416666664</v>
      </c>
      <c r="I91" s="108" t="s">
        <v>342</v>
      </c>
    </row>
    <row r="92" spans="1:9" ht="15" x14ac:dyDescent="0.25">
      <c r="A92" t="str">
        <f t="shared" si="1"/>
        <v>E2025090</v>
      </c>
      <c r="B92" s="108" t="s">
        <v>268</v>
      </c>
      <c r="C92" s="109">
        <v>90</v>
      </c>
      <c r="D92" s="109">
        <v>9</v>
      </c>
      <c r="E92" s="108" t="s">
        <v>269</v>
      </c>
      <c r="F92" s="108" t="s">
        <v>196</v>
      </c>
      <c r="G92" s="108" t="s">
        <v>188</v>
      </c>
      <c r="H92" s="110">
        <v>45968.833333333336</v>
      </c>
      <c r="I92" s="108" t="s">
        <v>343</v>
      </c>
    </row>
    <row r="93" spans="1:9" ht="15" x14ac:dyDescent="0.25">
      <c r="A93" t="str">
        <f t="shared" si="1"/>
        <v>E2025091</v>
      </c>
      <c r="B93" s="108" t="s">
        <v>268</v>
      </c>
      <c r="C93" s="109">
        <v>91</v>
      </c>
      <c r="D93" s="109">
        <v>10</v>
      </c>
      <c r="E93" s="108" t="s">
        <v>269</v>
      </c>
      <c r="F93" s="108" t="s">
        <v>194</v>
      </c>
      <c r="G93" s="108" t="s">
        <v>193</v>
      </c>
      <c r="H93" s="110">
        <v>45972.864583333336</v>
      </c>
      <c r="I93" s="108" t="s">
        <v>344</v>
      </c>
    </row>
    <row r="94" spans="1:9" ht="15" x14ac:dyDescent="0.25">
      <c r="A94" t="str">
        <f t="shared" si="1"/>
        <v>E2025092</v>
      </c>
      <c r="B94" s="108" t="s">
        <v>268</v>
      </c>
      <c r="C94" s="109">
        <v>92</v>
      </c>
      <c r="D94" s="109">
        <v>10</v>
      </c>
      <c r="E94" s="108" t="s">
        <v>269</v>
      </c>
      <c r="F94" s="108" t="s">
        <v>181</v>
      </c>
      <c r="G94" s="108" t="s">
        <v>179</v>
      </c>
      <c r="H94" s="110">
        <v>45972.878472222219</v>
      </c>
      <c r="I94" s="108" t="s">
        <v>345</v>
      </c>
    </row>
    <row r="95" spans="1:9" ht="15" x14ac:dyDescent="0.25">
      <c r="A95" t="str">
        <f t="shared" si="1"/>
        <v>E2025093</v>
      </c>
      <c r="B95" s="108" t="s">
        <v>268</v>
      </c>
      <c r="C95" s="109">
        <v>93</v>
      </c>
      <c r="D95" s="109">
        <v>10</v>
      </c>
      <c r="E95" s="108" t="s">
        <v>269</v>
      </c>
      <c r="F95" s="108" t="s">
        <v>191</v>
      </c>
      <c r="G95" s="108" t="s">
        <v>189</v>
      </c>
      <c r="H95" s="110">
        <v>45972.864583333336</v>
      </c>
      <c r="I95" s="108" t="s">
        <v>346</v>
      </c>
    </row>
    <row r="96" spans="1:9" ht="15" x14ac:dyDescent="0.25">
      <c r="A96" t="str">
        <f t="shared" si="1"/>
        <v>E2025094</v>
      </c>
      <c r="B96" s="108" t="s">
        <v>268</v>
      </c>
      <c r="C96" s="109">
        <v>94</v>
      </c>
      <c r="D96" s="109">
        <v>10</v>
      </c>
      <c r="E96" s="108" t="s">
        <v>269</v>
      </c>
      <c r="F96" s="108" t="s">
        <v>188</v>
      </c>
      <c r="G96" s="108" t="s">
        <v>183</v>
      </c>
      <c r="H96" s="110">
        <v>45972.854166666664</v>
      </c>
      <c r="I96" s="108" t="s">
        <v>347</v>
      </c>
    </row>
    <row r="97" spans="1:9" ht="15" x14ac:dyDescent="0.25">
      <c r="A97" t="str">
        <f t="shared" si="1"/>
        <v>E2025095</v>
      </c>
      <c r="B97" s="108" t="s">
        <v>268</v>
      </c>
      <c r="C97" s="109">
        <v>95</v>
      </c>
      <c r="D97" s="109">
        <v>10</v>
      </c>
      <c r="E97" s="108" t="s">
        <v>269</v>
      </c>
      <c r="F97" s="108" t="s">
        <v>195</v>
      </c>
      <c r="G97" s="108" t="s">
        <v>182</v>
      </c>
      <c r="H97" s="110">
        <v>45972.854166666664</v>
      </c>
      <c r="I97" s="108" t="s">
        <v>347</v>
      </c>
    </row>
    <row r="98" spans="1:9" ht="15" x14ac:dyDescent="0.25">
      <c r="A98" t="str">
        <f t="shared" si="1"/>
        <v>E2025096</v>
      </c>
      <c r="B98" s="108" t="s">
        <v>268</v>
      </c>
      <c r="C98" s="109">
        <v>96</v>
      </c>
      <c r="D98" s="109">
        <v>10</v>
      </c>
      <c r="E98" s="108" t="s">
        <v>269</v>
      </c>
      <c r="F98" s="108" t="s">
        <v>180</v>
      </c>
      <c r="G98" s="108" t="s">
        <v>192</v>
      </c>
      <c r="H98" s="110">
        <v>45972.833333333336</v>
      </c>
      <c r="I98" s="108" t="s">
        <v>348</v>
      </c>
    </row>
    <row r="99" spans="1:9" ht="15" x14ac:dyDescent="0.25">
      <c r="A99" t="str">
        <f t="shared" si="1"/>
        <v>E2025097</v>
      </c>
      <c r="B99" s="108" t="s">
        <v>268</v>
      </c>
      <c r="C99" s="109">
        <v>97</v>
      </c>
      <c r="D99" s="109">
        <v>10</v>
      </c>
      <c r="E99" s="108" t="s">
        <v>269</v>
      </c>
      <c r="F99" s="108" t="s">
        <v>190</v>
      </c>
      <c r="G99" s="108" t="s">
        <v>184</v>
      </c>
      <c r="H99" s="110">
        <v>45972.854166666664</v>
      </c>
      <c r="I99" s="108" t="s">
        <v>347</v>
      </c>
    </row>
    <row r="100" spans="1:9" ht="15" x14ac:dyDescent="0.25">
      <c r="A100" t="str">
        <f t="shared" si="1"/>
        <v>E2025098</v>
      </c>
      <c r="B100" s="108" t="s">
        <v>268</v>
      </c>
      <c r="C100" s="109">
        <v>98</v>
      </c>
      <c r="D100" s="109">
        <v>10</v>
      </c>
      <c r="E100" s="108" t="s">
        <v>269</v>
      </c>
      <c r="F100" s="108" t="s">
        <v>185</v>
      </c>
      <c r="G100" s="108" t="s">
        <v>177</v>
      </c>
      <c r="H100" s="110">
        <v>45973.854166666664</v>
      </c>
      <c r="I100" s="108" t="s">
        <v>349</v>
      </c>
    </row>
    <row r="101" spans="1:9" ht="15" x14ac:dyDescent="0.25">
      <c r="A101" t="str">
        <f t="shared" si="1"/>
        <v>E2025099</v>
      </c>
      <c r="B101" s="108" t="s">
        <v>268</v>
      </c>
      <c r="C101" s="109">
        <v>99</v>
      </c>
      <c r="D101" s="109">
        <v>10</v>
      </c>
      <c r="E101" s="108" t="s">
        <v>269</v>
      </c>
      <c r="F101" s="108" t="s">
        <v>186</v>
      </c>
      <c r="G101" s="108" t="s">
        <v>178</v>
      </c>
      <c r="H101" s="110">
        <v>45973.854166666664</v>
      </c>
      <c r="I101" s="108" t="s">
        <v>349</v>
      </c>
    </row>
    <row r="102" spans="1:9" ht="15" x14ac:dyDescent="0.25">
      <c r="A102" t="str">
        <f t="shared" si="1"/>
        <v>E2025100</v>
      </c>
      <c r="B102" s="108" t="s">
        <v>268</v>
      </c>
      <c r="C102" s="109">
        <v>100</v>
      </c>
      <c r="D102" s="109">
        <v>10</v>
      </c>
      <c r="E102" s="108" t="s">
        <v>269</v>
      </c>
      <c r="F102" s="108" t="s">
        <v>187</v>
      </c>
      <c r="G102" s="108" t="s">
        <v>196</v>
      </c>
      <c r="H102" s="110">
        <v>45973.885416666664</v>
      </c>
      <c r="I102" s="108" t="s">
        <v>350</v>
      </c>
    </row>
    <row r="103" spans="1:9" ht="15" x14ac:dyDescent="0.25">
      <c r="A103" t="str">
        <f t="shared" si="1"/>
        <v>E2025101</v>
      </c>
      <c r="B103" s="108" t="s">
        <v>268</v>
      </c>
      <c r="C103" s="109">
        <v>101</v>
      </c>
      <c r="D103" s="109">
        <v>11</v>
      </c>
      <c r="E103" s="108" t="s">
        <v>269</v>
      </c>
      <c r="F103" s="108" t="s">
        <v>194</v>
      </c>
      <c r="G103" s="108" t="s">
        <v>181</v>
      </c>
      <c r="H103" s="110">
        <v>45974.864583333336</v>
      </c>
      <c r="I103" s="108" t="s">
        <v>351</v>
      </c>
    </row>
    <row r="104" spans="1:9" ht="15" x14ac:dyDescent="0.25">
      <c r="A104" t="str">
        <f t="shared" si="1"/>
        <v>E2025102</v>
      </c>
      <c r="B104" s="108" t="s">
        <v>268</v>
      </c>
      <c r="C104" s="109">
        <v>102</v>
      </c>
      <c r="D104" s="109">
        <v>11</v>
      </c>
      <c r="E104" s="108" t="s">
        <v>269</v>
      </c>
      <c r="F104" s="108" t="s">
        <v>193</v>
      </c>
      <c r="G104" s="108" t="s">
        <v>179</v>
      </c>
      <c r="H104" s="110">
        <v>45974.854166666664</v>
      </c>
      <c r="I104" s="108" t="s">
        <v>352</v>
      </c>
    </row>
    <row r="105" spans="1:9" ht="15" x14ac:dyDescent="0.25">
      <c r="A105" t="str">
        <f t="shared" si="1"/>
        <v>E2025103</v>
      </c>
      <c r="B105" s="108" t="s">
        <v>268</v>
      </c>
      <c r="C105" s="109">
        <v>103</v>
      </c>
      <c r="D105" s="109">
        <v>11</v>
      </c>
      <c r="E105" s="108" t="s">
        <v>269</v>
      </c>
      <c r="F105" s="108" t="s">
        <v>191</v>
      </c>
      <c r="G105" s="108" t="s">
        <v>188</v>
      </c>
      <c r="H105" s="110">
        <v>45974.864583333336</v>
      </c>
      <c r="I105" s="108" t="s">
        <v>353</v>
      </c>
    </row>
    <row r="106" spans="1:9" ht="15" x14ac:dyDescent="0.25">
      <c r="A106" t="str">
        <f t="shared" si="1"/>
        <v>E2025104</v>
      </c>
      <c r="B106" s="108" t="s">
        <v>268</v>
      </c>
      <c r="C106" s="109">
        <v>104</v>
      </c>
      <c r="D106" s="109">
        <v>11</v>
      </c>
      <c r="E106" s="108" t="s">
        <v>269</v>
      </c>
      <c r="F106" s="108" t="s">
        <v>183</v>
      </c>
      <c r="G106" s="108" t="s">
        <v>189</v>
      </c>
      <c r="H106" s="110">
        <v>45974.864583333336</v>
      </c>
      <c r="I106" s="108" t="s">
        <v>353</v>
      </c>
    </row>
    <row r="107" spans="1:9" ht="15" x14ac:dyDescent="0.25">
      <c r="A107" t="str">
        <f t="shared" si="1"/>
        <v>E2025105</v>
      </c>
      <c r="B107" s="108" t="s">
        <v>268</v>
      </c>
      <c r="C107" s="109">
        <v>105</v>
      </c>
      <c r="D107" s="109">
        <v>11</v>
      </c>
      <c r="E107" s="108" t="s">
        <v>269</v>
      </c>
      <c r="F107" s="108" t="s">
        <v>192</v>
      </c>
      <c r="G107" s="108" t="s">
        <v>184</v>
      </c>
      <c r="H107" s="110">
        <v>45974.833333333336</v>
      </c>
      <c r="I107" s="108" t="s">
        <v>354</v>
      </c>
    </row>
    <row r="108" spans="1:9" ht="15" x14ac:dyDescent="0.25">
      <c r="A108" t="str">
        <f t="shared" si="1"/>
        <v>E2025106</v>
      </c>
      <c r="B108" s="108" t="s">
        <v>268</v>
      </c>
      <c r="C108" s="109">
        <v>106</v>
      </c>
      <c r="D108" s="109">
        <v>11</v>
      </c>
      <c r="E108" s="108" t="s">
        <v>269</v>
      </c>
      <c r="F108" s="108" t="s">
        <v>182</v>
      </c>
      <c r="G108" s="108" t="s">
        <v>186</v>
      </c>
      <c r="H108" s="110">
        <v>45975.854166666664</v>
      </c>
      <c r="I108" s="108" t="s">
        <v>355</v>
      </c>
    </row>
    <row r="109" spans="1:9" ht="15" x14ac:dyDescent="0.25">
      <c r="A109" t="str">
        <f t="shared" si="1"/>
        <v>E2025107</v>
      </c>
      <c r="B109" s="108" t="s">
        <v>268</v>
      </c>
      <c r="C109" s="109">
        <v>107</v>
      </c>
      <c r="D109" s="109">
        <v>11</v>
      </c>
      <c r="E109" s="108" t="s">
        <v>269</v>
      </c>
      <c r="F109" s="108" t="s">
        <v>180</v>
      </c>
      <c r="G109" s="108" t="s">
        <v>196</v>
      </c>
      <c r="H109" s="110">
        <v>45975.833333333336</v>
      </c>
      <c r="I109" s="108" t="s">
        <v>356</v>
      </c>
    </row>
    <row r="110" spans="1:9" ht="15" x14ac:dyDescent="0.25">
      <c r="A110" t="str">
        <f t="shared" si="1"/>
        <v>E2025108</v>
      </c>
      <c r="B110" s="108" t="s">
        <v>268</v>
      </c>
      <c r="C110" s="109">
        <v>108</v>
      </c>
      <c r="D110" s="109">
        <v>11</v>
      </c>
      <c r="E110" s="108" t="s">
        <v>269</v>
      </c>
      <c r="F110" s="108" t="s">
        <v>185</v>
      </c>
      <c r="G110" s="108" t="s">
        <v>187</v>
      </c>
      <c r="H110" s="110">
        <v>45975.854166666664</v>
      </c>
      <c r="I110" s="108" t="s">
        <v>357</v>
      </c>
    </row>
    <row r="111" spans="1:9" ht="15" x14ac:dyDescent="0.25">
      <c r="A111" t="str">
        <f t="shared" si="1"/>
        <v>E2025109</v>
      </c>
      <c r="B111" s="108" t="s">
        <v>268</v>
      </c>
      <c r="C111" s="109">
        <v>109</v>
      </c>
      <c r="D111" s="109">
        <v>11</v>
      </c>
      <c r="E111" s="108" t="s">
        <v>269</v>
      </c>
      <c r="F111" s="108" t="s">
        <v>178</v>
      </c>
      <c r="G111" s="108" t="s">
        <v>195</v>
      </c>
      <c r="H111" s="110">
        <v>45975.854166666664</v>
      </c>
      <c r="I111" s="108" t="s">
        <v>357</v>
      </c>
    </row>
    <row r="112" spans="1:9" ht="15" x14ac:dyDescent="0.25">
      <c r="A112" t="str">
        <f t="shared" si="1"/>
        <v>E2025110</v>
      </c>
      <c r="B112" s="108" t="s">
        <v>268</v>
      </c>
      <c r="C112" s="109">
        <v>110</v>
      </c>
      <c r="D112" s="109">
        <v>11</v>
      </c>
      <c r="E112" s="108" t="s">
        <v>269</v>
      </c>
      <c r="F112" s="108" t="s">
        <v>177</v>
      </c>
      <c r="G112" s="108" t="s">
        <v>190</v>
      </c>
      <c r="H112" s="110">
        <v>45975.833333333336</v>
      </c>
      <c r="I112" s="108" t="s">
        <v>358</v>
      </c>
    </row>
    <row r="113" spans="1:9" ht="15" x14ac:dyDescent="0.25">
      <c r="A113" t="str">
        <f t="shared" si="1"/>
        <v>E2025111</v>
      </c>
      <c r="B113" s="108" t="s">
        <v>268</v>
      </c>
      <c r="C113" s="109">
        <v>111</v>
      </c>
      <c r="D113" s="109">
        <v>12</v>
      </c>
      <c r="E113" s="108" t="s">
        <v>269</v>
      </c>
      <c r="F113" s="108" t="s">
        <v>177</v>
      </c>
      <c r="G113" s="108" t="s">
        <v>184</v>
      </c>
      <c r="H113" s="110">
        <v>45980.833333333336</v>
      </c>
      <c r="I113" s="108" t="s">
        <v>359</v>
      </c>
    </row>
    <row r="114" spans="1:9" ht="15" x14ac:dyDescent="0.25">
      <c r="A114" t="str">
        <f t="shared" si="1"/>
        <v>E2025112</v>
      </c>
      <c r="B114" s="108" t="s">
        <v>268</v>
      </c>
      <c r="C114" s="109">
        <v>112</v>
      </c>
      <c r="D114" s="109">
        <v>12</v>
      </c>
      <c r="E114" s="108" t="s">
        <v>269</v>
      </c>
      <c r="F114" s="108" t="s">
        <v>182</v>
      </c>
      <c r="G114" s="108" t="s">
        <v>178</v>
      </c>
      <c r="H114" s="110">
        <v>45981.854166666664</v>
      </c>
      <c r="I114" s="108" t="s">
        <v>360</v>
      </c>
    </row>
    <row r="115" spans="1:9" ht="15" x14ac:dyDescent="0.25">
      <c r="A115" t="str">
        <f t="shared" si="1"/>
        <v>E2025113</v>
      </c>
      <c r="B115" s="108" t="s">
        <v>268</v>
      </c>
      <c r="C115" s="109">
        <v>113</v>
      </c>
      <c r="D115" s="109">
        <v>12</v>
      </c>
      <c r="E115" s="108" t="s">
        <v>269</v>
      </c>
      <c r="F115" s="108" t="s">
        <v>185</v>
      </c>
      <c r="G115" s="108" t="s">
        <v>181</v>
      </c>
      <c r="H115" s="110">
        <v>45981.854166666664</v>
      </c>
      <c r="I115" s="108" t="s">
        <v>361</v>
      </c>
    </row>
    <row r="116" spans="1:9" ht="15" x14ac:dyDescent="0.25">
      <c r="A116" t="str">
        <f t="shared" si="1"/>
        <v>E2025114</v>
      </c>
      <c r="B116" s="108" t="s">
        <v>268</v>
      </c>
      <c r="C116" s="109">
        <v>114</v>
      </c>
      <c r="D116" s="109">
        <v>12</v>
      </c>
      <c r="E116" s="108" t="s">
        <v>269</v>
      </c>
      <c r="F116" s="108" t="s">
        <v>189</v>
      </c>
      <c r="G116" s="108" t="s">
        <v>180</v>
      </c>
      <c r="H116" s="110">
        <v>45981.885416666664</v>
      </c>
      <c r="I116" s="108" t="s">
        <v>362</v>
      </c>
    </row>
    <row r="117" spans="1:9" ht="15" x14ac:dyDescent="0.25">
      <c r="A117" t="str">
        <f t="shared" si="1"/>
        <v>E2025115</v>
      </c>
      <c r="B117" s="108" t="s">
        <v>268</v>
      </c>
      <c r="C117" s="109">
        <v>115</v>
      </c>
      <c r="D117" s="109">
        <v>12</v>
      </c>
      <c r="E117" s="108" t="s">
        <v>269</v>
      </c>
      <c r="F117" s="108" t="s">
        <v>183</v>
      </c>
      <c r="G117" s="108" t="s">
        <v>196</v>
      </c>
      <c r="H117" s="110">
        <v>45981.864583333336</v>
      </c>
      <c r="I117" s="108" t="s">
        <v>363</v>
      </c>
    </row>
    <row r="118" spans="1:9" ht="15" x14ac:dyDescent="0.25">
      <c r="A118" t="str">
        <f t="shared" si="1"/>
        <v>E2025116</v>
      </c>
      <c r="B118" s="108" t="s">
        <v>268</v>
      </c>
      <c r="C118" s="109">
        <v>116</v>
      </c>
      <c r="D118" s="109">
        <v>12</v>
      </c>
      <c r="E118" s="108" t="s">
        <v>269</v>
      </c>
      <c r="F118" s="108" t="s">
        <v>179</v>
      </c>
      <c r="G118" s="108" t="s">
        <v>186</v>
      </c>
      <c r="H118" s="110">
        <v>45982.854166666664</v>
      </c>
      <c r="I118" s="108" t="s">
        <v>364</v>
      </c>
    </row>
    <row r="119" spans="1:9" ht="15" x14ac:dyDescent="0.25">
      <c r="A119" t="str">
        <f t="shared" si="1"/>
        <v>E2025117</v>
      </c>
      <c r="B119" s="108" t="s">
        <v>268</v>
      </c>
      <c r="C119" s="109">
        <v>117</v>
      </c>
      <c r="D119" s="109">
        <v>12</v>
      </c>
      <c r="E119" s="108" t="s">
        <v>269</v>
      </c>
      <c r="F119" s="108" t="s">
        <v>187</v>
      </c>
      <c r="G119" s="108" t="s">
        <v>191</v>
      </c>
      <c r="H119" s="110">
        <v>45982.885416666664</v>
      </c>
      <c r="I119" s="108" t="s">
        <v>365</v>
      </c>
    </row>
    <row r="120" spans="1:9" ht="15" x14ac:dyDescent="0.25">
      <c r="A120" t="str">
        <f t="shared" si="1"/>
        <v>E2025118</v>
      </c>
      <c r="B120" s="108" t="s">
        <v>268</v>
      </c>
      <c r="C120" s="109">
        <v>118</v>
      </c>
      <c r="D120" s="109">
        <v>12</v>
      </c>
      <c r="E120" s="108" t="s">
        <v>269</v>
      </c>
      <c r="F120" s="108" t="s">
        <v>190</v>
      </c>
      <c r="G120" s="108" t="s">
        <v>194</v>
      </c>
      <c r="H120" s="110">
        <v>45982.854166666664</v>
      </c>
      <c r="I120" s="108" t="s">
        <v>364</v>
      </c>
    </row>
    <row r="121" spans="1:9" ht="15" x14ac:dyDescent="0.25">
      <c r="A121" t="str">
        <f t="shared" si="1"/>
        <v>E2025119</v>
      </c>
      <c r="B121" s="108" t="s">
        <v>268</v>
      </c>
      <c r="C121" s="109">
        <v>119</v>
      </c>
      <c r="D121" s="109">
        <v>12</v>
      </c>
      <c r="E121" s="108" t="s">
        <v>269</v>
      </c>
      <c r="F121" s="108" t="s">
        <v>188</v>
      </c>
      <c r="G121" s="108" t="s">
        <v>192</v>
      </c>
      <c r="H121" s="110">
        <v>45982.875</v>
      </c>
      <c r="I121" s="108" t="s">
        <v>366</v>
      </c>
    </row>
    <row r="122" spans="1:9" ht="15" x14ac:dyDescent="0.25">
      <c r="A122" t="str">
        <f t="shared" si="1"/>
        <v>E2025120</v>
      </c>
      <c r="B122" s="108" t="s">
        <v>268</v>
      </c>
      <c r="C122" s="109">
        <v>120</v>
      </c>
      <c r="D122" s="109">
        <v>12</v>
      </c>
      <c r="E122" s="108" t="s">
        <v>269</v>
      </c>
      <c r="F122" s="108" t="s">
        <v>195</v>
      </c>
      <c r="G122" s="108" t="s">
        <v>193</v>
      </c>
      <c r="H122" s="110">
        <v>45982.854166666664</v>
      </c>
      <c r="I122" s="108" t="s">
        <v>364</v>
      </c>
    </row>
    <row r="123" spans="1:9" ht="15" x14ac:dyDescent="0.25">
      <c r="A123" t="str">
        <f t="shared" si="1"/>
        <v>E2025121</v>
      </c>
      <c r="B123" s="108" t="s">
        <v>268</v>
      </c>
      <c r="C123" s="109">
        <v>121</v>
      </c>
      <c r="D123" s="109">
        <v>13</v>
      </c>
      <c r="E123" s="108" t="s">
        <v>269</v>
      </c>
      <c r="F123" s="108" t="s">
        <v>180</v>
      </c>
      <c r="G123" s="108" t="s">
        <v>191</v>
      </c>
      <c r="H123" s="110">
        <v>45986.833333333336</v>
      </c>
      <c r="I123" s="108" t="s">
        <v>367</v>
      </c>
    </row>
    <row r="124" spans="1:9" ht="15" x14ac:dyDescent="0.25">
      <c r="A124" t="str">
        <f t="shared" si="1"/>
        <v>E2025122</v>
      </c>
      <c r="B124" s="108" t="s">
        <v>268</v>
      </c>
      <c r="C124" s="109">
        <v>122</v>
      </c>
      <c r="D124" s="109">
        <v>13</v>
      </c>
      <c r="E124" s="108" t="s">
        <v>269</v>
      </c>
      <c r="F124" s="108" t="s">
        <v>181</v>
      </c>
      <c r="G124" s="108" t="s">
        <v>183</v>
      </c>
      <c r="H124" s="110">
        <v>45986.833333333336</v>
      </c>
      <c r="I124" s="108" t="s">
        <v>368</v>
      </c>
    </row>
    <row r="125" spans="1:9" ht="15" x14ac:dyDescent="0.25">
      <c r="A125" t="str">
        <f t="shared" si="1"/>
        <v>E2025123</v>
      </c>
      <c r="B125" s="108" t="s">
        <v>268</v>
      </c>
      <c r="C125" s="109">
        <v>123</v>
      </c>
      <c r="D125" s="109">
        <v>13</v>
      </c>
      <c r="E125" s="108" t="s">
        <v>269</v>
      </c>
      <c r="F125" s="108" t="s">
        <v>189</v>
      </c>
      <c r="G125" s="108" t="s">
        <v>190</v>
      </c>
      <c r="H125" s="110">
        <v>45986.885416666664</v>
      </c>
      <c r="I125" s="108" t="s">
        <v>369</v>
      </c>
    </row>
    <row r="126" spans="1:9" ht="15" x14ac:dyDescent="0.25">
      <c r="A126" t="str">
        <f t="shared" si="1"/>
        <v>E2025124</v>
      </c>
      <c r="B126" s="108" t="s">
        <v>268</v>
      </c>
      <c r="C126" s="109">
        <v>124</v>
      </c>
      <c r="D126" s="109">
        <v>13</v>
      </c>
      <c r="E126" s="108" t="s">
        <v>269</v>
      </c>
      <c r="F126" s="108" t="s">
        <v>188</v>
      </c>
      <c r="G126" s="108" t="s">
        <v>186</v>
      </c>
      <c r="H126" s="110">
        <v>45986.854166666664</v>
      </c>
      <c r="I126" s="108" t="s">
        <v>370</v>
      </c>
    </row>
    <row r="127" spans="1:9" ht="15" x14ac:dyDescent="0.25">
      <c r="A127" t="str">
        <f t="shared" si="1"/>
        <v>E2025125</v>
      </c>
      <c r="B127" s="108" t="s">
        <v>268</v>
      </c>
      <c r="C127" s="109">
        <v>125</v>
      </c>
      <c r="D127" s="109">
        <v>13</v>
      </c>
      <c r="E127" s="108" t="s">
        <v>269</v>
      </c>
      <c r="F127" s="108" t="s">
        <v>196</v>
      </c>
      <c r="G127" s="108" t="s">
        <v>179</v>
      </c>
      <c r="H127" s="110">
        <v>45986.833333333336</v>
      </c>
      <c r="I127" s="108" t="s">
        <v>368</v>
      </c>
    </row>
    <row r="128" spans="1:9" ht="15" x14ac:dyDescent="0.25">
      <c r="A128" t="str">
        <f t="shared" si="1"/>
        <v>E2025126</v>
      </c>
      <c r="B128" s="108" t="s">
        <v>268</v>
      </c>
      <c r="C128" s="109">
        <v>126</v>
      </c>
      <c r="D128" s="109">
        <v>13</v>
      </c>
      <c r="E128" s="108" t="s">
        <v>269</v>
      </c>
      <c r="F128" s="108" t="s">
        <v>194</v>
      </c>
      <c r="G128" s="108" t="s">
        <v>195</v>
      </c>
      <c r="H128" s="110">
        <v>45986.864583333336</v>
      </c>
      <c r="I128" s="108" t="s">
        <v>371</v>
      </c>
    </row>
    <row r="129" spans="1:9" ht="15" x14ac:dyDescent="0.25">
      <c r="A129" t="str">
        <f t="shared" si="1"/>
        <v>E2025127</v>
      </c>
      <c r="B129" s="108" t="s">
        <v>268</v>
      </c>
      <c r="C129" s="109">
        <v>127</v>
      </c>
      <c r="D129" s="109">
        <v>13</v>
      </c>
      <c r="E129" s="108" t="s">
        <v>269</v>
      </c>
      <c r="F129" s="108" t="s">
        <v>184</v>
      </c>
      <c r="G129" s="108" t="s">
        <v>182</v>
      </c>
      <c r="H129" s="110">
        <v>45987.8125</v>
      </c>
      <c r="I129" s="108" t="s">
        <v>372</v>
      </c>
    </row>
    <row r="130" spans="1:9" ht="15" x14ac:dyDescent="0.25">
      <c r="A130" t="str">
        <f t="shared" si="1"/>
        <v>E2025128</v>
      </c>
      <c r="B130" s="108" t="s">
        <v>268</v>
      </c>
      <c r="C130" s="109">
        <v>128</v>
      </c>
      <c r="D130" s="109">
        <v>13</v>
      </c>
      <c r="E130" s="108" t="s">
        <v>269</v>
      </c>
      <c r="F130" s="108" t="s">
        <v>192</v>
      </c>
      <c r="G130" s="108" t="s">
        <v>187</v>
      </c>
      <c r="H130" s="110">
        <v>45987.833333333336</v>
      </c>
      <c r="I130" s="108" t="s">
        <v>373</v>
      </c>
    </row>
    <row r="131" spans="1:9" ht="15" x14ac:dyDescent="0.25">
      <c r="A131" t="str">
        <f t="shared" si="1"/>
        <v>E2025129</v>
      </c>
      <c r="B131" s="108" t="s">
        <v>268</v>
      </c>
      <c r="C131" s="109">
        <v>129</v>
      </c>
      <c r="D131" s="109">
        <v>13</v>
      </c>
      <c r="E131" s="108" t="s">
        <v>269</v>
      </c>
      <c r="F131" s="108" t="s">
        <v>178</v>
      </c>
      <c r="G131" s="108" t="s">
        <v>177</v>
      </c>
      <c r="H131" s="110">
        <v>45987.854166666664</v>
      </c>
      <c r="I131" s="108" t="s">
        <v>374</v>
      </c>
    </row>
    <row r="132" spans="1:9" ht="15" x14ac:dyDescent="0.25">
      <c r="A132" t="str">
        <f t="shared" ref="A132:A195" si="2">B132&amp;TEXT(C132,"000")</f>
        <v>E2025130</v>
      </c>
      <c r="B132" s="108" t="s">
        <v>268</v>
      </c>
      <c r="C132" s="109">
        <v>130</v>
      </c>
      <c r="D132" s="109">
        <v>13</v>
      </c>
      <c r="E132" s="108" t="s">
        <v>269</v>
      </c>
      <c r="F132" s="108" t="s">
        <v>193</v>
      </c>
      <c r="G132" s="108" t="s">
        <v>185</v>
      </c>
      <c r="H132" s="110">
        <v>45987.836805555555</v>
      </c>
      <c r="I132" s="108" t="s">
        <v>375</v>
      </c>
    </row>
    <row r="133" spans="1:9" ht="15" x14ac:dyDescent="0.25">
      <c r="A133" t="str">
        <f t="shared" si="2"/>
        <v>E2025131</v>
      </c>
      <c r="B133" s="108" t="s">
        <v>268</v>
      </c>
      <c r="C133" s="109">
        <v>131</v>
      </c>
      <c r="D133" s="109">
        <v>14</v>
      </c>
      <c r="E133" s="108" t="s">
        <v>269</v>
      </c>
      <c r="F133" s="108" t="s">
        <v>184</v>
      </c>
      <c r="G133" s="108" t="s">
        <v>191</v>
      </c>
      <c r="H133" s="110">
        <v>45995.8125</v>
      </c>
      <c r="I133" s="108" t="s">
        <v>376</v>
      </c>
    </row>
    <row r="134" spans="1:9" ht="15" x14ac:dyDescent="0.25">
      <c r="A134" t="str">
        <f t="shared" si="2"/>
        <v>E2025132</v>
      </c>
      <c r="B134" s="108" t="s">
        <v>268</v>
      </c>
      <c r="C134" s="109">
        <v>132</v>
      </c>
      <c r="D134" s="109">
        <v>14</v>
      </c>
      <c r="E134" s="108" t="s">
        <v>269</v>
      </c>
      <c r="F134" s="108" t="s">
        <v>190</v>
      </c>
      <c r="G134" s="108" t="s">
        <v>186</v>
      </c>
      <c r="H134" s="110">
        <v>45995.864583333336</v>
      </c>
      <c r="I134" s="108" t="s">
        <v>377</v>
      </c>
    </row>
    <row r="135" spans="1:9" ht="15" x14ac:dyDescent="0.25">
      <c r="A135" t="str">
        <f t="shared" si="2"/>
        <v>E2025133</v>
      </c>
      <c r="B135" s="108" t="s">
        <v>268</v>
      </c>
      <c r="C135" s="109">
        <v>133</v>
      </c>
      <c r="D135" s="109">
        <v>14</v>
      </c>
      <c r="E135" s="108" t="s">
        <v>269</v>
      </c>
      <c r="F135" s="108" t="s">
        <v>181</v>
      </c>
      <c r="G135" s="108" t="s">
        <v>177</v>
      </c>
      <c r="H135" s="110">
        <v>45995.878472222219</v>
      </c>
      <c r="I135" s="108" t="s">
        <v>378</v>
      </c>
    </row>
    <row r="136" spans="1:9" ht="15" x14ac:dyDescent="0.25">
      <c r="A136" t="str">
        <f t="shared" si="2"/>
        <v>E2025134</v>
      </c>
      <c r="B136" s="108" t="s">
        <v>268</v>
      </c>
      <c r="C136" s="109">
        <v>134</v>
      </c>
      <c r="D136" s="109">
        <v>14</v>
      </c>
      <c r="E136" s="108" t="s">
        <v>269</v>
      </c>
      <c r="F136" s="108" t="s">
        <v>187</v>
      </c>
      <c r="G136" s="108" t="s">
        <v>194</v>
      </c>
      <c r="H136" s="110">
        <v>45995.885416666664</v>
      </c>
      <c r="I136" s="108" t="s">
        <v>379</v>
      </c>
    </row>
    <row r="137" spans="1:9" ht="15" x14ac:dyDescent="0.25">
      <c r="A137" t="str">
        <f t="shared" si="2"/>
        <v>E2025135</v>
      </c>
      <c r="B137" s="108" t="s">
        <v>268</v>
      </c>
      <c r="C137" s="109">
        <v>135</v>
      </c>
      <c r="D137" s="109">
        <v>14</v>
      </c>
      <c r="E137" s="108" t="s">
        <v>269</v>
      </c>
      <c r="F137" s="108" t="s">
        <v>196</v>
      </c>
      <c r="G137" s="108" t="s">
        <v>193</v>
      </c>
      <c r="H137" s="110">
        <v>45995.833333333336</v>
      </c>
      <c r="I137" s="108" t="s">
        <v>380</v>
      </c>
    </row>
    <row r="138" spans="1:9" ht="15" x14ac:dyDescent="0.25">
      <c r="A138" t="str">
        <f t="shared" si="2"/>
        <v>E2025136</v>
      </c>
      <c r="B138" s="108" t="s">
        <v>268</v>
      </c>
      <c r="C138" s="109">
        <v>136</v>
      </c>
      <c r="D138" s="109">
        <v>14</v>
      </c>
      <c r="E138" s="108" t="s">
        <v>269</v>
      </c>
      <c r="F138" s="108" t="s">
        <v>182</v>
      </c>
      <c r="G138" s="108" t="s">
        <v>183</v>
      </c>
      <c r="H138" s="110">
        <v>45995.84375</v>
      </c>
      <c r="I138" s="108" t="s">
        <v>381</v>
      </c>
    </row>
    <row r="139" spans="1:9" ht="15" x14ac:dyDescent="0.25">
      <c r="A139" t="str">
        <f t="shared" si="2"/>
        <v>E2025137</v>
      </c>
      <c r="B139" s="108" t="s">
        <v>268</v>
      </c>
      <c r="C139" s="109">
        <v>137</v>
      </c>
      <c r="D139" s="109">
        <v>14</v>
      </c>
      <c r="E139" s="108" t="s">
        <v>269</v>
      </c>
      <c r="F139" s="108" t="s">
        <v>192</v>
      </c>
      <c r="G139" s="108" t="s">
        <v>178</v>
      </c>
      <c r="H139" s="110">
        <v>45996.833333333336</v>
      </c>
      <c r="I139" s="108" t="s">
        <v>382</v>
      </c>
    </row>
    <row r="140" spans="1:9" ht="15" x14ac:dyDescent="0.25">
      <c r="A140" t="str">
        <f t="shared" si="2"/>
        <v>E2025138</v>
      </c>
      <c r="B140" s="108" t="s">
        <v>268</v>
      </c>
      <c r="C140" s="109">
        <v>138</v>
      </c>
      <c r="D140" s="109">
        <v>14</v>
      </c>
      <c r="E140" s="108" t="s">
        <v>269</v>
      </c>
      <c r="F140" s="108" t="s">
        <v>179</v>
      </c>
      <c r="G140" s="108" t="s">
        <v>185</v>
      </c>
      <c r="H140" s="110">
        <v>45996.854166666664</v>
      </c>
      <c r="I140" s="108" t="s">
        <v>383</v>
      </c>
    </row>
    <row r="141" spans="1:9" ht="15" x14ac:dyDescent="0.25">
      <c r="A141" t="str">
        <f t="shared" si="2"/>
        <v>E2025139</v>
      </c>
      <c r="B141" s="108" t="s">
        <v>268</v>
      </c>
      <c r="C141" s="109">
        <v>139</v>
      </c>
      <c r="D141" s="109">
        <v>14</v>
      </c>
      <c r="E141" s="108" t="s">
        <v>269</v>
      </c>
      <c r="F141" s="108" t="s">
        <v>189</v>
      </c>
      <c r="G141" s="108" t="s">
        <v>188</v>
      </c>
      <c r="H141" s="110">
        <v>45996.885416666664</v>
      </c>
      <c r="I141" s="108" t="s">
        <v>384</v>
      </c>
    </row>
    <row r="142" spans="1:9" ht="15" x14ac:dyDescent="0.25">
      <c r="A142" t="str">
        <f t="shared" si="2"/>
        <v>E2025140</v>
      </c>
      <c r="B142" s="108" t="s">
        <v>268</v>
      </c>
      <c r="C142" s="109">
        <v>140</v>
      </c>
      <c r="D142" s="109">
        <v>14</v>
      </c>
      <c r="E142" s="108" t="s">
        <v>269</v>
      </c>
      <c r="F142" s="108" t="s">
        <v>195</v>
      </c>
      <c r="G142" s="108" t="s">
        <v>180</v>
      </c>
      <c r="H142" s="110">
        <v>45996.854166666664</v>
      </c>
      <c r="I142" s="108" t="s">
        <v>383</v>
      </c>
    </row>
    <row r="143" spans="1:9" ht="15" x14ac:dyDescent="0.25">
      <c r="A143" t="str">
        <f t="shared" si="2"/>
        <v>E2025141</v>
      </c>
      <c r="B143" s="108" t="s">
        <v>268</v>
      </c>
      <c r="C143" s="109">
        <v>141</v>
      </c>
      <c r="D143" s="109">
        <v>15</v>
      </c>
      <c r="E143" s="108" t="s">
        <v>269</v>
      </c>
      <c r="F143" s="108" t="s">
        <v>193</v>
      </c>
      <c r="G143" s="108" t="s">
        <v>177</v>
      </c>
      <c r="H143" s="110">
        <v>46002.836805555555</v>
      </c>
      <c r="I143" s="108" t="s">
        <v>385</v>
      </c>
    </row>
    <row r="144" spans="1:9" ht="15" x14ac:dyDescent="0.25">
      <c r="A144" t="str">
        <f t="shared" si="2"/>
        <v>E2025142</v>
      </c>
      <c r="B144" s="108" t="s">
        <v>268</v>
      </c>
      <c r="C144" s="109">
        <v>142</v>
      </c>
      <c r="D144" s="109">
        <v>15</v>
      </c>
      <c r="E144" s="108" t="s">
        <v>269</v>
      </c>
      <c r="F144" s="108" t="s">
        <v>180</v>
      </c>
      <c r="G144" s="108" t="s">
        <v>186</v>
      </c>
      <c r="H144" s="110">
        <v>46003.833333333336</v>
      </c>
      <c r="I144" s="108" t="s">
        <v>386</v>
      </c>
    </row>
    <row r="145" spans="1:9" ht="15" x14ac:dyDescent="0.25">
      <c r="A145" t="str">
        <f t="shared" si="2"/>
        <v>E2025143</v>
      </c>
      <c r="B145" s="108" t="s">
        <v>268</v>
      </c>
      <c r="C145" s="109">
        <v>143</v>
      </c>
      <c r="D145" s="109">
        <v>15</v>
      </c>
      <c r="E145" s="108" t="s">
        <v>269</v>
      </c>
      <c r="F145" s="108" t="s">
        <v>185</v>
      </c>
      <c r="G145" s="108" t="s">
        <v>189</v>
      </c>
      <c r="H145" s="110">
        <v>46002.854166666664</v>
      </c>
      <c r="I145" s="108" t="s">
        <v>387</v>
      </c>
    </row>
    <row r="146" spans="1:9" ht="15" x14ac:dyDescent="0.25">
      <c r="A146" t="str">
        <f t="shared" si="2"/>
        <v>E2025144</v>
      </c>
      <c r="B146" s="108" t="s">
        <v>268</v>
      </c>
      <c r="C146" s="109">
        <v>144</v>
      </c>
      <c r="D146" s="109">
        <v>15</v>
      </c>
      <c r="E146" s="108" t="s">
        <v>269</v>
      </c>
      <c r="F146" s="108" t="s">
        <v>191</v>
      </c>
      <c r="G146" s="108" t="s">
        <v>196</v>
      </c>
      <c r="H146" s="110">
        <v>46002.864583333336</v>
      </c>
      <c r="I146" s="108" t="s">
        <v>388</v>
      </c>
    </row>
    <row r="147" spans="1:9" ht="15" x14ac:dyDescent="0.25">
      <c r="A147" t="str">
        <f t="shared" si="2"/>
        <v>E2025145</v>
      </c>
      <c r="B147" s="108" t="s">
        <v>268</v>
      </c>
      <c r="C147" s="109">
        <v>145</v>
      </c>
      <c r="D147" s="109">
        <v>15</v>
      </c>
      <c r="E147" s="108" t="s">
        <v>269</v>
      </c>
      <c r="F147" s="108" t="s">
        <v>183</v>
      </c>
      <c r="G147" s="108" t="s">
        <v>179</v>
      </c>
      <c r="H147" s="110">
        <v>46002.875</v>
      </c>
      <c r="I147" s="108" t="s">
        <v>389</v>
      </c>
    </row>
    <row r="148" spans="1:9" ht="15" x14ac:dyDescent="0.25">
      <c r="A148" t="str">
        <f t="shared" si="2"/>
        <v>E2025146</v>
      </c>
      <c r="B148" s="108" t="s">
        <v>268</v>
      </c>
      <c r="C148" s="109">
        <v>146</v>
      </c>
      <c r="D148" s="109">
        <v>15</v>
      </c>
      <c r="E148" s="108" t="s">
        <v>269</v>
      </c>
      <c r="F148" s="108" t="s">
        <v>188</v>
      </c>
      <c r="G148" s="108" t="s">
        <v>182</v>
      </c>
      <c r="H148" s="110">
        <v>46002.854166666664</v>
      </c>
      <c r="I148" s="108" t="s">
        <v>387</v>
      </c>
    </row>
    <row r="149" spans="1:9" ht="15" x14ac:dyDescent="0.25">
      <c r="A149" t="str">
        <f t="shared" si="2"/>
        <v>E2025147</v>
      </c>
      <c r="B149" s="108" t="s">
        <v>268</v>
      </c>
      <c r="C149" s="109">
        <v>147</v>
      </c>
      <c r="D149" s="109">
        <v>15</v>
      </c>
      <c r="E149" s="108" t="s">
        <v>269</v>
      </c>
      <c r="F149" s="108" t="s">
        <v>184</v>
      </c>
      <c r="G149" s="108" t="s">
        <v>194</v>
      </c>
      <c r="H149" s="110">
        <v>46003.8125</v>
      </c>
      <c r="I149" s="108" t="s">
        <v>390</v>
      </c>
    </row>
    <row r="150" spans="1:9" ht="15" x14ac:dyDescent="0.25">
      <c r="A150" t="str">
        <f t="shared" si="2"/>
        <v>E2025148</v>
      </c>
      <c r="B150" s="108" t="s">
        <v>268</v>
      </c>
      <c r="C150" s="109">
        <v>148</v>
      </c>
      <c r="D150" s="109">
        <v>15</v>
      </c>
      <c r="E150" s="108" t="s">
        <v>269</v>
      </c>
      <c r="F150" s="108" t="s">
        <v>178</v>
      </c>
      <c r="G150" s="108" t="s">
        <v>187</v>
      </c>
      <c r="H150" s="110">
        <v>46003.854166666664</v>
      </c>
      <c r="I150" s="108" t="s">
        <v>391</v>
      </c>
    </row>
    <row r="151" spans="1:9" ht="15" x14ac:dyDescent="0.25">
      <c r="A151" t="str">
        <f t="shared" si="2"/>
        <v>E2025149</v>
      </c>
      <c r="B151" s="108" t="s">
        <v>268</v>
      </c>
      <c r="C151" s="109">
        <v>149</v>
      </c>
      <c r="D151" s="109">
        <v>15</v>
      </c>
      <c r="E151" s="108" t="s">
        <v>269</v>
      </c>
      <c r="F151" s="108" t="s">
        <v>190</v>
      </c>
      <c r="G151" s="108" t="s">
        <v>192</v>
      </c>
      <c r="H151" s="110">
        <v>46003.854166666664</v>
      </c>
      <c r="I151" s="108" t="s">
        <v>391</v>
      </c>
    </row>
    <row r="152" spans="1:9" ht="15" x14ac:dyDescent="0.25">
      <c r="A152" t="str">
        <f t="shared" si="2"/>
        <v>E2025150</v>
      </c>
      <c r="B152" s="108" t="s">
        <v>268</v>
      </c>
      <c r="C152" s="109">
        <v>150</v>
      </c>
      <c r="D152" s="109">
        <v>15</v>
      </c>
      <c r="E152" s="108" t="s">
        <v>269</v>
      </c>
      <c r="F152" s="108" t="s">
        <v>195</v>
      </c>
      <c r="G152" s="108" t="s">
        <v>181</v>
      </c>
      <c r="H152" s="110">
        <v>46003.854166666664</v>
      </c>
      <c r="I152" s="108" t="s">
        <v>391</v>
      </c>
    </row>
    <row r="153" spans="1:9" ht="15" x14ac:dyDescent="0.25">
      <c r="A153" t="str">
        <f t="shared" si="2"/>
        <v>E2025151</v>
      </c>
      <c r="B153" s="108" t="s">
        <v>268</v>
      </c>
      <c r="C153" s="109">
        <v>151</v>
      </c>
      <c r="D153" s="109">
        <v>16</v>
      </c>
      <c r="E153" s="108" t="s">
        <v>269</v>
      </c>
      <c r="F153" s="108" t="s">
        <v>180</v>
      </c>
      <c r="G153" s="108" t="s">
        <v>193</v>
      </c>
      <c r="H153" s="110">
        <v>46007.833333333336</v>
      </c>
      <c r="I153" s="108" t="s">
        <v>392</v>
      </c>
    </row>
    <row r="154" spans="1:9" ht="15" x14ac:dyDescent="0.25">
      <c r="A154" t="str">
        <f t="shared" si="2"/>
        <v>E2025152</v>
      </c>
      <c r="B154" s="108" t="s">
        <v>268</v>
      </c>
      <c r="C154" s="109">
        <v>152</v>
      </c>
      <c r="D154" s="109">
        <v>16</v>
      </c>
      <c r="E154" s="108" t="s">
        <v>269</v>
      </c>
      <c r="F154" s="108" t="s">
        <v>185</v>
      </c>
      <c r="G154" s="108" t="s">
        <v>183</v>
      </c>
      <c r="H154" s="110">
        <v>46007.854166666664</v>
      </c>
      <c r="I154" s="108" t="s">
        <v>393</v>
      </c>
    </row>
    <row r="155" spans="1:9" ht="15" x14ac:dyDescent="0.25">
      <c r="A155" t="str">
        <f t="shared" si="2"/>
        <v>E2025153</v>
      </c>
      <c r="B155" s="108" t="s">
        <v>268</v>
      </c>
      <c r="C155" s="109">
        <v>153</v>
      </c>
      <c r="D155" s="109">
        <v>16</v>
      </c>
      <c r="E155" s="108" t="s">
        <v>269</v>
      </c>
      <c r="F155" s="108" t="s">
        <v>194</v>
      </c>
      <c r="G155" s="108" t="s">
        <v>189</v>
      </c>
      <c r="H155" s="110">
        <v>46007.864583333336</v>
      </c>
      <c r="I155" s="108" t="s">
        <v>394</v>
      </c>
    </row>
    <row r="156" spans="1:9" ht="15" x14ac:dyDescent="0.25">
      <c r="A156" t="str">
        <f t="shared" si="2"/>
        <v>E2025154</v>
      </c>
      <c r="B156" s="108" t="s">
        <v>268</v>
      </c>
      <c r="C156" s="109">
        <v>154</v>
      </c>
      <c r="D156" s="109">
        <v>16</v>
      </c>
      <c r="E156" s="108" t="s">
        <v>269</v>
      </c>
      <c r="F156" s="108" t="s">
        <v>181</v>
      </c>
      <c r="G156" s="108" t="s">
        <v>192</v>
      </c>
      <c r="H156" s="110">
        <v>46007.878472222219</v>
      </c>
      <c r="I156" s="108" t="s">
        <v>395</v>
      </c>
    </row>
    <row r="157" spans="1:9" ht="15" x14ac:dyDescent="0.25">
      <c r="A157" t="str">
        <f t="shared" si="2"/>
        <v>E2025155</v>
      </c>
      <c r="B157" s="108" t="s">
        <v>268</v>
      </c>
      <c r="C157" s="109">
        <v>155</v>
      </c>
      <c r="D157" s="109">
        <v>16</v>
      </c>
      <c r="E157" s="108" t="s">
        <v>269</v>
      </c>
      <c r="F157" s="108" t="s">
        <v>187</v>
      </c>
      <c r="G157" s="108" t="s">
        <v>188</v>
      </c>
      <c r="H157" s="110">
        <v>46007.885416666664</v>
      </c>
      <c r="I157" s="108" t="s">
        <v>396</v>
      </c>
    </row>
    <row r="158" spans="1:9" ht="15" x14ac:dyDescent="0.25">
      <c r="A158" t="str">
        <f t="shared" si="2"/>
        <v>E2025156</v>
      </c>
      <c r="B158" s="108" t="s">
        <v>268</v>
      </c>
      <c r="C158" s="109">
        <v>156</v>
      </c>
      <c r="D158" s="109">
        <v>16</v>
      </c>
      <c r="E158" s="108" t="s">
        <v>269</v>
      </c>
      <c r="F158" s="108" t="s">
        <v>191</v>
      </c>
      <c r="G158" s="108" t="s">
        <v>178</v>
      </c>
      <c r="H158" s="110">
        <v>46007.864583333336</v>
      </c>
      <c r="I158" s="108" t="s">
        <v>397</v>
      </c>
    </row>
    <row r="159" spans="1:9" ht="15" x14ac:dyDescent="0.25">
      <c r="A159" t="str">
        <f t="shared" si="2"/>
        <v>E2025157</v>
      </c>
      <c r="B159" s="108" t="s">
        <v>268</v>
      </c>
      <c r="C159" s="109">
        <v>157</v>
      </c>
      <c r="D159" s="109">
        <v>16</v>
      </c>
      <c r="E159" s="108" t="s">
        <v>269</v>
      </c>
      <c r="F159" s="108" t="s">
        <v>179</v>
      </c>
      <c r="G159" s="108" t="s">
        <v>184</v>
      </c>
      <c r="H159" s="110">
        <v>46008.854166666664</v>
      </c>
      <c r="I159" s="108" t="s">
        <v>398</v>
      </c>
    </row>
    <row r="160" spans="1:9" ht="15" x14ac:dyDescent="0.25">
      <c r="A160" t="str">
        <f t="shared" si="2"/>
        <v>E2025158</v>
      </c>
      <c r="B160" s="108" t="s">
        <v>268</v>
      </c>
      <c r="C160" s="109">
        <v>158</v>
      </c>
      <c r="D160" s="109">
        <v>16</v>
      </c>
      <c r="E160" s="108" t="s">
        <v>269</v>
      </c>
      <c r="F160" s="108" t="s">
        <v>177</v>
      </c>
      <c r="G160" s="108" t="s">
        <v>186</v>
      </c>
      <c r="H160" s="110">
        <v>46008.833333333336</v>
      </c>
      <c r="I160" s="108" t="s">
        <v>399</v>
      </c>
    </row>
    <row r="161" spans="1:9" ht="15" x14ac:dyDescent="0.25">
      <c r="A161" t="str">
        <f t="shared" si="2"/>
        <v>E2025159</v>
      </c>
      <c r="B161" s="108" t="s">
        <v>268</v>
      </c>
      <c r="C161" s="109">
        <v>159</v>
      </c>
      <c r="D161" s="109">
        <v>16</v>
      </c>
      <c r="E161" s="108" t="s">
        <v>269</v>
      </c>
      <c r="F161" s="108" t="s">
        <v>190</v>
      </c>
      <c r="G161" s="108" t="s">
        <v>195</v>
      </c>
      <c r="H161" s="110">
        <v>46008.854166666664</v>
      </c>
      <c r="I161" s="108" t="s">
        <v>398</v>
      </c>
    </row>
    <row r="162" spans="1:9" ht="15" x14ac:dyDescent="0.25">
      <c r="A162" t="str">
        <f t="shared" si="2"/>
        <v>E2025160</v>
      </c>
      <c r="B162" s="108" t="s">
        <v>268</v>
      </c>
      <c r="C162" s="109">
        <v>160</v>
      </c>
      <c r="D162" s="109">
        <v>16</v>
      </c>
      <c r="E162" s="108" t="s">
        <v>269</v>
      </c>
      <c r="F162" s="108" t="s">
        <v>196</v>
      </c>
      <c r="G162" s="108" t="s">
        <v>182</v>
      </c>
      <c r="H162" s="110">
        <v>46008.833333333336</v>
      </c>
      <c r="I162" s="108" t="s">
        <v>400</v>
      </c>
    </row>
    <row r="163" spans="1:9" ht="15" x14ac:dyDescent="0.25">
      <c r="A163" t="str">
        <f t="shared" si="2"/>
        <v>E2025161</v>
      </c>
      <c r="B163" s="108" t="s">
        <v>268</v>
      </c>
      <c r="C163" s="109">
        <v>161</v>
      </c>
      <c r="D163" s="109">
        <v>17</v>
      </c>
      <c r="E163" s="108" t="s">
        <v>269</v>
      </c>
      <c r="F163" s="108" t="s">
        <v>185</v>
      </c>
      <c r="G163" s="108" t="s">
        <v>194</v>
      </c>
      <c r="H163" s="110">
        <v>46009.854166666664</v>
      </c>
      <c r="I163" s="108" t="s">
        <v>401</v>
      </c>
    </row>
    <row r="164" spans="1:9" ht="15" x14ac:dyDescent="0.25">
      <c r="A164" t="str">
        <f t="shared" si="2"/>
        <v>E2025162</v>
      </c>
      <c r="B164" s="108" t="s">
        <v>268</v>
      </c>
      <c r="C164" s="109">
        <v>162</v>
      </c>
      <c r="D164" s="109">
        <v>17</v>
      </c>
      <c r="E164" s="108" t="s">
        <v>269</v>
      </c>
      <c r="F164" s="108" t="s">
        <v>193</v>
      </c>
      <c r="G164" s="108" t="s">
        <v>188</v>
      </c>
      <c r="H164" s="110">
        <v>46009.791666666664</v>
      </c>
      <c r="I164" s="108" t="s">
        <v>402</v>
      </c>
    </row>
    <row r="165" spans="1:9" ht="15" x14ac:dyDescent="0.25">
      <c r="A165" t="str">
        <f t="shared" si="2"/>
        <v>E2025163</v>
      </c>
      <c r="B165" s="108" t="s">
        <v>268</v>
      </c>
      <c r="C165" s="109">
        <v>163</v>
      </c>
      <c r="D165" s="109">
        <v>17</v>
      </c>
      <c r="E165" s="108" t="s">
        <v>269</v>
      </c>
      <c r="F165" s="108" t="s">
        <v>189</v>
      </c>
      <c r="G165" s="108" t="s">
        <v>181</v>
      </c>
      <c r="H165" s="110">
        <v>46009.885416666664</v>
      </c>
      <c r="I165" s="108" t="s">
        <v>403</v>
      </c>
    </row>
    <row r="166" spans="1:9" ht="15" x14ac:dyDescent="0.25">
      <c r="A166" t="str">
        <f t="shared" si="2"/>
        <v>E2025164</v>
      </c>
      <c r="B166" s="108" t="s">
        <v>268</v>
      </c>
      <c r="C166" s="109">
        <v>164</v>
      </c>
      <c r="D166" s="109">
        <v>17</v>
      </c>
      <c r="E166" s="108" t="s">
        <v>269</v>
      </c>
      <c r="F166" s="108" t="s">
        <v>183</v>
      </c>
      <c r="G166" s="108" t="s">
        <v>191</v>
      </c>
      <c r="H166" s="110">
        <v>46009.864583333336</v>
      </c>
      <c r="I166" s="108" t="s">
        <v>404</v>
      </c>
    </row>
    <row r="167" spans="1:9" ht="15" x14ac:dyDescent="0.25">
      <c r="A167" t="str">
        <f t="shared" si="2"/>
        <v>E2025165</v>
      </c>
      <c r="B167" s="108" t="s">
        <v>268</v>
      </c>
      <c r="C167" s="109">
        <v>165</v>
      </c>
      <c r="D167" s="109">
        <v>17</v>
      </c>
      <c r="E167" s="108" t="s">
        <v>269</v>
      </c>
      <c r="F167" s="108" t="s">
        <v>182</v>
      </c>
      <c r="G167" s="108" t="s">
        <v>180</v>
      </c>
      <c r="H167" s="110">
        <v>46010.854166666664</v>
      </c>
      <c r="I167" s="108" t="s">
        <v>405</v>
      </c>
    </row>
    <row r="168" spans="1:9" ht="15" x14ac:dyDescent="0.25">
      <c r="A168" t="str">
        <f t="shared" si="2"/>
        <v>E2025166</v>
      </c>
      <c r="B168" s="108" t="s">
        <v>268</v>
      </c>
      <c r="C168" s="109">
        <v>166</v>
      </c>
      <c r="D168" s="109">
        <v>17</v>
      </c>
      <c r="E168" s="108" t="s">
        <v>269</v>
      </c>
      <c r="F168" s="108" t="s">
        <v>184</v>
      </c>
      <c r="G168" s="108" t="s">
        <v>186</v>
      </c>
      <c r="H168" s="110">
        <v>46010.8125</v>
      </c>
      <c r="I168" s="108" t="s">
        <v>406</v>
      </c>
    </row>
    <row r="169" spans="1:9" ht="15" x14ac:dyDescent="0.25">
      <c r="A169" t="str">
        <f t="shared" si="2"/>
        <v>E2025167</v>
      </c>
      <c r="B169" s="108" t="s">
        <v>268</v>
      </c>
      <c r="C169" s="109">
        <v>167</v>
      </c>
      <c r="D169" s="109">
        <v>17</v>
      </c>
      <c r="E169" s="108" t="s">
        <v>269</v>
      </c>
      <c r="F169" s="108" t="s">
        <v>192</v>
      </c>
      <c r="G169" s="108" t="s">
        <v>195</v>
      </c>
      <c r="H169" s="110">
        <v>46010.864583333336</v>
      </c>
      <c r="I169" s="108" t="s">
        <v>407</v>
      </c>
    </row>
    <row r="170" spans="1:9" ht="15" x14ac:dyDescent="0.25">
      <c r="A170" t="str">
        <f t="shared" si="2"/>
        <v>E2025168</v>
      </c>
      <c r="B170" s="108" t="s">
        <v>268</v>
      </c>
      <c r="C170" s="109">
        <v>168</v>
      </c>
      <c r="D170" s="109">
        <v>17</v>
      </c>
      <c r="E170" s="108" t="s">
        <v>269</v>
      </c>
      <c r="F170" s="108" t="s">
        <v>178</v>
      </c>
      <c r="G170" s="108" t="s">
        <v>179</v>
      </c>
      <c r="H170" s="110">
        <v>46010.854166666664</v>
      </c>
      <c r="I170" s="108" t="s">
        <v>408</v>
      </c>
    </row>
    <row r="171" spans="1:9" ht="15" x14ac:dyDescent="0.25">
      <c r="A171" t="str">
        <f t="shared" si="2"/>
        <v>E2025169</v>
      </c>
      <c r="B171" s="108" t="s">
        <v>268</v>
      </c>
      <c r="C171" s="109">
        <v>169</v>
      </c>
      <c r="D171" s="109">
        <v>17</v>
      </c>
      <c r="E171" s="108" t="s">
        <v>269</v>
      </c>
      <c r="F171" s="108" t="s">
        <v>187</v>
      </c>
      <c r="G171" s="108" t="s">
        <v>177</v>
      </c>
      <c r="H171" s="110">
        <v>46010.885416666664</v>
      </c>
      <c r="I171" s="108" t="s">
        <v>409</v>
      </c>
    </row>
    <row r="172" spans="1:9" ht="15" x14ac:dyDescent="0.25">
      <c r="A172" t="str">
        <f t="shared" si="2"/>
        <v>E2025170</v>
      </c>
      <c r="B172" s="108" t="s">
        <v>268</v>
      </c>
      <c r="C172" s="109">
        <v>170</v>
      </c>
      <c r="D172" s="109">
        <v>17</v>
      </c>
      <c r="E172" s="108" t="s">
        <v>269</v>
      </c>
      <c r="F172" s="108" t="s">
        <v>196</v>
      </c>
      <c r="G172" s="108" t="s">
        <v>190</v>
      </c>
      <c r="H172" s="110">
        <v>46010.833333333336</v>
      </c>
      <c r="I172" s="108" t="s">
        <v>410</v>
      </c>
    </row>
    <row r="173" spans="1:9" ht="15" x14ac:dyDescent="0.25">
      <c r="A173" t="str">
        <f t="shared" si="2"/>
        <v>E2025171</v>
      </c>
      <c r="B173" s="108" t="s">
        <v>268</v>
      </c>
      <c r="C173" s="109">
        <v>171</v>
      </c>
      <c r="D173" s="109">
        <v>18</v>
      </c>
      <c r="E173" s="108" t="s">
        <v>269</v>
      </c>
      <c r="F173" s="108" t="s">
        <v>186</v>
      </c>
      <c r="G173" s="108" t="s">
        <v>181</v>
      </c>
      <c r="H173" s="110">
        <v>46014.854166666664</v>
      </c>
      <c r="I173" s="108" t="s">
        <v>411</v>
      </c>
    </row>
    <row r="174" spans="1:9" ht="15" x14ac:dyDescent="0.25">
      <c r="A174" t="str">
        <f t="shared" si="2"/>
        <v>E2025172</v>
      </c>
      <c r="B174" s="108" t="s">
        <v>268</v>
      </c>
      <c r="C174" s="109">
        <v>172</v>
      </c>
      <c r="D174" s="109">
        <v>18</v>
      </c>
      <c r="E174" s="108" t="s">
        <v>269</v>
      </c>
      <c r="F174" s="108" t="s">
        <v>194</v>
      </c>
      <c r="G174" s="108" t="s">
        <v>178</v>
      </c>
      <c r="H174" s="110">
        <v>46014.864583333336</v>
      </c>
      <c r="I174" s="108" t="s">
        <v>412</v>
      </c>
    </row>
    <row r="175" spans="1:9" ht="15" x14ac:dyDescent="0.25">
      <c r="A175" t="str">
        <f t="shared" si="2"/>
        <v>E2025173</v>
      </c>
      <c r="B175" s="108" t="s">
        <v>268</v>
      </c>
      <c r="C175" s="109">
        <v>173</v>
      </c>
      <c r="D175" s="109">
        <v>18</v>
      </c>
      <c r="E175" s="108" t="s">
        <v>269</v>
      </c>
      <c r="F175" s="108" t="s">
        <v>177</v>
      </c>
      <c r="G175" s="108" t="s">
        <v>182</v>
      </c>
      <c r="H175" s="110">
        <v>46014.864583333336</v>
      </c>
      <c r="I175" s="108" t="s">
        <v>413</v>
      </c>
    </row>
    <row r="176" spans="1:9" ht="15" x14ac:dyDescent="0.25">
      <c r="A176" t="str">
        <f t="shared" si="2"/>
        <v>E2025174</v>
      </c>
      <c r="B176" s="108" t="s">
        <v>268</v>
      </c>
      <c r="C176" s="109">
        <v>174</v>
      </c>
      <c r="D176" s="109">
        <v>18</v>
      </c>
      <c r="E176" s="108" t="s">
        <v>269</v>
      </c>
      <c r="F176" s="108" t="s">
        <v>191</v>
      </c>
      <c r="G176" s="108" t="s">
        <v>192</v>
      </c>
      <c r="H176" s="110">
        <v>46014.864583333336</v>
      </c>
      <c r="I176" s="108" t="s">
        <v>413</v>
      </c>
    </row>
    <row r="177" spans="1:9" ht="15" x14ac:dyDescent="0.25">
      <c r="A177" t="str">
        <f t="shared" si="2"/>
        <v>E2025175</v>
      </c>
      <c r="B177" s="108" t="s">
        <v>268</v>
      </c>
      <c r="C177" s="109">
        <v>175</v>
      </c>
      <c r="D177" s="109">
        <v>18</v>
      </c>
      <c r="E177" s="108" t="s">
        <v>269</v>
      </c>
      <c r="F177" s="108" t="s">
        <v>188</v>
      </c>
      <c r="G177" s="108" t="s">
        <v>179</v>
      </c>
      <c r="H177" s="110">
        <v>46014.854166666664</v>
      </c>
      <c r="I177" s="108" t="s">
        <v>414</v>
      </c>
    </row>
    <row r="178" spans="1:9" ht="15" x14ac:dyDescent="0.25">
      <c r="A178" t="str">
        <f t="shared" si="2"/>
        <v>E2025176</v>
      </c>
      <c r="B178" s="108" t="s">
        <v>268</v>
      </c>
      <c r="C178" s="109">
        <v>176</v>
      </c>
      <c r="D178" s="109">
        <v>18</v>
      </c>
      <c r="E178" s="108" t="s">
        <v>269</v>
      </c>
      <c r="F178" s="108" t="s">
        <v>196</v>
      </c>
      <c r="G178" s="108" t="s">
        <v>189</v>
      </c>
      <c r="H178" s="110">
        <v>46014.833333333336</v>
      </c>
      <c r="I178" s="108" t="s">
        <v>415</v>
      </c>
    </row>
    <row r="179" spans="1:9" ht="15" x14ac:dyDescent="0.25">
      <c r="A179" t="str">
        <f t="shared" si="2"/>
        <v>E2025177</v>
      </c>
      <c r="B179" s="108" t="s">
        <v>268</v>
      </c>
      <c r="C179" s="109">
        <v>177</v>
      </c>
      <c r="D179" s="109">
        <v>18</v>
      </c>
      <c r="E179" s="108" t="s">
        <v>269</v>
      </c>
      <c r="F179" s="108" t="s">
        <v>180</v>
      </c>
      <c r="G179" s="108" t="s">
        <v>185</v>
      </c>
      <c r="H179" s="110">
        <v>46014.833333333336</v>
      </c>
      <c r="I179" s="108" t="s">
        <v>416</v>
      </c>
    </row>
    <row r="180" spans="1:9" ht="15" x14ac:dyDescent="0.25">
      <c r="A180" t="str">
        <f t="shared" si="2"/>
        <v>E2025178</v>
      </c>
      <c r="B180" s="108" t="s">
        <v>268</v>
      </c>
      <c r="C180" s="109">
        <v>178</v>
      </c>
      <c r="D180" s="109">
        <v>18</v>
      </c>
      <c r="E180" s="108" t="s">
        <v>269</v>
      </c>
      <c r="F180" s="108" t="s">
        <v>184</v>
      </c>
      <c r="G180" s="108" t="s">
        <v>183</v>
      </c>
      <c r="H180" s="110">
        <v>46017.8125</v>
      </c>
      <c r="I180" s="108" t="s">
        <v>417</v>
      </c>
    </row>
    <row r="181" spans="1:9" ht="15" x14ac:dyDescent="0.25">
      <c r="A181" t="str">
        <f t="shared" si="2"/>
        <v>E2025179</v>
      </c>
      <c r="B181" s="108" t="s">
        <v>268</v>
      </c>
      <c r="C181" s="109">
        <v>179</v>
      </c>
      <c r="D181" s="109">
        <v>18</v>
      </c>
      <c r="E181" s="108" t="s">
        <v>269</v>
      </c>
      <c r="F181" s="108" t="s">
        <v>190</v>
      </c>
      <c r="G181" s="108" t="s">
        <v>193</v>
      </c>
      <c r="H181" s="110">
        <v>46017.75</v>
      </c>
      <c r="I181" s="108" t="s">
        <v>418</v>
      </c>
    </row>
    <row r="182" spans="1:9" ht="15" x14ac:dyDescent="0.25">
      <c r="A182" t="str">
        <f t="shared" si="2"/>
        <v>E2025180</v>
      </c>
      <c r="B182" s="108" t="s">
        <v>268</v>
      </c>
      <c r="C182" s="109">
        <v>180</v>
      </c>
      <c r="D182" s="109">
        <v>18</v>
      </c>
      <c r="E182" s="108" t="s">
        <v>269</v>
      </c>
      <c r="F182" s="108" t="s">
        <v>195</v>
      </c>
      <c r="G182" s="108" t="s">
        <v>187</v>
      </c>
      <c r="H182" s="110">
        <v>46017.854166666664</v>
      </c>
      <c r="I182" s="108" t="s">
        <v>419</v>
      </c>
    </row>
    <row r="183" spans="1:9" ht="15" x14ac:dyDescent="0.25">
      <c r="A183" t="str">
        <f t="shared" si="2"/>
        <v>E2025181</v>
      </c>
      <c r="B183" s="108" t="s">
        <v>268</v>
      </c>
      <c r="C183" s="109">
        <v>181</v>
      </c>
      <c r="D183" s="109">
        <v>19</v>
      </c>
      <c r="E183" s="108" t="s">
        <v>269</v>
      </c>
      <c r="F183" s="108" t="s">
        <v>178</v>
      </c>
      <c r="G183" s="108" t="s">
        <v>184</v>
      </c>
      <c r="H183" s="110">
        <v>46021.854166666664</v>
      </c>
      <c r="I183" s="108" t="s">
        <v>420</v>
      </c>
    </row>
    <row r="184" spans="1:9" ht="15" x14ac:dyDescent="0.25">
      <c r="A184" t="str">
        <f t="shared" si="2"/>
        <v>E2025182</v>
      </c>
      <c r="B184" s="108" t="s">
        <v>268</v>
      </c>
      <c r="C184" s="109">
        <v>182</v>
      </c>
      <c r="D184" s="109">
        <v>19</v>
      </c>
      <c r="E184" s="108" t="s">
        <v>269</v>
      </c>
      <c r="F184" s="108" t="s">
        <v>181</v>
      </c>
      <c r="G184" s="108" t="s">
        <v>196</v>
      </c>
      <c r="H184" s="110">
        <v>46021.878472222219</v>
      </c>
      <c r="I184" s="108" t="s">
        <v>421</v>
      </c>
    </row>
    <row r="185" spans="1:9" ht="15" x14ac:dyDescent="0.25">
      <c r="A185" t="str">
        <f t="shared" si="2"/>
        <v>E2025183</v>
      </c>
      <c r="B185" s="108" t="s">
        <v>268</v>
      </c>
      <c r="C185" s="109">
        <v>183</v>
      </c>
      <c r="D185" s="109">
        <v>19</v>
      </c>
      <c r="E185" s="108" t="s">
        <v>269</v>
      </c>
      <c r="F185" s="108" t="s">
        <v>177</v>
      </c>
      <c r="G185" s="108" t="s">
        <v>191</v>
      </c>
      <c r="H185" s="110">
        <v>46021.833333333336</v>
      </c>
      <c r="I185" s="108" t="s">
        <v>422</v>
      </c>
    </row>
    <row r="186" spans="1:9" ht="15" x14ac:dyDescent="0.25">
      <c r="A186" t="str">
        <f t="shared" si="2"/>
        <v>E2025184</v>
      </c>
      <c r="B186" s="108" t="s">
        <v>268</v>
      </c>
      <c r="C186" s="109">
        <v>184</v>
      </c>
      <c r="D186" s="109">
        <v>19</v>
      </c>
      <c r="E186" s="108" t="s">
        <v>269</v>
      </c>
      <c r="F186" s="108" t="s">
        <v>188</v>
      </c>
      <c r="G186" s="108" t="s">
        <v>190</v>
      </c>
      <c r="H186" s="110">
        <v>46021.854166666664</v>
      </c>
      <c r="I186" s="108" t="s">
        <v>420</v>
      </c>
    </row>
    <row r="187" spans="1:9" ht="15" x14ac:dyDescent="0.25">
      <c r="A187" t="str">
        <f t="shared" si="2"/>
        <v>E2025185</v>
      </c>
      <c r="B187" s="108" t="s">
        <v>268</v>
      </c>
      <c r="C187" s="109">
        <v>185</v>
      </c>
      <c r="D187" s="109">
        <v>19</v>
      </c>
      <c r="E187" s="108" t="s">
        <v>269</v>
      </c>
      <c r="F187" s="108" t="s">
        <v>182</v>
      </c>
      <c r="G187" s="108" t="s">
        <v>192</v>
      </c>
      <c r="H187" s="110">
        <v>46024.854166666664</v>
      </c>
      <c r="I187" s="108" t="s">
        <v>423</v>
      </c>
    </row>
    <row r="188" spans="1:9" ht="15" x14ac:dyDescent="0.25">
      <c r="A188" t="str">
        <f t="shared" si="2"/>
        <v>E2025186</v>
      </c>
      <c r="B188" s="108" t="s">
        <v>268</v>
      </c>
      <c r="C188" s="109">
        <v>186</v>
      </c>
      <c r="D188" s="109">
        <v>19</v>
      </c>
      <c r="E188" s="108" t="s">
        <v>269</v>
      </c>
      <c r="F188" s="108" t="s">
        <v>179</v>
      </c>
      <c r="G188" s="108" t="s">
        <v>194</v>
      </c>
      <c r="H188" s="110">
        <v>46024.854166666664</v>
      </c>
      <c r="I188" s="108" t="s">
        <v>424</v>
      </c>
    </row>
    <row r="189" spans="1:9" ht="15" x14ac:dyDescent="0.25">
      <c r="A189" t="str">
        <f t="shared" si="2"/>
        <v>E2025187</v>
      </c>
      <c r="B189" s="108" t="s">
        <v>268</v>
      </c>
      <c r="C189" s="109">
        <v>187</v>
      </c>
      <c r="D189" s="109">
        <v>19</v>
      </c>
      <c r="E189" s="108" t="s">
        <v>269</v>
      </c>
      <c r="F189" s="108" t="s">
        <v>186</v>
      </c>
      <c r="G189" s="108" t="s">
        <v>193</v>
      </c>
      <c r="H189" s="110">
        <v>46024.875</v>
      </c>
      <c r="I189" s="108" t="s">
        <v>425</v>
      </c>
    </row>
    <row r="190" spans="1:9" ht="15" x14ac:dyDescent="0.25">
      <c r="A190" t="str">
        <f t="shared" si="2"/>
        <v>E2025188</v>
      </c>
      <c r="B190" s="108" t="s">
        <v>268</v>
      </c>
      <c r="C190" s="109">
        <v>188</v>
      </c>
      <c r="D190" s="109">
        <v>19</v>
      </c>
      <c r="E190" s="108" t="s">
        <v>269</v>
      </c>
      <c r="F190" s="108" t="s">
        <v>189</v>
      </c>
      <c r="G190" s="108" t="s">
        <v>187</v>
      </c>
      <c r="H190" s="110">
        <v>46024.885416666664</v>
      </c>
      <c r="I190" s="108" t="s">
        <v>426</v>
      </c>
    </row>
    <row r="191" spans="1:9" ht="15" x14ac:dyDescent="0.25">
      <c r="A191" t="str">
        <f t="shared" si="2"/>
        <v>E2025189</v>
      </c>
      <c r="B191" s="108" t="s">
        <v>268</v>
      </c>
      <c r="C191" s="109">
        <v>189</v>
      </c>
      <c r="D191" s="109">
        <v>19</v>
      </c>
      <c r="E191" s="108" t="s">
        <v>269</v>
      </c>
      <c r="F191" s="108" t="s">
        <v>183</v>
      </c>
      <c r="G191" s="108" t="s">
        <v>180</v>
      </c>
      <c r="H191" s="110">
        <v>46024.864583333336</v>
      </c>
      <c r="I191" s="108" t="s">
        <v>427</v>
      </c>
    </row>
    <row r="192" spans="1:9" ht="15" x14ac:dyDescent="0.25">
      <c r="A192" t="str">
        <f t="shared" si="2"/>
        <v>E2025190</v>
      </c>
      <c r="B192" s="108" t="s">
        <v>268</v>
      </c>
      <c r="C192" s="109">
        <v>190</v>
      </c>
      <c r="D192" s="109">
        <v>19</v>
      </c>
      <c r="E192" s="108" t="s">
        <v>269</v>
      </c>
      <c r="F192" s="108" t="s">
        <v>195</v>
      </c>
      <c r="G192" s="108" t="s">
        <v>185</v>
      </c>
      <c r="H192" s="110">
        <v>46024.854166666664</v>
      </c>
      <c r="I192" s="108" t="s">
        <v>424</v>
      </c>
    </row>
    <row r="193" spans="1:9" ht="15" x14ac:dyDescent="0.25">
      <c r="A193" t="str">
        <f t="shared" si="2"/>
        <v>E2025191</v>
      </c>
      <c r="B193" s="108" t="s">
        <v>268</v>
      </c>
      <c r="C193" s="109">
        <v>191</v>
      </c>
      <c r="D193" s="109">
        <v>20</v>
      </c>
      <c r="E193" s="108" t="s">
        <v>269</v>
      </c>
      <c r="F193" s="108" t="s">
        <v>184</v>
      </c>
      <c r="G193" s="108" t="s">
        <v>190</v>
      </c>
      <c r="H193" s="110">
        <v>46028.8125</v>
      </c>
      <c r="I193" s="108" t="s">
        <v>428</v>
      </c>
    </row>
    <row r="194" spans="1:9" ht="15" x14ac:dyDescent="0.25">
      <c r="A194" t="str">
        <f t="shared" si="2"/>
        <v>E2025192</v>
      </c>
      <c r="B194" s="108" t="s">
        <v>268</v>
      </c>
      <c r="C194" s="109">
        <v>192</v>
      </c>
      <c r="D194" s="109">
        <v>20</v>
      </c>
      <c r="E194" s="108" t="s">
        <v>269</v>
      </c>
      <c r="F194" s="108" t="s">
        <v>192</v>
      </c>
      <c r="G194" s="108" t="s">
        <v>188</v>
      </c>
      <c r="H194" s="110">
        <v>46028.833333333336</v>
      </c>
      <c r="I194" s="108" t="s">
        <v>429</v>
      </c>
    </row>
    <row r="195" spans="1:9" ht="15" x14ac:dyDescent="0.25">
      <c r="A195" t="str">
        <f t="shared" si="2"/>
        <v>E2025193</v>
      </c>
      <c r="B195" s="108" t="s">
        <v>268</v>
      </c>
      <c r="C195" s="109">
        <v>193</v>
      </c>
      <c r="D195" s="109">
        <v>20</v>
      </c>
      <c r="E195" s="108" t="s">
        <v>269</v>
      </c>
      <c r="F195" s="108" t="s">
        <v>178</v>
      </c>
      <c r="G195" s="108" t="s">
        <v>193</v>
      </c>
      <c r="H195" s="110">
        <v>46028.854166666664</v>
      </c>
      <c r="I195" s="108" t="s">
        <v>430</v>
      </c>
    </row>
    <row r="196" spans="1:9" ht="15" x14ac:dyDescent="0.25">
      <c r="A196" t="str">
        <f t="shared" ref="A196:A259" si="3">B196&amp;TEXT(C196,"000")</f>
        <v>E2025194</v>
      </c>
      <c r="B196" s="108" t="s">
        <v>268</v>
      </c>
      <c r="C196" s="109">
        <v>194</v>
      </c>
      <c r="D196" s="109">
        <v>20</v>
      </c>
      <c r="E196" s="108" t="s">
        <v>269</v>
      </c>
      <c r="F196" s="108" t="s">
        <v>194</v>
      </c>
      <c r="G196" s="108" t="s">
        <v>187</v>
      </c>
      <c r="H196" s="110">
        <v>46028.864583333336</v>
      </c>
      <c r="I196" s="108" t="s">
        <v>431</v>
      </c>
    </row>
    <row r="197" spans="1:9" ht="15" x14ac:dyDescent="0.25">
      <c r="A197" t="str">
        <f t="shared" si="3"/>
        <v>E2025195</v>
      </c>
      <c r="B197" s="108" t="s">
        <v>268</v>
      </c>
      <c r="C197" s="109">
        <v>195</v>
      </c>
      <c r="D197" s="109">
        <v>20</v>
      </c>
      <c r="E197" s="108" t="s">
        <v>269</v>
      </c>
      <c r="F197" s="108" t="s">
        <v>181</v>
      </c>
      <c r="G197" s="108" t="s">
        <v>180</v>
      </c>
      <c r="H197" s="110">
        <v>46028.833333333336</v>
      </c>
      <c r="I197" s="108" t="s">
        <v>432</v>
      </c>
    </row>
    <row r="198" spans="1:9" ht="15" x14ac:dyDescent="0.25">
      <c r="A198" t="str">
        <f t="shared" si="3"/>
        <v>E2025196</v>
      </c>
      <c r="B198" s="108" t="s">
        <v>268</v>
      </c>
      <c r="C198" s="109">
        <v>196</v>
      </c>
      <c r="D198" s="109">
        <v>20</v>
      </c>
      <c r="E198" s="108" t="s">
        <v>269</v>
      </c>
      <c r="F198" s="108" t="s">
        <v>177</v>
      </c>
      <c r="G198" s="108" t="s">
        <v>183</v>
      </c>
      <c r="H198" s="110">
        <v>46028.833333333336</v>
      </c>
      <c r="I198" s="108" t="s">
        <v>429</v>
      </c>
    </row>
    <row r="199" spans="1:9" ht="15" x14ac:dyDescent="0.25">
      <c r="A199" t="str">
        <f t="shared" si="3"/>
        <v>E2025197</v>
      </c>
      <c r="B199" s="108" t="s">
        <v>268</v>
      </c>
      <c r="C199" s="109">
        <v>197</v>
      </c>
      <c r="D199" s="109">
        <v>20</v>
      </c>
      <c r="E199" s="108" t="s">
        <v>269</v>
      </c>
      <c r="F199" s="108" t="s">
        <v>189</v>
      </c>
      <c r="G199" s="108" t="s">
        <v>185</v>
      </c>
      <c r="H199" s="110">
        <v>46028.885416666664</v>
      </c>
      <c r="I199" s="108" t="s">
        <v>433</v>
      </c>
    </row>
    <row r="200" spans="1:9" ht="15" x14ac:dyDescent="0.25">
      <c r="A200" t="str">
        <f t="shared" si="3"/>
        <v>E2025198</v>
      </c>
      <c r="B200" s="108" t="s">
        <v>268</v>
      </c>
      <c r="C200" s="109">
        <v>198</v>
      </c>
      <c r="D200" s="109">
        <v>20</v>
      </c>
      <c r="E200" s="108" t="s">
        <v>269</v>
      </c>
      <c r="F200" s="108" t="s">
        <v>195</v>
      </c>
      <c r="G200" s="108" t="s">
        <v>196</v>
      </c>
      <c r="H200" s="110">
        <v>46028.854166666664</v>
      </c>
      <c r="I200" s="108" t="s">
        <v>430</v>
      </c>
    </row>
    <row r="201" spans="1:9" ht="15" x14ac:dyDescent="0.25">
      <c r="A201" t="str">
        <f t="shared" si="3"/>
        <v>E2025199</v>
      </c>
      <c r="B201" s="108" t="s">
        <v>268</v>
      </c>
      <c r="C201" s="109">
        <v>199</v>
      </c>
      <c r="D201" s="109">
        <v>20</v>
      </c>
      <c r="E201" s="108" t="s">
        <v>269</v>
      </c>
      <c r="F201" s="108" t="s">
        <v>182</v>
      </c>
      <c r="G201" s="108" t="s">
        <v>191</v>
      </c>
      <c r="H201" s="110">
        <v>46029.854166666664</v>
      </c>
      <c r="I201" s="108" t="s">
        <v>434</v>
      </c>
    </row>
    <row r="202" spans="1:9" ht="15" x14ac:dyDescent="0.25">
      <c r="A202" t="str">
        <f t="shared" si="3"/>
        <v>E2025200</v>
      </c>
      <c r="B202" s="108" t="s">
        <v>268</v>
      </c>
      <c r="C202" s="109">
        <v>200</v>
      </c>
      <c r="D202" s="109">
        <v>20</v>
      </c>
      <c r="E202" s="108" t="s">
        <v>269</v>
      </c>
      <c r="F202" s="108" t="s">
        <v>186</v>
      </c>
      <c r="G202" s="108" t="s">
        <v>179</v>
      </c>
      <c r="H202" s="110">
        <v>46029.854166666664</v>
      </c>
      <c r="I202" s="108" t="s">
        <v>435</v>
      </c>
    </row>
    <row r="203" spans="1:9" ht="15" x14ac:dyDescent="0.25">
      <c r="A203" t="str">
        <f t="shared" si="3"/>
        <v>E2025201</v>
      </c>
      <c r="B203" s="108" t="s">
        <v>268</v>
      </c>
      <c r="C203" s="109">
        <v>201</v>
      </c>
      <c r="D203" s="109">
        <v>21</v>
      </c>
      <c r="E203" s="108" t="s">
        <v>269</v>
      </c>
      <c r="F203" s="108" t="s">
        <v>180</v>
      </c>
      <c r="G203" s="108" t="s">
        <v>194</v>
      </c>
      <c r="H203" s="110">
        <v>46030.833333333336</v>
      </c>
      <c r="I203" s="108" t="s">
        <v>436</v>
      </c>
    </row>
    <row r="204" spans="1:9" ht="15" x14ac:dyDescent="0.25">
      <c r="A204" t="str">
        <f t="shared" si="3"/>
        <v>E2025202</v>
      </c>
      <c r="B204" s="108" t="s">
        <v>268</v>
      </c>
      <c r="C204" s="109">
        <v>202</v>
      </c>
      <c r="D204" s="109">
        <v>21</v>
      </c>
      <c r="E204" s="108" t="s">
        <v>269</v>
      </c>
      <c r="F204" s="108" t="s">
        <v>183</v>
      </c>
      <c r="G204" s="108" t="s">
        <v>193</v>
      </c>
      <c r="H204" s="110">
        <v>46030.864583333336</v>
      </c>
      <c r="I204" s="108" t="s">
        <v>437</v>
      </c>
    </row>
    <row r="205" spans="1:9" ht="15" x14ac:dyDescent="0.25">
      <c r="A205" t="str">
        <f t="shared" si="3"/>
        <v>E2025203</v>
      </c>
      <c r="B205" s="108" t="s">
        <v>268</v>
      </c>
      <c r="C205" s="109">
        <v>203</v>
      </c>
      <c r="D205" s="109">
        <v>21</v>
      </c>
      <c r="E205" s="108" t="s">
        <v>269</v>
      </c>
      <c r="F205" s="108" t="s">
        <v>188</v>
      </c>
      <c r="G205" s="108" t="s">
        <v>184</v>
      </c>
      <c r="H205" s="110">
        <v>46030.854166666664</v>
      </c>
      <c r="I205" s="108" t="s">
        <v>438</v>
      </c>
    </row>
    <row r="206" spans="1:9" ht="15" x14ac:dyDescent="0.25">
      <c r="A206" t="str">
        <f t="shared" si="3"/>
        <v>E2025204</v>
      </c>
      <c r="B206" s="108" t="s">
        <v>268</v>
      </c>
      <c r="C206" s="109">
        <v>204</v>
      </c>
      <c r="D206" s="109">
        <v>21</v>
      </c>
      <c r="E206" s="108" t="s">
        <v>269</v>
      </c>
      <c r="F206" s="108" t="s">
        <v>189</v>
      </c>
      <c r="G206" s="108" t="s">
        <v>195</v>
      </c>
      <c r="H206" s="110">
        <v>46030.885416666664</v>
      </c>
      <c r="I206" s="108" t="s">
        <v>439</v>
      </c>
    </row>
    <row r="207" spans="1:9" ht="15" x14ac:dyDescent="0.25">
      <c r="A207" t="str">
        <f t="shared" si="3"/>
        <v>E2025205</v>
      </c>
      <c r="B207" s="108" t="s">
        <v>268</v>
      </c>
      <c r="C207" s="109">
        <v>205</v>
      </c>
      <c r="D207" s="109">
        <v>21</v>
      </c>
      <c r="E207" s="108" t="s">
        <v>269</v>
      </c>
      <c r="F207" s="108" t="s">
        <v>181</v>
      </c>
      <c r="G207" s="108" t="s">
        <v>191</v>
      </c>
      <c r="H207" s="110">
        <v>46031.833333333336</v>
      </c>
      <c r="I207" s="108" t="s">
        <v>440</v>
      </c>
    </row>
    <row r="208" spans="1:9" ht="15" x14ac:dyDescent="0.25">
      <c r="A208" t="str">
        <f t="shared" si="3"/>
        <v>E2025206</v>
      </c>
      <c r="B208" s="108" t="s">
        <v>268</v>
      </c>
      <c r="C208" s="109">
        <v>206</v>
      </c>
      <c r="D208" s="109">
        <v>21</v>
      </c>
      <c r="E208" s="108" t="s">
        <v>269</v>
      </c>
      <c r="F208" s="108" t="s">
        <v>179</v>
      </c>
      <c r="G208" s="108" t="s">
        <v>177</v>
      </c>
      <c r="H208" s="110">
        <v>46031.854166666664</v>
      </c>
      <c r="I208" s="108" t="s">
        <v>441</v>
      </c>
    </row>
    <row r="209" spans="1:9" ht="15" x14ac:dyDescent="0.25">
      <c r="A209" t="str">
        <f t="shared" si="3"/>
        <v>E2025207</v>
      </c>
      <c r="B209" s="108" t="s">
        <v>268</v>
      </c>
      <c r="C209" s="109">
        <v>207</v>
      </c>
      <c r="D209" s="109">
        <v>21</v>
      </c>
      <c r="E209" s="108" t="s">
        <v>269</v>
      </c>
      <c r="F209" s="108" t="s">
        <v>185</v>
      </c>
      <c r="G209" s="108" t="s">
        <v>182</v>
      </c>
      <c r="H209" s="110">
        <v>46031.854166666664</v>
      </c>
      <c r="I209" s="108" t="s">
        <v>441</v>
      </c>
    </row>
    <row r="210" spans="1:9" ht="15" x14ac:dyDescent="0.25">
      <c r="A210" t="str">
        <f t="shared" si="3"/>
        <v>E2025208</v>
      </c>
      <c r="B210" s="108" t="s">
        <v>268</v>
      </c>
      <c r="C210" s="109">
        <v>208</v>
      </c>
      <c r="D210" s="109">
        <v>21</v>
      </c>
      <c r="E210" s="108" t="s">
        <v>269</v>
      </c>
      <c r="F210" s="108" t="s">
        <v>178</v>
      </c>
      <c r="G210" s="108" t="s">
        <v>190</v>
      </c>
      <c r="H210" s="110">
        <v>46031.854166666664</v>
      </c>
      <c r="I210" s="108" t="s">
        <v>441</v>
      </c>
    </row>
    <row r="211" spans="1:9" ht="15" x14ac:dyDescent="0.25">
      <c r="A211" t="str">
        <f t="shared" si="3"/>
        <v>E2025209</v>
      </c>
      <c r="B211" s="108" t="s">
        <v>268</v>
      </c>
      <c r="C211" s="109">
        <v>209</v>
      </c>
      <c r="D211" s="109">
        <v>21</v>
      </c>
      <c r="E211" s="108" t="s">
        <v>269</v>
      </c>
      <c r="F211" s="108" t="s">
        <v>187</v>
      </c>
      <c r="G211" s="108" t="s">
        <v>186</v>
      </c>
      <c r="H211" s="110">
        <v>46031.885416666664</v>
      </c>
      <c r="I211" s="108" t="s">
        <v>442</v>
      </c>
    </row>
    <row r="212" spans="1:9" ht="15" x14ac:dyDescent="0.25">
      <c r="A212" t="str">
        <f t="shared" si="3"/>
        <v>E2025210</v>
      </c>
      <c r="B212" s="108" t="s">
        <v>268</v>
      </c>
      <c r="C212" s="109">
        <v>210</v>
      </c>
      <c r="D212" s="109">
        <v>21</v>
      </c>
      <c r="E212" s="108" t="s">
        <v>269</v>
      </c>
      <c r="F212" s="108" t="s">
        <v>196</v>
      </c>
      <c r="G212" s="108" t="s">
        <v>192</v>
      </c>
      <c r="H212" s="110">
        <v>46031.833333333336</v>
      </c>
      <c r="I212" s="108" t="s">
        <v>440</v>
      </c>
    </row>
    <row r="213" spans="1:9" ht="15" x14ac:dyDescent="0.25">
      <c r="A213" t="str">
        <f t="shared" si="3"/>
        <v>E2025211</v>
      </c>
      <c r="B213" s="108" t="s">
        <v>268</v>
      </c>
      <c r="C213" s="109">
        <v>211</v>
      </c>
      <c r="D213" s="109">
        <v>22</v>
      </c>
      <c r="E213" s="108" t="s">
        <v>269</v>
      </c>
      <c r="F213" s="108" t="s">
        <v>182</v>
      </c>
      <c r="G213" s="108" t="s">
        <v>179</v>
      </c>
      <c r="H213" s="110">
        <v>46037.854166666664</v>
      </c>
      <c r="I213" s="108" t="s">
        <v>443</v>
      </c>
    </row>
    <row r="214" spans="1:9" ht="15" x14ac:dyDescent="0.25">
      <c r="A214" t="str">
        <f t="shared" si="3"/>
        <v>E2025212</v>
      </c>
      <c r="B214" s="108" t="s">
        <v>268</v>
      </c>
      <c r="C214" s="109">
        <v>212</v>
      </c>
      <c r="D214" s="109">
        <v>22</v>
      </c>
      <c r="E214" s="108" t="s">
        <v>269</v>
      </c>
      <c r="F214" s="108" t="s">
        <v>186</v>
      </c>
      <c r="G214" s="108" t="s">
        <v>189</v>
      </c>
      <c r="H214" s="110">
        <v>46037.854166666664</v>
      </c>
      <c r="I214" s="108" t="s">
        <v>444</v>
      </c>
    </row>
    <row r="215" spans="1:9" ht="15" x14ac:dyDescent="0.25">
      <c r="A215" t="str">
        <f t="shared" si="3"/>
        <v>E2025213</v>
      </c>
      <c r="B215" s="108" t="s">
        <v>268</v>
      </c>
      <c r="C215" s="109">
        <v>213</v>
      </c>
      <c r="D215" s="109">
        <v>22</v>
      </c>
      <c r="E215" s="108" t="s">
        <v>269</v>
      </c>
      <c r="F215" s="108" t="s">
        <v>193</v>
      </c>
      <c r="G215" s="108" t="s">
        <v>196</v>
      </c>
      <c r="H215" s="110">
        <v>46037.836805555555</v>
      </c>
      <c r="I215" s="108" t="s">
        <v>445</v>
      </c>
    </row>
    <row r="216" spans="1:9" ht="15" x14ac:dyDescent="0.25">
      <c r="A216" t="str">
        <f t="shared" si="3"/>
        <v>E2025214</v>
      </c>
      <c r="B216" s="108" t="s">
        <v>268</v>
      </c>
      <c r="C216" s="109">
        <v>214</v>
      </c>
      <c r="D216" s="109">
        <v>22</v>
      </c>
      <c r="E216" s="108" t="s">
        <v>269</v>
      </c>
      <c r="F216" s="108" t="s">
        <v>191</v>
      </c>
      <c r="G216" s="108" t="s">
        <v>184</v>
      </c>
      <c r="H216" s="110">
        <v>46037.864583333336</v>
      </c>
      <c r="I216" s="108" t="s">
        <v>446</v>
      </c>
    </row>
    <row r="217" spans="1:9" ht="15" x14ac:dyDescent="0.25">
      <c r="A217" t="str">
        <f t="shared" si="3"/>
        <v>E2025215</v>
      </c>
      <c r="B217" s="108" t="s">
        <v>268</v>
      </c>
      <c r="C217" s="109">
        <v>215</v>
      </c>
      <c r="D217" s="109">
        <v>22</v>
      </c>
      <c r="E217" s="108" t="s">
        <v>269</v>
      </c>
      <c r="F217" s="108" t="s">
        <v>180</v>
      </c>
      <c r="G217" s="108" t="s">
        <v>195</v>
      </c>
      <c r="H217" s="110">
        <v>46037.833333333336</v>
      </c>
      <c r="I217" s="108" t="s">
        <v>447</v>
      </c>
    </row>
    <row r="218" spans="1:9" ht="15" x14ac:dyDescent="0.25">
      <c r="A218" t="str">
        <f t="shared" si="3"/>
        <v>E2025216</v>
      </c>
      <c r="B218" s="108" t="s">
        <v>268</v>
      </c>
      <c r="C218" s="109">
        <v>216</v>
      </c>
      <c r="D218" s="109">
        <v>22</v>
      </c>
      <c r="E218" s="108" t="s">
        <v>269</v>
      </c>
      <c r="F218" s="108" t="s">
        <v>185</v>
      </c>
      <c r="G218" s="108" t="s">
        <v>192</v>
      </c>
      <c r="H218" s="110">
        <v>46037.854166666664</v>
      </c>
      <c r="I218" s="108" t="s">
        <v>448</v>
      </c>
    </row>
    <row r="219" spans="1:9" ht="15" x14ac:dyDescent="0.25">
      <c r="A219" t="str">
        <f t="shared" si="3"/>
        <v>E2025217</v>
      </c>
      <c r="B219" s="108" t="s">
        <v>268</v>
      </c>
      <c r="C219" s="109">
        <v>217</v>
      </c>
      <c r="D219" s="109">
        <v>22</v>
      </c>
      <c r="E219" s="108" t="s">
        <v>269</v>
      </c>
      <c r="F219" s="108" t="s">
        <v>194</v>
      </c>
      <c r="G219" s="108" t="s">
        <v>188</v>
      </c>
      <c r="H219" s="110">
        <v>46038.864583333336</v>
      </c>
      <c r="I219" s="108" t="s">
        <v>449</v>
      </c>
    </row>
    <row r="220" spans="1:9" ht="15" x14ac:dyDescent="0.25">
      <c r="A220" t="str">
        <f t="shared" si="3"/>
        <v>E2025218</v>
      </c>
      <c r="B220" s="108" t="s">
        <v>268</v>
      </c>
      <c r="C220" s="109">
        <v>218</v>
      </c>
      <c r="D220" s="109">
        <v>22</v>
      </c>
      <c r="E220" s="108" t="s">
        <v>269</v>
      </c>
      <c r="F220" s="108" t="s">
        <v>177</v>
      </c>
      <c r="G220" s="108" t="s">
        <v>181</v>
      </c>
      <c r="H220" s="110">
        <v>46038.833333333336</v>
      </c>
      <c r="I220" s="108" t="s">
        <v>450</v>
      </c>
    </row>
    <row r="221" spans="1:9" ht="15" x14ac:dyDescent="0.25">
      <c r="A221" t="str">
        <f t="shared" si="3"/>
        <v>E2025219</v>
      </c>
      <c r="B221" s="108" t="s">
        <v>268</v>
      </c>
      <c r="C221" s="109">
        <v>219</v>
      </c>
      <c r="D221" s="109">
        <v>22</v>
      </c>
      <c r="E221" s="108" t="s">
        <v>269</v>
      </c>
      <c r="F221" s="108" t="s">
        <v>190</v>
      </c>
      <c r="G221" s="108" t="s">
        <v>187</v>
      </c>
      <c r="H221" s="110">
        <v>46036.854166666664</v>
      </c>
      <c r="I221" s="108" t="s">
        <v>451</v>
      </c>
    </row>
    <row r="222" spans="1:9" ht="15" x14ac:dyDescent="0.25">
      <c r="A222" t="str">
        <f t="shared" si="3"/>
        <v>E2025220</v>
      </c>
      <c r="B222" s="108" t="s">
        <v>268</v>
      </c>
      <c r="C222" s="109">
        <v>220</v>
      </c>
      <c r="D222" s="109">
        <v>22</v>
      </c>
      <c r="E222" s="108" t="s">
        <v>269</v>
      </c>
      <c r="F222" s="108" t="s">
        <v>183</v>
      </c>
      <c r="G222" s="108" t="s">
        <v>178</v>
      </c>
      <c r="H222" s="110">
        <v>46038.864583333336</v>
      </c>
      <c r="I222" s="108" t="s">
        <v>452</v>
      </c>
    </row>
    <row r="223" spans="1:9" ht="15" x14ac:dyDescent="0.25">
      <c r="A223" t="str">
        <f t="shared" si="3"/>
        <v>E2025221</v>
      </c>
      <c r="B223" s="108" t="s">
        <v>268</v>
      </c>
      <c r="C223" s="109">
        <v>221</v>
      </c>
      <c r="D223" s="109">
        <v>23</v>
      </c>
      <c r="E223" s="108" t="s">
        <v>269</v>
      </c>
      <c r="F223" s="108" t="s">
        <v>184</v>
      </c>
      <c r="G223" s="108" t="s">
        <v>192</v>
      </c>
      <c r="H223" s="110">
        <v>46042.78125</v>
      </c>
      <c r="I223" s="108" t="s">
        <v>453</v>
      </c>
    </row>
    <row r="224" spans="1:9" ht="15" x14ac:dyDescent="0.25">
      <c r="A224" t="str">
        <f t="shared" si="3"/>
        <v>E2025222</v>
      </c>
      <c r="B224" s="108" t="s">
        <v>268</v>
      </c>
      <c r="C224" s="109">
        <v>222</v>
      </c>
      <c r="D224" s="109">
        <v>23</v>
      </c>
      <c r="E224" s="108" t="s">
        <v>269</v>
      </c>
      <c r="F224" s="108" t="s">
        <v>178</v>
      </c>
      <c r="G224" s="108" t="s">
        <v>180</v>
      </c>
      <c r="H224" s="110">
        <v>46042.854166666664</v>
      </c>
      <c r="I224" s="108" t="s">
        <v>454</v>
      </c>
    </row>
    <row r="225" spans="1:9" ht="15" x14ac:dyDescent="0.25">
      <c r="A225" t="str">
        <f t="shared" si="3"/>
        <v>E2025223</v>
      </c>
      <c r="B225" s="108" t="s">
        <v>268</v>
      </c>
      <c r="C225" s="109">
        <v>223</v>
      </c>
      <c r="D225" s="109">
        <v>23</v>
      </c>
      <c r="E225" s="108" t="s">
        <v>269</v>
      </c>
      <c r="F225" s="108" t="s">
        <v>181</v>
      </c>
      <c r="G225" s="108" t="s">
        <v>182</v>
      </c>
      <c r="H225" s="110">
        <v>46042.8125</v>
      </c>
      <c r="I225" s="108" t="s">
        <v>455</v>
      </c>
    </row>
    <row r="226" spans="1:9" ht="15" x14ac:dyDescent="0.25">
      <c r="A226" t="str">
        <f t="shared" si="3"/>
        <v>E2025224</v>
      </c>
      <c r="B226" s="108" t="s">
        <v>268</v>
      </c>
      <c r="C226" s="109">
        <v>224</v>
      </c>
      <c r="D226" s="109">
        <v>23</v>
      </c>
      <c r="E226" s="108" t="s">
        <v>269</v>
      </c>
      <c r="F226" s="108" t="s">
        <v>187</v>
      </c>
      <c r="G226" s="108" t="s">
        <v>193</v>
      </c>
      <c r="H226" s="110">
        <v>46042.729166666664</v>
      </c>
      <c r="I226" s="108" t="s">
        <v>456</v>
      </c>
    </row>
    <row r="227" spans="1:9" ht="15" x14ac:dyDescent="0.25">
      <c r="A227" t="str">
        <f t="shared" si="3"/>
        <v>E2025225</v>
      </c>
      <c r="B227" s="108" t="s">
        <v>268</v>
      </c>
      <c r="C227" s="109">
        <v>225</v>
      </c>
      <c r="D227" s="109">
        <v>23</v>
      </c>
      <c r="E227" s="108" t="s">
        <v>269</v>
      </c>
      <c r="F227" s="108" t="s">
        <v>189</v>
      </c>
      <c r="G227" s="108" t="s">
        <v>179</v>
      </c>
      <c r="H227" s="110">
        <v>46042.885416666664</v>
      </c>
      <c r="I227" s="108" t="s">
        <v>457</v>
      </c>
    </row>
    <row r="228" spans="1:9" ht="15" x14ac:dyDescent="0.25">
      <c r="A228" t="str">
        <f t="shared" si="3"/>
        <v>E2025226</v>
      </c>
      <c r="B228" s="108" t="s">
        <v>268</v>
      </c>
      <c r="C228" s="109">
        <v>226</v>
      </c>
      <c r="D228" s="109">
        <v>23</v>
      </c>
      <c r="E228" s="108" t="s">
        <v>269</v>
      </c>
      <c r="F228" s="108" t="s">
        <v>186</v>
      </c>
      <c r="G228" s="108" t="s">
        <v>190</v>
      </c>
      <c r="H228" s="110">
        <v>46042.854166666664</v>
      </c>
      <c r="I228" s="108" t="s">
        <v>454</v>
      </c>
    </row>
    <row r="229" spans="1:9" ht="15" x14ac:dyDescent="0.25">
      <c r="A229" t="str">
        <f t="shared" si="3"/>
        <v>E2025227</v>
      </c>
      <c r="B229" s="108" t="s">
        <v>268</v>
      </c>
      <c r="C229" s="109">
        <v>227</v>
      </c>
      <c r="D229" s="109">
        <v>23</v>
      </c>
      <c r="E229" s="108" t="s">
        <v>269</v>
      </c>
      <c r="F229" s="108" t="s">
        <v>183</v>
      </c>
      <c r="G229" s="108" t="s">
        <v>185</v>
      </c>
      <c r="H229" s="110">
        <v>46042.864583333336</v>
      </c>
      <c r="I229" s="108" t="s">
        <v>458</v>
      </c>
    </row>
    <row r="230" spans="1:9" ht="15" x14ac:dyDescent="0.25">
      <c r="A230" t="str">
        <f t="shared" si="3"/>
        <v>E2025228</v>
      </c>
      <c r="B230" s="108" t="s">
        <v>268</v>
      </c>
      <c r="C230" s="109">
        <v>228</v>
      </c>
      <c r="D230" s="109">
        <v>23</v>
      </c>
      <c r="E230" s="108" t="s">
        <v>269</v>
      </c>
      <c r="F230" s="108" t="s">
        <v>188</v>
      </c>
      <c r="G230" s="108" t="s">
        <v>191</v>
      </c>
      <c r="H230" s="110">
        <v>46042.854166666664</v>
      </c>
      <c r="I230" s="108" t="s">
        <v>454</v>
      </c>
    </row>
    <row r="231" spans="1:9" ht="15" x14ac:dyDescent="0.25">
      <c r="A231" t="str">
        <f t="shared" si="3"/>
        <v>E2025229</v>
      </c>
      <c r="B231" s="108" t="s">
        <v>268</v>
      </c>
      <c r="C231" s="109">
        <v>229</v>
      </c>
      <c r="D231" s="109">
        <v>23</v>
      </c>
      <c r="E231" s="108" t="s">
        <v>269</v>
      </c>
      <c r="F231" s="108" t="s">
        <v>177</v>
      </c>
      <c r="G231" s="108" t="s">
        <v>196</v>
      </c>
      <c r="H231" s="110">
        <v>46042.833333333336</v>
      </c>
      <c r="I231" s="108" t="s">
        <v>459</v>
      </c>
    </row>
    <row r="232" spans="1:9" ht="15" x14ac:dyDescent="0.25">
      <c r="A232" t="str">
        <f t="shared" si="3"/>
        <v>E2025230</v>
      </c>
      <c r="B232" s="108" t="s">
        <v>268</v>
      </c>
      <c r="C232" s="109">
        <v>230</v>
      </c>
      <c r="D232" s="109">
        <v>23</v>
      </c>
      <c r="E232" s="108" t="s">
        <v>269</v>
      </c>
      <c r="F232" s="108" t="s">
        <v>195</v>
      </c>
      <c r="G232" s="108" t="s">
        <v>194</v>
      </c>
      <c r="H232" s="110">
        <v>46043.854166666664</v>
      </c>
      <c r="I232" s="108" t="s">
        <v>460</v>
      </c>
    </row>
    <row r="233" spans="1:9" ht="15" x14ac:dyDescent="0.25">
      <c r="A233" t="str">
        <f t="shared" si="3"/>
        <v>E2025231</v>
      </c>
      <c r="B233" s="108" t="s">
        <v>268</v>
      </c>
      <c r="C233" s="109">
        <v>231</v>
      </c>
      <c r="D233" s="109">
        <v>24</v>
      </c>
      <c r="E233" s="108" t="s">
        <v>269</v>
      </c>
      <c r="F233" s="108" t="s">
        <v>182</v>
      </c>
      <c r="G233" s="108" t="s">
        <v>187</v>
      </c>
      <c r="H233" s="110">
        <v>46044.854166666664</v>
      </c>
      <c r="I233" s="108" t="s">
        <v>461</v>
      </c>
    </row>
    <row r="234" spans="1:9" ht="15" x14ac:dyDescent="0.25">
      <c r="A234" t="str">
        <f t="shared" si="3"/>
        <v>E2025232</v>
      </c>
      <c r="B234" s="108" t="s">
        <v>268</v>
      </c>
      <c r="C234" s="109">
        <v>232</v>
      </c>
      <c r="D234" s="109">
        <v>24</v>
      </c>
      <c r="E234" s="108" t="s">
        <v>269</v>
      </c>
      <c r="F234" s="108" t="s">
        <v>186</v>
      </c>
      <c r="G234" s="108" t="s">
        <v>188</v>
      </c>
      <c r="H234" s="110">
        <v>46044.854166666664</v>
      </c>
      <c r="I234" s="108" t="s">
        <v>462</v>
      </c>
    </row>
    <row r="235" spans="1:9" ht="15" x14ac:dyDescent="0.25">
      <c r="A235" t="str">
        <f t="shared" si="3"/>
        <v>E2025233</v>
      </c>
      <c r="B235" s="108" t="s">
        <v>268</v>
      </c>
      <c r="C235" s="109">
        <v>233</v>
      </c>
      <c r="D235" s="109">
        <v>24</v>
      </c>
      <c r="E235" s="108" t="s">
        <v>269</v>
      </c>
      <c r="F235" s="108" t="s">
        <v>193</v>
      </c>
      <c r="G235" s="108" t="s">
        <v>189</v>
      </c>
      <c r="H235" s="110">
        <v>46044.836805555555</v>
      </c>
      <c r="I235" s="108" t="s">
        <v>463</v>
      </c>
    </row>
    <row r="236" spans="1:9" ht="15" x14ac:dyDescent="0.25">
      <c r="A236" t="str">
        <f t="shared" si="3"/>
        <v>E2025234</v>
      </c>
      <c r="B236" s="108" t="s">
        <v>268</v>
      </c>
      <c r="C236" s="109">
        <v>234</v>
      </c>
      <c r="D236" s="109">
        <v>24</v>
      </c>
      <c r="E236" s="108" t="s">
        <v>269</v>
      </c>
      <c r="F236" s="108" t="s">
        <v>191</v>
      </c>
      <c r="G236" s="108" t="s">
        <v>180</v>
      </c>
      <c r="H236" s="110">
        <v>46044.864583333336</v>
      </c>
      <c r="I236" s="108" t="s">
        <v>464</v>
      </c>
    </row>
    <row r="237" spans="1:9" ht="15" x14ac:dyDescent="0.25">
      <c r="A237" t="str">
        <f t="shared" si="3"/>
        <v>E2025235</v>
      </c>
      <c r="B237" s="108" t="s">
        <v>268</v>
      </c>
      <c r="C237" s="109">
        <v>235</v>
      </c>
      <c r="D237" s="109">
        <v>24</v>
      </c>
      <c r="E237" s="108" t="s">
        <v>269</v>
      </c>
      <c r="F237" s="108" t="s">
        <v>183</v>
      </c>
      <c r="G237" s="108" t="s">
        <v>184</v>
      </c>
      <c r="H237" s="110">
        <v>46044.864583333336</v>
      </c>
      <c r="I237" s="108" t="s">
        <v>464</v>
      </c>
    </row>
    <row r="238" spans="1:9" ht="15" x14ac:dyDescent="0.25">
      <c r="A238" t="str">
        <f t="shared" si="3"/>
        <v>E2025236</v>
      </c>
      <c r="B238" s="108" t="s">
        <v>268</v>
      </c>
      <c r="C238" s="109">
        <v>236</v>
      </c>
      <c r="D238" s="109">
        <v>24</v>
      </c>
      <c r="E238" s="108" t="s">
        <v>269</v>
      </c>
      <c r="F238" s="108" t="s">
        <v>185</v>
      </c>
      <c r="G238" s="108" t="s">
        <v>196</v>
      </c>
      <c r="H238" s="110">
        <v>46044.854166666664</v>
      </c>
      <c r="I238" s="108" t="s">
        <v>462</v>
      </c>
    </row>
    <row r="239" spans="1:9" ht="15" x14ac:dyDescent="0.25">
      <c r="A239" t="str">
        <f t="shared" si="3"/>
        <v>E2025237</v>
      </c>
      <c r="B239" s="108" t="s">
        <v>268</v>
      </c>
      <c r="C239" s="109">
        <v>237</v>
      </c>
      <c r="D239" s="109">
        <v>24</v>
      </c>
      <c r="E239" s="108" t="s">
        <v>269</v>
      </c>
      <c r="F239" s="108" t="s">
        <v>194</v>
      </c>
      <c r="G239" s="108" t="s">
        <v>179</v>
      </c>
      <c r="H239" s="110">
        <v>46045.864583333336</v>
      </c>
      <c r="I239" s="108" t="s">
        <v>465</v>
      </c>
    </row>
    <row r="240" spans="1:9" ht="15" x14ac:dyDescent="0.25">
      <c r="A240" t="str">
        <f t="shared" si="3"/>
        <v>E2025238</v>
      </c>
      <c r="B240" s="108" t="s">
        <v>268</v>
      </c>
      <c r="C240" s="109">
        <v>238</v>
      </c>
      <c r="D240" s="109">
        <v>24</v>
      </c>
      <c r="E240" s="108" t="s">
        <v>269</v>
      </c>
      <c r="F240" s="108" t="s">
        <v>177</v>
      </c>
      <c r="G240" s="108" t="s">
        <v>178</v>
      </c>
      <c r="H240" s="110">
        <v>46045.833333333336</v>
      </c>
      <c r="I240" s="108" t="s">
        <v>466</v>
      </c>
    </row>
    <row r="241" spans="1:9" ht="15" x14ac:dyDescent="0.25">
      <c r="A241" t="str">
        <f t="shared" si="3"/>
        <v>E2025239</v>
      </c>
      <c r="B241" s="108" t="s">
        <v>268</v>
      </c>
      <c r="C241" s="109">
        <v>239</v>
      </c>
      <c r="D241" s="109">
        <v>24</v>
      </c>
      <c r="E241" s="108" t="s">
        <v>269</v>
      </c>
      <c r="F241" s="108" t="s">
        <v>190</v>
      </c>
      <c r="G241" s="108" t="s">
        <v>181</v>
      </c>
      <c r="H241" s="110">
        <v>46045.854166666664</v>
      </c>
      <c r="I241" s="108" t="s">
        <v>467</v>
      </c>
    </row>
    <row r="242" spans="1:9" ht="15" x14ac:dyDescent="0.25">
      <c r="A242" t="str">
        <f t="shared" si="3"/>
        <v>E2025240</v>
      </c>
      <c r="B242" s="108" t="s">
        <v>268</v>
      </c>
      <c r="C242" s="109">
        <v>240</v>
      </c>
      <c r="D242" s="109">
        <v>24</v>
      </c>
      <c r="E242" s="108" t="s">
        <v>269</v>
      </c>
      <c r="F242" s="108" t="s">
        <v>195</v>
      </c>
      <c r="G242" s="108" t="s">
        <v>192</v>
      </c>
      <c r="H242" s="110">
        <v>46045.854166666664</v>
      </c>
      <c r="I242" s="108" t="s">
        <v>467</v>
      </c>
    </row>
    <row r="243" spans="1:9" ht="15" x14ac:dyDescent="0.25">
      <c r="A243" t="str">
        <f t="shared" si="3"/>
        <v>E2025241</v>
      </c>
      <c r="B243" s="108" t="s">
        <v>268</v>
      </c>
      <c r="C243" s="109">
        <v>241</v>
      </c>
      <c r="D243" s="109">
        <v>25</v>
      </c>
      <c r="E243" s="108" t="s">
        <v>269</v>
      </c>
      <c r="F243" s="108" t="s">
        <v>191</v>
      </c>
      <c r="G243" s="108" t="s">
        <v>183</v>
      </c>
      <c r="H243" s="110">
        <v>46049.864583333336</v>
      </c>
      <c r="I243" s="108" t="s">
        <v>468</v>
      </c>
    </row>
    <row r="244" spans="1:9" ht="15" x14ac:dyDescent="0.25">
      <c r="A244" t="str">
        <f t="shared" si="3"/>
        <v>E2025242</v>
      </c>
      <c r="B244" s="108" t="s">
        <v>268</v>
      </c>
      <c r="C244" s="109">
        <v>242</v>
      </c>
      <c r="D244" s="109">
        <v>25</v>
      </c>
      <c r="E244" s="108" t="s">
        <v>269</v>
      </c>
      <c r="F244" s="108" t="s">
        <v>194</v>
      </c>
      <c r="G244" s="108" t="s">
        <v>182</v>
      </c>
      <c r="H244" s="110">
        <v>46051.864583333336</v>
      </c>
      <c r="I244" s="108" t="s">
        <v>469</v>
      </c>
    </row>
    <row r="245" spans="1:9" ht="15" x14ac:dyDescent="0.25">
      <c r="A245" t="str">
        <f t="shared" si="3"/>
        <v>E2025243</v>
      </c>
      <c r="B245" s="108" t="s">
        <v>268</v>
      </c>
      <c r="C245" s="109">
        <v>243</v>
      </c>
      <c r="D245" s="109">
        <v>25</v>
      </c>
      <c r="E245" s="108" t="s">
        <v>269</v>
      </c>
      <c r="F245" s="108" t="s">
        <v>181</v>
      </c>
      <c r="G245" s="108" t="s">
        <v>186</v>
      </c>
      <c r="H245" s="110">
        <v>46051.833333333336</v>
      </c>
      <c r="I245" s="108" t="s">
        <v>470</v>
      </c>
    </row>
    <row r="246" spans="1:9" ht="15" x14ac:dyDescent="0.25">
      <c r="A246" t="str">
        <f t="shared" si="3"/>
        <v>E2025244</v>
      </c>
      <c r="B246" s="108" t="s">
        <v>268</v>
      </c>
      <c r="C246" s="109">
        <v>244</v>
      </c>
      <c r="D246" s="109">
        <v>25</v>
      </c>
      <c r="E246" s="108" t="s">
        <v>269</v>
      </c>
      <c r="F246" s="108" t="s">
        <v>187</v>
      </c>
      <c r="G246" s="108" t="s">
        <v>178</v>
      </c>
      <c r="H246" s="110">
        <v>46051.885416666664</v>
      </c>
      <c r="I246" s="108" t="s">
        <v>471</v>
      </c>
    </row>
    <row r="247" spans="1:9" ht="15" x14ac:dyDescent="0.25">
      <c r="A247" t="str">
        <f t="shared" si="3"/>
        <v>E2025245</v>
      </c>
      <c r="B247" s="108" t="s">
        <v>268</v>
      </c>
      <c r="C247" s="109">
        <v>245</v>
      </c>
      <c r="D247" s="109">
        <v>25</v>
      </c>
      <c r="E247" s="108" t="s">
        <v>269</v>
      </c>
      <c r="F247" s="108" t="s">
        <v>188</v>
      </c>
      <c r="G247" s="108" t="s">
        <v>193</v>
      </c>
      <c r="H247" s="110">
        <v>46051.864583333336</v>
      </c>
      <c r="I247" s="108" t="s">
        <v>472</v>
      </c>
    </row>
    <row r="248" spans="1:9" ht="15" x14ac:dyDescent="0.25">
      <c r="A248" t="str">
        <f t="shared" si="3"/>
        <v>E2025246</v>
      </c>
      <c r="B248" s="108" t="s">
        <v>268</v>
      </c>
      <c r="C248" s="109">
        <v>246</v>
      </c>
      <c r="D248" s="109">
        <v>25</v>
      </c>
      <c r="E248" s="108" t="s">
        <v>269</v>
      </c>
      <c r="F248" s="108" t="s">
        <v>185</v>
      </c>
      <c r="G248" s="108" t="s">
        <v>190</v>
      </c>
      <c r="H248" s="110">
        <v>46051.854166666664</v>
      </c>
      <c r="I248" s="108" t="s">
        <v>473</v>
      </c>
    </row>
    <row r="249" spans="1:9" ht="15" x14ac:dyDescent="0.25">
      <c r="A249" t="str">
        <f t="shared" si="3"/>
        <v>E2025247</v>
      </c>
      <c r="B249" s="108" t="s">
        <v>268</v>
      </c>
      <c r="C249" s="109">
        <v>247</v>
      </c>
      <c r="D249" s="109">
        <v>25</v>
      </c>
      <c r="E249" s="108" t="s">
        <v>269</v>
      </c>
      <c r="F249" s="108" t="s">
        <v>184</v>
      </c>
      <c r="G249" s="108" t="s">
        <v>195</v>
      </c>
      <c r="H249" s="110">
        <v>46052.8125</v>
      </c>
      <c r="I249" s="108" t="s">
        <v>474</v>
      </c>
    </row>
    <row r="250" spans="1:9" ht="15" x14ac:dyDescent="0.25">
      <c r="A250" t="str">
        <f t="shared" si="3"/>
        <v>E2025248</v>
      </c>
      <c r="B250" s="108" t="s">
        <v>268</v>
      </c>
      <c r="C250" s="109">
        <v>248</v>
      </c>
      <c r="D250" s="109">
        <v>25</v>
      </c>
      <c r="E250" s="108" t="s">
        <v>269</v>
      </c>
      <c r="F250" s="108" t="s">
        <v>179</v>
      </c>
      <c r="G250" s="108" t="s">
        <v>196</v>
      </c>
      <c r="H250" s="110">
        <v>46052.854166666664</v>
      </c>
      <c r="I250" s="108" t="s">
        <v>475</v>
      </c>
    </row>
    <row r="251" spans="1:9" ht="15" x14ac:dyDescent="0.25">
      <c r="A251" t="str">
        <f t="shared" si="3"/>
        <v>E2025249</v>
      </c>
      <c r="B251" s="108" t="s">
        <v>268</v>
      </c>
      <c r="C251" s="109">
        <v>249</v>
      </c>
      <c r="D251" s="109">
        <v>25</v>
      </c>
      <c r="E251" s="108" t="s">
        <v>269</v>
      </c>
      <c r="F251" s="108" t="s">
        <v>192</v>
      </c>
      <c r="G251" s="108" t="s">
        <v>180</v>
      </c>
      <c r="H251" s="110">
        <v>46052.833333333336</v>
      </c>
      <c r="I251" s="108" t="s">
        <v>476</v>
      </c>
    </row>
    <row r="252" spans="1:9" ht="15" x14ac:dyDescent="0.25">
      <c r="A252" t="str">
        <f t="shared" si="3"/>
        <v>E2025250</v>
      </c>
      <c r="B252" s="108" t="s">
        <v>268</v>
      </c>
      <c r="C252" s="109">
        <v>250</v>
      </c>
      <c r="D252" s="109">
        <v>25</v>
      </c>
      <c r="E252" s="108" t="s">
        <v>269</v>
      </c>
      <c r="F252" s="108" t="s">
        <v>177</v>
      </c>
      <c r="G252" s="108" t="s">
        <v>189</v>
      </c>
      <c r="H252" s="110">
        <v>46052.833333333336</v>
      </c>
      <c r="I252" s="108" t="s">
        <v>476</v>
      </c>
    </row>
    <row r="253" spans="1:9" ht="15" x14ac:dyDescent="0.25">
      <c r="A253" t="str">
        <f t="shared" si="3"/>
        <v>E2025251</v>
      </c>
      <c r="B253" s="108" t="s">
        <v>268</v>
      </c>
      <c r="C253" s="109">
        <v>251</v>
      </c>
      <c r="D253" s="109">
        <v>26</v>
      </c>
      <c r="E253" s="108" t="s">
        <v>269</v>
      </c>
      <c r="F253" s="108" t="s">
        <v>182</v>
      </c>
      <c r="G253" s="108" t="s">
        <v>188</v>
      </c>
      <c r="H253" s="110">
        <v>46056.854166666664</v>
      </c>
      <c r="I253" s="108" t="s">
        <v>477</v>
      </c>
    </row>
    <row r="254" spans="1:9" ht="15" x14ac:dyDescent="0.25">
      <c r="A254" t="str">
        <f t="shared" si="3"/>
        <v>E2025252</v>
      </c>
      <c r="B254" s="108" t="s">
        <v>268</v>
      </c>
      <c r="C254" s="109">
        <v>252</v>
      </c>
      <c r="D254" s="109">
        <v>26</v>
      </c>
      <c r="E254" s="108" t="s">
        <v>269</v>
      </c>
      <c r="F254" s="108" t="s">
        <v>192</v>
      </c>
      <c r="G254" s="108" t="s">
        <v>181</v>
      </c>
      <c r="H254" s="110">
        <v>46056.833333333336</v>
      </c>
      <c r="I254" s="108" t="s">
        <v>478</v>
      </c>
    </row>
    <row r="255" spans="1:9" ht="15" x14ac:dyDescent="0.25">
      <c r="A255" t="str">
        <f t="shared" si="3"/>
        <v>E2025253</v>
      </c>
      <c r="B255" s="108" t="s">
        <v>268</v>
      </c>
      <c r="C255" s="109">
        <v>253</v>
      </c>
      <c r="D255" s="109">
        <v>26</v>
      </c>
      <c r="E255" s="108" t="s">
        <v>269</v>
      </c>
      <c r="F255" s="108" t="s">
        <v>180</v>
      </c>
      <c r="G255" s="108" t="s">
        <v>187</v>
      </c>
      <c r="H255" s="110">
        <v>46056.833333333336</v>
      </c>
      <c r="I255" s="108" t="s">
        <v>479</v>
      </c>
    </row>
    <row r="256" spans="1:9" ht="15" x14ac:dyDescent="0.25">
      <c r="A256" t="str">
        <f t="shared" si="3"/>
        <v>E2025254</v>
      </c>
      <c r="B256" s="108" t="s">
        <v>268</v>
      </c>
      <c r="C256" s="109">
        <v>254</v>
      </c>
      <c r="D256" s="109">
        <v>26</v>
      </c>
      <c r="E256" s="108" t="s">
        <v>269</v>
      </c>
      <c r="F256" s="108" t="s">
        <v>185</v>
      </c>
      <c r="G256" s="108" t="s">
        <v>179</v>
      </c>
      <c r="H256" s="110">
        <v>46056.854166666664</v>
      </c>
      <c r="I256" s="108" t="s">
        <v>480</v>
      </c>
    </row>
    <row r="257" spans="1:9" ht="15" x14ac:dyDescent="0.25">
      <c r="A257" t="str">
        <f t="shared" si="3"/>
        <v>E2025255</v>
      </c>
      <c r="B257" s="108" t="s">
        <v>268</v>
      </c>
      <c r="C257" s="109">
        <v>255</v>
      </c>
      <c r="D257" s="109">
        <v>26</v>
      </c>
      <c r="E257" s="108" t="s">
        <v>269</v>
      </c>
      <c r="F257" s="108" t="s">
        <v>178</v>
      </c>
      <c r="G257" s="108" t="s">
        <v>194</v>
      </c>
      <c r="H257" s="110">
        <v>46056.854166666664</v>
      </c>
      <c r="I257" s="108" t="s">
        <v>480</v>
      </c>
    </row>
    <row r="258" spans="1:9" ht="15" x14ac:dyDescent="0.25">
      <c r="A258" t="str">
        <f t="shared" si="3"/>
        <v>E2025256</v>
      </c>
      <c r="B258" s="108" t="s">
        <v>268</v>
      </c>
      <c r="C258" s="109">
        <v>256</v>
      </c>
      <c r="D258" s="109">
        <v>26</v>
      </c>
      <c r="E258" s="108" t="s">
        <v>269</v>
      </c>
      <c r="F258" s="108" t="s">
        <v>186</v>
      </c>
      <c r="G258" s="108" t="s">
        <v>191</v>
      </c>
      <c r="H258" s="110">
        <v>46056.854166666664</v>
      </c>
      <c r="I258" s="108" t="s">
        <v>480</v>
      </c>
    </row>
    <row r="259" spans="1:9" ht="15" x14ac:dyDescent="0.25">
      <c r="A259" t="str">
        <f t="shared" si="3"/>
        <v>E2025257</v>
      </c>
      <c r="B259" s="108" t="s">
        <v>268</v>
      </c>
      <c r="C259" s="109">
        <v>257</v>
      </c>
      <c r="D259" s="109">
        <v>26</v>
      </c>
      <c r="E259" s="108" t="s">
        <v>269</v>
      </c>
      <c r="F259" s="108" t="s">
        <v>193</v>
      </c>
      <c r="G259" s="108" t="s">
        <v>190</v>
      </c>
      <c r="H259" s="110">
        <v>46056.885416666664</v>
      </c>
      <c r="I259" s="108" t="s">
        <v>481</v>
      </c>
    </row>
    <row r="260" spans="1:9" ht="15" x14ac:dyDescent="0.25">
      <c r="A260" t="str">
        <f t="shared" ref="A260:A323" si="4">B260&amp;TEXT(C260,"000")</f>
        <v>E2025258</v>
      </c>
      <c r="B260" s="108" t="s">
        <v>268</v>
      </c>
      <c r="C260" s="109">
        <v>258</v>
      </c>
      <c r="D260" s="109">
        <v>26</v>
      </c>
      <c r="E260" s="108" t="s">
        <v>269</v>
      </c>
      <c r="F260" s="108" t="s">
        <v>189</v>
      </c>
      <c r="G260" s="108" t="s">
        <v>183</v>
      </c>
      <c r="H260" s="110">
        <v>46056.885416666664</v>
      </c>
      <c r="I260" s="108" t="s">
        <v>482</v>
      </c>
    </row>
    <row r="261" spans="1:9" ht="15" x14ac:dyDescent="0.25">
      <c r="A261" t="str">
        <f t="shared" si="4"/>
        <v>E2025259</v>
      </c>
      <c r="B261" s="108" t="s">
        <v>268</v>
      </c>
      <c r="C261" s="109">
        <v>259</v>
      </c>
      <c r="D261" s="109">
        <v>26</v>
      </c>
      <c r="E261" s="108" t="s">
        <v>269</v>
      </c>
      <c r="F261" s="108" t="s">
        <v>196</v>
      </c>
      <c r="G261" s="108" t="s">
        <v>184</v>
      </c>
      <c r="H261" s="110">
        <v>46056.833333333336</v>
      </c>
      <c r="I261" s="108" t="s">
        <v>483</v>
      </c>
    </row>
    <row r="262" spans="1:9" ht="15" x14ac:dyDescent="0.25">
      <c r="A262" t="str">
        <f t="shared" si="4"/>
        <v>E2025260</v>
      </c>
      <c r="B262" s="108" t="s">
        <v>268</v>
      </c>
      <c r="C262" s="109">
        <v>260</v>
      </c>
      <c r="D262" s="109">
        <v>26</v>
      </c>
      <c r="E262" s="108" t="s">
        <v>269</v>
      </c>
      <c r="F262" s="108" t="s">
        <v>195</v>
      </c>
      <c r="G262" s="108" t="s">
        <v>177</v>
      </c>
      <c r="H262" s="110">
        <v>46057.854166666664</v>
      </c>
      <c r="I262" s="108" t="s">
        <v>484</v>
      </c>
    </row>
    <row r="263" spans="1:9" ht="15" x14ac:dyDescent="0.25">
      <c r="A263" t="str">
        <f t="shared" si="4"/>
        <v>E2025261</v>
      </c>
      <c r="B263" s="108" t="s">
        <v>268</v>
      </c>
      <c r="C263" s="109">
        <v>261</v>
      </c>
      <c r="D263" s="109">
        <v>27</v>
      </c>
      <c r="E263" s="108" t="s">
        <v>269</v>
      </c>
      <c r="F263" s="108" t="s">
        <v>180</v>
      </c>
      <c r="G263" s="108" t="s">
        <v>183</v>
      </c>
      <c r="H263" s="110">
        <v>46058.833333333336</v>
      </c>
      <c r="I263" s="108" t="s">
        <v>485</v>
      </c>
    </row>
    <row r="264" spans="1:9" ht="15" x14ac:dyDescent="0.25">
      <c r="A264" t="str">
        <f t="shared" si="4"/>
        <v>E2025262</v>
      </c>
      <c r="B264" s="108" t="s">
        <v>268</v>
      </c>
      <c r="C264" s="109">
        <v>262</v>
      </c>
      <c r="D264" s="109">
        <v>27</v>
      </c>
      <c r="E264" s="108" t="s">
        <v>269</v>
      </c>
      <c r="F264" s="108" t="s">
        <v>186</v>
      </c>
      <c r="G264" s="108" t="s">
        <v>184</v>
      </c>
      <c r="H264" s="110">
        <v>46058.854166666664</v>
      </c>
      <c r="I264" s="108" t="s">
        <v>486</v>
      </c>
    </row>
    <row r="265" spans="1:9" ht="15" x14ac:dyDescent="0.25">
      <c r="A265" t="str">
        <f t="shared" si="4"/>
        <v>E2025263</v>
      </c>
      <c r="B265" s="108" t="s">
        <v>268</v>
      </c>
      <c r="C265" s="109">
        <v>263</v>
      </c>
      <c r="D265" s="109">
        <v>27</v>
      </c>
      <c r="E265" s="108" t="s">
        <v>269</v>
      </c>
      <c r="F265" s="108" t="s">
        <v>181</v>
      </c>
      <c r="G265" s="108" t="s">
        <v>188</v>
      </c>
      <c r="H265" s="110">
        <v>46058.875</v>
      </c>
      <c r="I265" s="108" t="s">
        <v>487</v>
      </c>
    </row>
    <row r="266" spans="1:9" ht="15" x14ac:dyDescent="0.25">
      <c r="A266" t="str">
        <f t="shared" si="4"/>
        <v>E2025264</v>
      </c>
      <c r="B266" s="108" t="s">
        <v>268</v>
      </c>
      <c r="C266" s="109">
        <v>264</v>
      </c>
      <c r="D266" s="109">
        <v>27</v>
      </c>
      <c r="E266" s="108" t="s">
        <v>269</v>
      </c>
      <c r="F266" s="108" t="s">
        <v>191</v>
      </c>
      <c r="G266" s="108" t="s">
        <v>194</v>
      </c>
      <c r="H266" s="110">
        <v>46058.864583333336</v>
      </c>
      <c r="I266" s="108" t="s">
        <v>488</v>
      </c>
    </row>
    <row r="267" spans="1:9" ht="15" x14ac:dyDescent="0.25">
      <c r="A267" t="str">
        <f t="shared" si="4"/>
        <v>E2025265</v>
      </c>
      <c r="B267" s="108" t="s">
        <v>268</v>
      </c>
      <c r="C267" s="109">
        <v>265</v>
      </c>
      <c r="D267" s="109">
        <v>27</v>
      </c>
      <c r="E267" s="108" t="s">
        <v>269</v>
      </c>
      <c r="F267" s="108" t="s">
        <v>190</v>
      </c>
      <c r="G267" s="108" t="s">
        <v>189</v>
      </c>
      <c r="H267" s="110">
        <v>46058.854166666664</v>
      </c>
      <c r="I267" s="108" t="s">
        <v>486</v>
      </c>
    </row>
    <row r="268" spans="1:9" ht="15" x14ac:dyDescent="0.25">
      <c r="A268" t="str">
        <f t="shared" si="4"/>
        <v>E2025266</v>
      </c>
      <c r="B268" s="108" t="s">
        <v>268</v>
      </c>
      <c r="C268" s="109">
        <v>266</v>
      </c>
      <c r="D268" s="109">
        <v>27</v>
      </c>
      <c r="E268" s="108" t="s">
        <v>269</v>
      </c>
      <c r="F268" s="108" t="s">
        <v>182</v>
      </c>
      <c r="G268" s="108" t="s">
        <v>196</v>
      </c>
      <c r="H268" s="110">
        <v>46059.854166666664</v>
      </c>
      <c r="I268" s="108" t="s">
        <v>489</v>
      </c>
    </row>
    <row r="269" spans="1:9" ht="15" x14ac:dyDescent="0.25">
      <c r="A269" t="str">
        <f t="shared" si="4"/>
        <v>E2025267</v>
      </c>
      <c r="B269" s="108" t="s">
        <v>268</v>
      </c>
      <c r="C269" s="109">
        <v>267</v>
      </c>
      <c r="D269" s="109">
        <v>27</v>
      </c>
      <c r="E269" s="108" t="s">
        <v>269</v>
      </c>
      <c r="F269" s="108" t="s">
        <v>179</v>
      </c>
      <c r="G269" s="108" t="s">
        <v>178</v>
      </c>
      <c r="H269" s="110">
        <v>46059.854166666664</v>
      </c>
      <c r="I269" s="108" t="s">
        <v>490</v>
      </c>
    </row>
    <row r="270" spans="1:9" ht="15" x14ac:dyDescent="0.25">
      <c r="A270" t="str">
        <f t="shared" si="4"/>
        <v>E2025268</v>
      </c>
      <c r="B270" s="108" t="s">
        <v>268</v>
      </c>
      <c r="C270" s="109">
        <v>268</v>
      </c>
      <c r="D270" s="109">
        <v>27</v>
      </c>
      <c r="E270" s="108" t="s">
        <v>269</v>
      </c>
      <c r="F270" s="108" t="s">
        <v>192</v>
      </c>
      <c r="G270" s="108" t="s">
        <v>193</v>
      </c>
      <c r="H270" s="110">
        <v>46059.833333333336</v>
      </c>
      <c r="I270" s="108" t="s">
        <v>491</v>
      </c>
    </row>
    <row r="271" spans="1:9" ht="15" x14ac:dyDescent="0.25">
      <c r="A271" t="str">
        <f t="shared" si="4"/>
        <v>E2025269</v>
      </c>
      <c r="B271" s="108" t="s">
        <v>268</v>
      </c>
      <c r="C271" s="109">
        <v>269</v>
      </c>
      <c r="D271" s="109">
        <v>27</v>
      </c>
      <c r="E271" s="108" t="s">
        <v>269</v>
      </c>
      <c r="F271" s="108" t="s">
        <v>177</v>
      </c>
      <c r="G271" s="108" t="s">
        <v>185</v>
      </c>
      <c r="H271" s="110">
        <v>46059.833333333336</v>
      </c>
      <c r="I271" s="108" t="s">
        <v>491</v>
      </c>
    </row>
    <row r="272" spans="1:9" ht="15" x14ac:dyDescent="0.25">
      <c r="A272" t="str">
        <f t="shared" si="4"/>
        <v>E2025270</v>
      </c>
      <c r="B272" s="108" t="s">
        <v>268</v>
      </c>
      <c r="C272" s="109">
        <v>270</v>
      </c>
      <c r="D272" s="109">
        <v>27</v>
      </c>
      <c r="E272" s="108" t="s">
        <v>269</v>
      </c>
      <c r="F272" s="108" t="s">
        <v>187</v>
      </c>
      <c r="G272" s="108" t="s">
        <v>195</v>
      </c>
      <c r="H272" s="110">
        <v>46059.885416666664</v>
      </c>
      <c r="I272" s="108" t="s">
        <v>492</v>
      </c>
    </row>
    <row r="273" spans="1:9" ht="15" x14ac:dyDescent="0.25">
      <c r="A273" t="str">
        <f t="shared" si="4"/>
        <v>E2025271</v>
      </c>
      <c r="B273" s="108" t="s">
        <v>268</v>
      </c>
      <c r="C273" s="109">
        <v>271</v>
      </c>
      <c r="D273" s="109">
        <v>28</v>
      </c>
      <c r="E273" s="108" t="s">
        <v>269</v>
      </c>
      <c r="F273" s="108" t="s">
        <v>182</v>
      </c>
      <c r="G273" s="108" t="s">
        <v>195</v>
      </c>
      <c r="H273" s="110">
        <v>46065.854166666664</v>
      </c>
      <c r="I273" s="108" t="s">
        <v>493</v>
      </c>
    </row>
    <row r="274" spans="1:9" ht="15" x14ac:dyDescent="0.25">
      <c r="A274" t="str">
        <f t="shared" si="4"/>
        <v>E2025272</v>
      </c>
      <c r="B274" s="108" t="s">
        <v>268</v>
      </c>
      <c r="C274" s="109">
        <v>272</v>
      </c>
      <c r="D274" s="109">
        <v>28</v>
      </c>
      <c r="E274" s="108" t="s">
        <v>269</v>
      </c>
      <c r="F274" s="108" t="s">
        <v>187</v>
      </c>
      <c r="G274" s="108" t="s">
        <v>192</v>
      </c>
      <c r="H274" s="110">
        <v>46065.885416666664</v>
      </c>
      <c r="I274" s="108" t="s">
        <v>494</v>
      </c>
    </row>
    <row r="275" spans="1:9" ht="15" x14ac:dyDescent="0.25">
      <c r="A275" t="str">
        <f t="shared" si="4"/>
        <v>E2025273</v>
      </c>
      <c r="B275" s="108" t="s">
        <v>268</v>
      </c>
      <c r="C275" s="109">
        <v>273</v>
      </c>
      <c r="D275" s="109">
        <v>28</v>
      </c>
      <c r="E275" s="108" t="s">
        <v>269</v>
      </c>
      <c r="F275" s="108" t="s">
        <v>193</v>
      </c>
      <c r="G275" s="108" t="s">
        <v>186</v>
      </c>
      <c r="H275" s="110">
        <v>46065.836805555555</v>
      </c>
      <c r="I275" s="108" t="s">
        <v>495</v>
      </c>
    </row>
    <row r="276" spans="1:9" ht="15" x14ac:dyDescent="0.25">
      <c r="A276" t="str">
        <f t="shared" si="4"/>
        <v>E2025274</v>
      </c>
      <c r="B276" s="108" t="s">
        <v>268</v>
      </c>
      <c r="C276" s="109">
        <v>274</v>
      </c>
      <c r="D276" s="109">
        <v>28</v>
      </c>
      <c r="E276" s="108" t="s">
        <v>269</v>
      </c>
      <c r="F276" s="108" t="s">
        <v>188</v>
      </c>
      <c r="G276" s="108" t="s">
        <v>177</v>
      </c>
      <c r="H276" s="110">
        <v>46065.854166666664</v>
      </c>
      <c r="I276" s="108" t="s">
        <v>496</v>
      </c>
    </row>
    <row r="277" spans="1:9" ht="15" x14ac:dyDescent="0.25">
      <c r="A277" t="str">
        <f t="shared" si="4"/>
        <v>E2025275</v>
      </c>
      <c r="B277" s="108" t="s">
        <v>268</v>
      </c>
      <c r="C277" s="109">
        <v>275</v>
      </c>
      <c r="D277" s="109">
        <v>28</v>
      </c>
      <c r="E277" s="108" t="s">
        <v>269</v>
      </c>
      <c r="F277" s="108" t="s">
        <v>178</v>
      </c>
      <c r="G277" s="108" t="s">
        <v>191</v>
      </c>
      <c r="H277" s="110">
        <v>46065.854166666664</v>
      </c>
      <c r="I277" s="108" t="s">
        <v>496</v>
      </c>
    </row>
    <row r="278" spans="1:9" ht="15" x14ac:dyDescent="0.25">
      <c r="A278" t="str">
        <f t="shared" si="4"/>
        <v>E2025276</v>
      </c>
      <c r="B278" s="108" t="s">
        <v>268</v>
      </c>
      <c r="C278" s="109">
        <v>276</v>
      </c>
      <c r="D278" s="109">
        <v>28</v>
      </c>
      <c r="E278" s="108" t="s">
        <v>269</v>
      </c>
      <c r="F278" s="108" t="s">
        <v>190</v>
      </c>
      <c r="G278" s="108" t="s">
        <v>183</v>
      </c>
      <c r="H278" s="110">
        <v>46066.854166666664</v>
      </c>
      <c r="I278" s="108" t="s">
        <v>497</v>
      </c>
    </row>
    <row r="279" spans="1:9" ht="15" x14ac:dyDescent="0.25">
      <c r="A279" t="str">
        <f t="shared" si="4"/>
        <v>E2025277</v>
      </c>
      <c r="B279" s="108" t="s">
        <v>268</v>
      </c>
      <c r="C279" s="109">
        <v>277</v>
      </c>
      <c r="D279" s="109">
        <v>28</v>
      </c>
      <c r="E279" s="108" t="s">
        <v>269</v>
      </c>
      <c r="F279" s="108" t="s">
        <v>184</v>
      </c>
      <c r="G279" s="108" t="s">
        <v>179</v>
      </c>
      <c r="H279" s="110">
        <v>46066.8125</v>
      </c>
      <c r="I279" s="108" t="s">
        <v>498</v>
      </c>
    </row>
    <row r="280" spans="1:9" ht="15" x14ac:dyDescent="0.25">
      <c r="A280" t="str">
        <f t="shared" si="4"/>
        <v>E2025278</v>
      </c>
      <c r="B280" s="108" t="s">
        <v>268</v>
      </c>
      <c r="C280" s="109">
        <v>278</v>
      </c>
      <c r="D280" s="109">
        <v>28</v>
      </c>
      <c r="E280" s="108" t="s">
        <v>269</v>
      </c>
      <c r="F280" s="108" t="s">
        <v>185</v>
      </c>
      <c r="G280" s="108" t="s">
        <v>180</v>
      </c>
      <c r="H280" s="110">
        <v>46066.854166666664</v>
      </c>
      <c r="I280" s="108" t="s">
        <v>497</v>
      </c>
    </row>
    <row r="281" spans="1:9" ht="15" x14ac:dyDescent="0.25">
      <c r="A281" t="str">
        <f t="shared" si="4"/>
        <v>E2025279</v>
      </c>
      <c r="B281" s="108" t="s">
        <v>268</v>
      </c>
      <c r="C281" s="109">
        <v>279</v>
      </c>
      <c r="D281" s="109">
        <v>28</v>
      </c>
      <c r="E281" s="108" t="s">
        <v>269</v>
      </c>
      <c r="F281" s="108" t="s">
        <v>189</v>
      </c>
      <c r="G281" s="108" t="s">
        <v>194</v>
      </c>
      <c r="H281" s="110">
        <v>46066.885416666664</v>
      </c>
      <c r="I281" s="108" t="s">
        <v>499</v>
      </c>
    </row>
    <row r="282" spans="1:9" ht="15" x14ac:dyDescent="0.25">
      <c r="A282" t="str">
        <f t="shared" si="4"/>
        <v>E2025280</v>
      </c>
      <c r="B282" s="108" t="s">
        <v>268</v>
      </c>
      <c r="C282" s="109">
        <v>280</v>
      </c>
      <c r="D282" s="109">
        <v>28</v>
      </c>
      <c r="E282" s="108" t="s">
        <v>269</v>
      </c>
      <c r="F282" s="108" t="s">
        <v>196</v>
      </c>
      <c r="G282" s="108" t="s">
        <v>181</v>
      </c>
      <c r="H282" s="110">
        <v>46066.833333333336</v>
      </c>
      <c r="I282" s="108" t="s">
        <v>500</v>
      </c>
    </row>
    <row r="283" spans="1:9" ht="15" x14ac:dyDescent="0.25">
      <c r="A283" t="str">
        <f t="shared" si="4"/>
        <v>E2025281</v>
      </c>
      <c r="B283" s="108" t="s">
        <v>268</v>
      </c>
      <c r="C283" s="109">
        <v>281</v>
      </c>
      <c r="D283" s="109">
        <v>29</v>
      </c>
      <c r="E283" s="108" t="s">
        <v>269</v>
      </c>
      <c r="F283" s="108" t="s">
        <v>194</v>
      </c>
      <c r="G283" s="108" t="s">
        <v>190</v>
      </c>
      <c r="H283" s="110">
        <v>46078.864583333336</v>
      </c>
      <c r="I283" s="108" t="s">
        <v>501</v>
      </c>
    </row>
    <row r="284" spans="1:9" ht="15" x14ac:dyDescent="0.25">
      <c r="A284" t="str">
        <f t="shared" si="4"/>
        <v>E2025282</v>
      </c>
      <c r="B284" s="108" t="s">
        <v>268</v>
      </c>
      <c r="C284" s="109">
        <v>282</v>
      </c>
      <c r="D284" s="109">
        <v>29</v>
      </c>
      <c r="E284" s="108" t="s">
        <v>269</v>
      </c>
      <c r="F284" s="108" t="s">
        <v>195</v>
      </c>
      <c r="G284" s="108" t="s">
        <v>178</v>
      </c>
      <c r="H284" s="110">
        <v>46078.854166666664</v>
      </c>
      <c r="I284" s="108" t="s">
        <v>502</v>
      </c>
    </row>
    <row r="285" spans="1:9" ht="15" x14ac:dyDescent="0.25">
      <c r="A285" t="str">
        <f t="shared" si="4"/>
        <v>E2025283</v>
      </c>
      <c r="B285" s="108" t="s">
        <v>268</v>
      </c>
      <c r="C285" s="109">
        <v>283</v>
      </c>
      <c r="D285" s="109">
        <v>29</v>
      </c>
      <c r="E285" s="108" t="s">
        <v>269</v>
      </c>
      <c r="F285" s="108" t="s">
        <v>196</v>
      </c>
      <c r="G285" s="108" t="s">
        <v>187</v>
      </c>
      <c r="H285" s="110">
        <v>46078.833333333336</v>
      </c>
      <c r="I285" s="108" t="s">
        <v>503</v>
      </c>
    </row>
    <row r="286" spans="1:9" ht="15" x14ac:dyDescent="0.25">
      <c r="A286" t="str">
        <f t="shared" si="4"/>
        <v>E2025284</v>
      </c>
      <c r="B286" s="108" t="s">
        <v>268</v>
      </c>
      <c r="C286" s="109">
        <v>284</v>
      </c>
      <c r="D286" s="109">
        <v>29</v>
      </c>
      <c r="E286" s="108" t="s">
        <v>269</v>
      </c>
      <c r="F286" s="108" t="s">
        <v>184</v>
      </c>
      <c r="G286" s="108" t="s">
        <v>193</v>
      </c>
      <c r="H286" s="110">
        <v>46079.8125</v>
      </c>
      <c r="I286" s="108" t="s">
        <v>504</v>
      </c>
    </row>
    <row r="287" spans="1:9" ht="15" x14ac:dyDescent="0.25">
      <c r="A287" t="str">
        <f t="shared" si="4"/>
        <v>E2025285</v>
      </c>
      <c r="B287" s="108" t="s">
        <v>268</v>
      </c>
      <c r="C287" s="109">
        <v>285</v>
      </c>
      <c r="D287" s="109">
        <v>29</v>
      </c>
      <c r="E287" s="108" t="s">
        <v>269</v>
      </c>
      <c r="F287" s="108" t="s">
        <v>179</v>
      </c>
      <c r="G287" s="108" t="s">
        <v>188</v>
      </c>
      <c r="H287" s="110">
        <v>46079.854166666664</v>
      </c>
      <c r="I287" s="108" t="s">
        <v>505</v>
      </c>
    </row>
    <row r="288" spans="1:9" ht="15" x14ac:dyDescent="0.25">
      <c r="A288" t="str">
        <f t="shared" si="4"/>
        <v>E2025286</v>
      </c>
      <c r="B288" s="108" t="s">
        <v>268</v>
      </c>
      <c r="C288" s="109">
        <v>286</v>
      </c>
      <c r="D288" s="109">
        <v>29</v>
      </c>
      <c r="E288" s="108" t="s">
        <v>269</v>
      </c>
      <c r="F288" s="108" t="s">
        <v>192</v>
      </c>
      <c r="G288" s="108" t="s">
        <v>182</v>
      </c>
      <c r="H288" s="110">
        <v>46079.833333333336</v>
      </c>
      <c r="I288" s="108" t="s">
        <v>506</v>
      </c>
    </row>
    <row r="289" spans="1:9" ht="15" x14ac:dyDescent="0.25">
      <c r="A289" t="str">
        <f t="shared" si="4"/>
        <v>E2025287</v>
      </c>
      <c r="B289" s="108" t="s">
        <v>268</v>
      </c>
      <c r="C289" s="109">
        <v>287</v>
      </c>
      <c r="D289" s="109">
        <v>29</v>
      </c>
      <c r="E289" s="108" t="s">
        <v>269</v>
      </c>
      <c r="F289" s="108" t="s">
        <v>180</v>
      </c>
      <c r="G289" s="108" t="s">
        <v>177</v>
      </c>
      <c r="H289" s="110">
        <v>46079.833333333336</v>
      </c>
      <c r="I289" s="108" t="s">
        <v>507</v>
      </c>
    </row>
    <row r="290" spans="1:9" ht="15" x14ac:dyDescent="0.25">
      <c r="A290" t="str">
        <f t="shared" si="4"/>
        <v>E2025288</v>
      </c>
      <c r="B290" s="108" t="s">
        <v>268</v>
      </c>
      <c r="C290" s="109">
        <v>288</v>
      </c>
      <c r="D290" s="109">
        <v>29</v>
      </c>
      <c r="E290" s="108" t="s">
        <v>269</v>
      </c>
      <c r="F290" s="108" t="s">
        <v>181</v>
      </c>
      <c r="G290" s="108" t="s">
        <v>185</v>
      </c>
      <c r="H290" s="110">
        <v>46079.833333333336</v>
      </c>
      <c r="I290" s="108" t="s">
        <v>508</v>
      </c>
    </row>
    <row r="291" spans="1:9" ht="15" x14ac:dyDescent="0.25">
      <c r="A291" t="str">
        <f t="shared" si="4"/>
        <v>E2025289</v>
      </c>
      <c r="B291" s="108" t="s">
        <v>268</v>
      </c>
      <c r="C291" s="109">
        <v>289</v>
      </c>
      <c r="D291" s="109">
        <v>29</v>
      </c>
      <c r="E291" s="108" t="s">
        <v>269</v>
      </c>
      <c r="F291" s="108" t="s">
        <v>189</v>
      </c>
      <c r="G291" s="108" t="s">
        <v>191</v>
      </c>
      <c r="H291" s="110">
        <v>46079.885416666664</v>
      </c>
      <c r="I291" s="108" t="s">
        <v>509</v>
      </c>
    </row>
    <row r="292" spans="1:9" ht="15" x14ac:dyDescent="0.25">
      <c r="A292" t="str">
        <f t="shared" si="4"/>
        <v>E2025290</v>
      </c>
      <c r="B292" s="108" t="s">
        <v>268</v>
      </c>
      <c r="C292" s="109">
        <v>290</v>
      </c>
      <c r="D292" s="109">
        <v>29</v>
      </c>
      <c r="E292" s="108" t="s">
        <v>269</v>
      </c>
      <c r="F292" s="108" t="s">
        <v>183</v>
      </c>
      <c r="G292" s="108" t="s">
        <v>186</v>
      </c>
      <c r="H292" s="110">
        <v>46079.864583333336</v>
      </c>
      <c r="I292" s="108" t="s">
        <v>510</v>
      </c>
    </row>
    <row r="293" spans="1:9" ht="15" x14ac:dyDescent="0.25">
      <c r="A293" t="str">
        <f t="shared" si="4"/>
        <v>E2025291</v>
      </c>
      <c r="B293" s="108" t="s">
        <v>268</v>
      </c>
      <c r="C293" s="109">
        <v>291</v>
      </c>
      <c r="D293" s="109">
        <v>30</v>
      </c>
      <c r="E293" s="108" t="s">
        <v>269</v>
      </c>
      <c r="F293" s="108" t="s">
        <v>185</v>
      </c>
      <c r="G293" s="108" t="s">
        <v>178</v>
      </c>
      <c r="H293" s="110">
        <v>46086.854166666664</v>
      </c>
      <c r="I293" s="108" t="s">
        <v>511</v>
      </c>
    </row>
    <row r="294" spans="1:9" ht="15" x14ac:dyDescent="0.25">
      <c r="A294" t="str">
        <f t="shared" si="4"/>
        <v>E2025292</v>
      </c>
      <c r="B294" s="108" t="s">
        <v>268</v>
      </c>
      <c r="C294" s="109">
        <v>292</v>
      </c>
      <c r="D294" s="109">
        <v>30</v>
      </c>
      <c r="E294" s="108" t="s">
        <v>269</v>
      </c>
      <c r="F294" s="108" t="s">
        <v>194</v>
      </c>
      <c r="G294" s="108" t="s">
        <v>184</v>
      </c>
      <c r="H294" s="110">
        <v>46086.864583333336</v>
      </c>
      <c r="I294" s="108" t="s">
        <v>512</v>
      </c>
    </row>
    <row r="295" spans="1:9" ht="15" x14ac:dyDescent="0.25">
      <c r="A295" t="str">
        <f t="shared" si="4"/>
        <v>E2025293</v>
      </c>
      <c r="B295" s="108" t="s">
        <v>268</v>
      </c>
      <c r="C295" s="109">
        <v>293</v>
      </c>
      <c r="D295" s="109">
        <v>30</v>
      </c>
      <c r="E295" s="108" t="s">
        <v>269</v>
      </c>
      <c r="F295" s="108" t="s">
        <v>193</v>
      </c>
      <c r="G295" s="108" t="s">
        <v>181</v>
      </c>
      <c r="H295" s="110">
        <v>46086.836805555555</v>
      </c>
      <c r="I295" s="108" t="s">
        <v>513</v>
      </c>
    </row>
    <row r="296" spans="1:9" ht="15" x14ac:dyDescent="0.25">
      <c r="A296" t="str">
        <f t="shared" si="4"/>
        <v>E2025294</v>
      </c>
      <c r="B296" s="108" t="s">
        <v>268</v>
      </c>
      <c r="C296" s="109">
        <v>294</v>
      </c>
      <c r="D296" s="109">
        <v>30</v>
      </c>
      <c r="E296" s="108" t="s">
        <v>269</v>
      </c>
      <c r="F296" s="108" t="s">
        <v>190</v>
      </c>
      <c r="G296" s="108" t="s">
        <v>180</v>
      </c>
      <c r="H296" s="110">
        <v>46086.854166666664</v>
      </c>
      <c r="I296" s="108" t="s">
        <v>511</v>
      </c>
    </row>
    <row r="297" spans="1:9" ht="15" x14ac:dyDescent="0.25">
      <c r="A297" t="str">
        <f t="shared" si="4"/>
        <v>E2025295</v>
      </c>
      <c r="B297" s="108" t="s">
        <v>268</v>
      </c>
      <c r="C297" s="109">
        <v>295</v>
      </c>
      <c r="D297" s="109">
        <v>30</v>
      </c>
      <c r="E297" s="108" t="s">
        <v>269</v>
      </c>
      <c r="F297" s="108" t="s">
        <v>183</v>
      </c>
      <c r="G297" s="108" t="s">
        <v>195</v>
      </c>
      <c r="H297" s="110">
        <v>46086.864583333336</v>
      </c>
      <c r="I297" s="108" t="s">
        <v>514</v>
      </c>
    </row>
    <row r="298" spans="1:9" ht="15" x14ac:dyDescent="0.25">
      <c r="A298" t="str">
        <f t="shared" si="4"/>
        <v>E2025296</v>
      </c>
      <c r="B298" s="108" t="s">
        <v>268</v>
      </c>
      <c r="C298" s="109">
        <v>296</v>
      </c>
      <c r="D298" s="109">
        <v>30</v>
      </c>
      <c r="E298" s="108" t="s">
        <v>269</v>
      </c>
      <c r="F298" s="108" t="s">
        <v>188</v>
      </c>
      <c r="G298" s="108" t="s">
        <v>196</v>
      </c>
      <c r="H298" s="110">
        <v>46086.854166666664</v>
      </c>
      <c r="I298" s="108" t="s">
        <v>511</v>
      </c>
    </row>
    <row r="299" spans="1:9" ht="15" x14ac:dyDescent="0.25">
      <c r="A299" t="str">
        <f t="shared" si="4"/>
        <v>E2025297</v>
      </c>
      <c r="B299" s="108" t="s">
        <v>268</v>
      </c>
      <c r="C299" s="109">
        <v>297</v>
      </c>
      <c r="D299" s="109">
        <v>30</v>
      </c>
      <c r="E299" s="108" t="s">
        <v>269</v>
      </c>
      <c r="F299" s="108" t="s">
        <v>182</v>
      </c>
      <c r="G299" s="108" t="s">
        <v>177</v>
      </c>
      <c r="H299" s="110">
        <v>46087.854166666664</v>
      </c>
      <c r="I299" s="108" t="s">
        <v>515</v>
      </c>
    </row>
    <row r="300" spans="1:9" ht="15" x14ac:dyDescent="0.25">
      <c r="A300" t="str">
        <f t="shared" si="4"/>
        <v>E2025298</v>
      </c>
      <c r="B300" s="108" t="s">
        <v>268</v>
      </c>
      <c r="C300" s="109">
        <v>298</v>
      </c>
      <c r="D300" s="109">
        <v>30</v>
      </c>
      <c r="E300" s="108" t="s">
        <v>269</v>
      </c>
      <c r="F300" s="108" t="s">
        <v>179</v>
      </c>
      <c r="G300" s="108" t="s">
        <v>191</v>
      </c>
      <c r="H300" s="110">
        <v>46087.854166666664</v>
      </c>
      <c r="I300" s="108" t="s">
        <v>516</v>
      </c>
    </row>
    <row r="301" spans="1:9" ht="15" x14ac:dyDescent="0.25">
      <c r="A301" t="str">
        <f t="shared" si="4"/>
        <v>E2025299</v>
      </c>
      <c r="B301" s="108" t="s">
        <v>268</v>
      </c>
      <c r="C301" s="109">
        <v>299</v>
      </c>
      <c r="D301" s="109">
        <v>30</v>
      </c>
      <c r="E301" s="108" t="s">
        <v>269</v>
      </c>
      <c r="F301" s="108" t="s">
        <v>192</v>
      </c>
      <c r="G301" s="108" t="s">
        <v>186</v>
      </c>
      <c r="H301" s="110">
        <v>46087.833333333336</v>
      </c>
      <c r="I301" s="108" t="s">
        <v>517</v>
      </c>
    </row>
    <row r="302" spans="1:9" ht="15" x14ac:dyDescent="0.25">
      <c r="A302" t="str">
        <f t="shared" si="4"/>
        <v>E2025300</v>
      </c>
      <c r="B302" s="108" t="s">
        <v>268</v>
      </c>
      <c r="C302" s="109">
        <v>300</v>
      </c>
      <c r="D302" s="109">
        <v>30</v>
      </c>
      <c r="E302" s="108" t="s">
        <v>269</v>
      </c>
      <c r="F302" s="108" t="s">
        <v>187</v>
      </c>
      <c r="G302" s="108" t="s">
        <v>189</v>
      </c>
      <c r="H302" s="110">
        <v>46087.885416666664</v>
      </c>
      <c r="I302" s="108" t="s">
        <v>518</v>
      </c>
    </row>
    <row r="303" spans="1:9" ht="15" x14ac:dyDescent="0.25">
      <c r="A303" t="str">
        <f t="shared" si="4"/>
        <v>E2025301</v>
      </c>
      <c r="B303" s="108" t="s">
        <v>268</v>
      </c>
      <c r="C303" s="109">
        <v>301</v>
      </c>
      <c r="D303" s="109">
        <v>31</v>
      </c>
      <c r="E303" s="108" t="s">
        <v>269</v>
      </c>
      <c r="F303" s="108" t="s">
        <v>186</v>
      </c>
      <c r="G303" s="108" t="s">
        <v>182</v>
      </c>
      <c r="H303" s="110">
        <v>46093.854166666664</v>
      </c>
      <c r="I303" s="108" t="s">
        <v>519</v>
      </c>
    </row>
    <row r="304" spans="1:9" ht="15" x14ac:dyDescent="0.25">
      <c r="A304" t="str">
        <f t="shared" si="4"/>
        <v>E2025302</v>
      </c>
      <c r="B304" s="108" t="s">
        <v>268</v>
      </c>
      <c r="C304" s="109">
        <v>302</v>
      </c>
      <c r="D304" s="109">
        <v>31</v>
      </c>
      <c r="E304" s="108" t="s">
        <v>269</v>
      </c>
      <c r="F304" s="108" t="s">
        <v>191</v>
      </c>
      <c r="G304" s="108" t="s">
        <v>177</v>
      </c>
      <c r="H304" s="110">
        <v>46093.864583333336</v>
      </c>
      <c r="I304" s="108" t="s">
        <v>520</v>
      </c>
    </row>
    <row r="305" spans="1:9" ht="15" x14ac:dyDescent="0.25">
      <c r="A305" t="str">
        <f t="shared" si="4"/>
        <v>E2025303</v>
      </c>
      <c r="B305" s="108" t="s">
        <v>268</v>
      </c>
      <c r="C305" s="109">
        <v>303</v>
      </c>
      <c r="D305" s="109">
        <v>31</v>
      </c>
      <c r="E305" s="108" t="s">
        <v>269</v>
      </c>
      <c r="F305" s="108" t="s">
        <v>183</v>
      </c>
      <c r="G305" s="108" t="s">
        <v>188</v>
      </c>
      <c r="H305" s="110">
        <v>46093.864583333336</v>
      </c>
      <c r="I305" s="108" t="s">
        <v>520</v>
      </c>
    </row>
    <row r="306" spans="1:9" ht="15" x14ac:dyDescent="0.25">
      <c r="A306" t="str">
        <f t="shared" si="4"/>
        <v>E2025304</v>
      </c>
      <c r="B306" s="108" t="s">
        <v>268</v>
      </c>
      <c r="C306" s="109">
        <v>304</v>
      </c>
      <c r="D306" s="109">
        <v>31</v>
      </c>
      <c r="E306" s="108" t="s">
        <v>269</v>
      </c>
      <c r="F306" s="108" t="s">
        <v>195</v>
      </c>
      <c r="G306" s="108" t="s">
        <v>190</v>
      </c>
      <c r="H306" s="110">
        <v>46093.854166666664</v>
      </c>
      <c r="I306" s="108" t="s">
        <v>519</v>
      </c>
    </row>
    <row r="307" spans="1:9" ht="15" x14ac:dyDescent="0.25">
      <c r="A307" t="str">
        <f t="shared" si="4"/>
        <v>E2025305</v>
      </c>
      <c r="B307" s="108" t="s">
        <v>268</v>
      </c>
      <c r="C307" s="109">
        <v>305</v>
      </c>
      <c r="D307" s="109">
        <v>31</v>
      </c>
      <c r="E307" s="108" t="s">
        <v>269</v>
      </c>
      <c r="F307" s="108" t="s">
        <v>189</v>
      </c>
      <c r="G307" s="108" t="s">
        <v>196</v>
      </c>
      <c r="H307" s="110">
        <v>46093.885416666664</v>
      </c>
      <c r="I307" s="108" t="s">
        <v>521</v>
      </c>
    </row>
    <row r="308" spans="1:9" ht="15" x14ac:dyDescent="0.25">
      <c r="A308" t="str">
        <f t="shared" si="4"/>
        <v>E2025306</v>
      </c>
      <c r="B308" s="108" t="s">
        <v>268</v>
      </c>
      <c r="C308" s="109">
        <v>306</v>
      </c>
      <c r="D308" s="109">
        <v>31</v>
      </c>
      <c r="E308" s="108" t="s">
        <v>269</v>
      </c>
      <c r="F308" s="108" t="s">
        <v>184</v>
      </c>
      <c r="G308" s="108" t="s">
        <v>187</v>
      </c>
      <c r="H308" s="110">
        <v>46094.8125</v>
      </c>
      <c r="I308" s="108" t="s">
        <v>522</v>
      </c>
    </row>
    <row r="309" spans="1:9" ht="15" x14ac:dyDescent="0.25">
      <c r="A309" t="str">
        <f t="shared" si="4"/>
        <v>E2025307</v>
      </c>
      <c r="B309" s="108" t="s">
        <v>268</v>
      </c>
      <c r="C309" s="109">
        <v>307</v>
      </c>
      <c r="D309" s="109">
        <v>31</v>
      </c>
      <c r="E309" s="108" t="s">
        <v>269</v>
      </c>
      <c r="F309" s="108" t="s">
        <v>192</v>
      </c>
      <c r="G309" s="108" t="s">
        <v>194</v>
      </c>
      <c r="H309" s="110">
        <v>46094.833333333336</v>
      </c>
      <c r="I309" s="108" t="s">
        <v>523</v>
      </c>
    </row>
    <row r="310" spans="1:9" ht="15" x14ac:dyDescent="0.25">
      <c r="A310" t="str">
        <f t="shared" si="4"/>
        <v>E2025308</v>
      </c>
      <c r="B310" s="108" t="s">
        <v>268</v>
      </c>
      <c r="C310" s="109">
        <v>308</v>
      </c>
      <c r="D310" s="109">
        <v>31</v>
      </c>
      <c r="E310" s="108" t="s">
        <v>269</v>
      </c>
      <c r="F310" s="108" t="s">
        <v>180</v>
      </c>
      <c r="G310" s="108" t="s">
        <v>179</v>
      </c>
      <c r="H310" s="110">
        <v>46093.833333333336</v>
      </c>
      <c r="I310" s="108" t="s">
        <v>524</v>
      </c>
    </row>
    <row r="311" spans="1:9" ht="15" x14ac:dyDescent="0.25">
      <c r="A311" t="str">
        <f t="shared" si="4"/>
        <v>E2025309</v>
      </c>
      <c r="B311" s="108" t="s">
        <v>268</v>
      </c>
      <c r="C311" s="109">
        <v>309</v>
      </c>
      <c r="D311" s="109">
        <v>31</v>
      </c>
      <c r="E311" s="108" t="s">
        <v>269</v>
      </c>
      <c r="F311" s="108" t="s">
        <v>185</v>
      </c>
      <c r="G311" s="108" t="s">
        <v>193</v>
      </c>
      <c r="H311" s="110">
        <v>46094.854166666664</v>
      </c>
      <c r="I311" s="108" t="s">
        <v>525</v>
      </c>
    </row>
    <row r="312" spans="1:9" ht="15" x14ac:dyDescent="0.25">
      <c r="A312" t="str">
        <f t="shared" si="4"/>
        <v>E2025310</v>
      </c>
      <c r="B312" s="108" t="s">
        <v>268</v>
      </c>
      <c r="C312" s="109">
        <v>310</v>
      </c>
      <c r="D312" s="109">
        <v>31</v>
      </c>
      <c r="E312" s="108" t="s">
        <v>269</v>
      </c>
      <c r="F312" s="108" t="s">
        <v>178</v>
      </c>
      <c r="G312" s="108" t="s">
        <v>181</v>
      </c>
      <c r="H312" s="110">
        <v>46094.854166666664</v>
      </c>
      <c r="I312" s="108" t="s">
        <v>525</v>
      </c>
    </row>
    <row r="313" spans="1:9" ht="15" x14ac:dyDescent="0.25">
      <c r="A313" t="str">
        <f t="shared" si="4"/>
        <v>E2025311</v>
      </c>
      <c r="B313" s="108" t="s">
        <v>268</v>
      </c>
      <c r="C313" s="109">
        <v>311</v>
      </c>
      <c r="D313" s="109">
        <v>32</v>
      </c>
      <c r="E313" s="108" t="s">
        <v>269</v>
      </c>
      <c r="F313" s="108" t="s">
        <v>186</v>
      </c>
      <c r="G313" s="108" t="s">
        <v>180</v>
      </c>
      <c r="H313" s="110">
        <v>46100.854166666664</v>
      </c>
      <c r="I313" s="108" t="s">
        <v>526</v>
      </c>
    </row>
    <row r="314" spans="1:9" ht="15" x14ac:dyDescent="0.25">
      <c r="A314" t="str">
        <f t="shared" si="4"/>
        <v>E2025312</v>
      </c>
      <c r="B314" s="108" t="s">
        <v>268</v>
      </c>
      <c r="C314" s="109">
        <v>312</v>
      </c>
      <c r="D314" s="109">
        <v>32</v>
      </c>
      <c r="E314" s="108" t="s">
        <v>269</v>
      </c>
      <c r="F314" s="108" t="s">
        <v>181</v>
      </c>
      <c r="G314" s="108" t="s">
        <v>195</v>
      </c>
      <c r="H314" s="110">
        <v>46100.878472222219</v>
      </c>
      <c r="I314" s="108" t="s">
        <v>527</v>
      </c>
    </row>
    <row r="315" spans="1:9" ht="15" x14ac:dyDescent="0.25">
      <c r="A315" t="str">
        <f t="shared" si="4"/>
        <v>E2025313</v>
      </c>
      <c r="B315" s="108" t="s">
        <v>268</v>
      </c>
      <c r="C315" s="109">
        <v>313</v>
      </c>
      <c r="D315" s="109">
        <v>32</v>
      </c>
      <c r="E315" s="108" t="s">
        <v>269</v>
      </c>
      <c r="F315" s="108" t="s">
        <v>187</v>
      </c>
      <c r="G315" s="108" t="s">
        <v>179</v>
      </c>
      <c r="H315" s="110">
        <v>46100.885416666664</v>
      </c>
      <c r="I315" s="108" t="s">
        <v>528</v>
      </c>
    </row>
    <row r="316" spans="1:9" ht="15" x14ac:dyDescent="0.25">
      <c r="A316" t="str">
        <f t="shared" si="4"/>
        <v>E2025314</v>
      </c>
      <c r="B316" s="108" t="s">
        <v>268</v>
      </c>
      <c r="C316" s="109">
        <v>314</v>
      </c>
      <c r="D316" s="109">
        <v>32</v>
      </c>
      <c r="E316" s="108" t="s">
        <v>269</v>
      </c>
      <c r="F316" s="108" t="s">
        <v>191</v>
      </c>
      <c r="G316" s="108" t="s">
        <v>190</v>
      </c>
      <c r="H316" s="110">
        <v>46100.864583333336</v>
      </c>
      <c r="I316" s="108" t="s">
        <v>529</v>
      </c>
    </row>
    <row r="317" spans="1:9" ht="15" x14ac:dyDescent="0.25">
      <c r="A317" t="str">
        <f t="shared" si="4"/>
        <v>E2025315</v>
      </c>
      <c r="B317" s="108" t="s">
        <v>268</v>
      </c>
      <c r="C317" s="109">
        <v>315</v>
      </c>
      <c r="D317" s="109">
        <v>32</v>
      </c>
      <c r="E317" s="108" t="s">
        <v>269</v>
      </c>
      <c r="F317" s="108" t="s">
        <v>188</v>
      </c>
      <c r="G317" s="108" t="s">
        <v>178</v>
      </c>
      <c r="H317" s="110">
        <v>46100.854166666664</v>
      </c>
      <c r="I317" s="108" t="s">
        <v>526</v>
      </c>
    </row>
    <row r="318" spans="1:9" ht="15" x14ac:dyDescent="0.25">
      <c r="A318" t="str">
        <f t="shared" si="4"/>
        <v>E2025316</v>
      </c>
      <c r="B318" s="108" t="s">
        <v>268</v>
      </c>
      <c r="C318" s="109">
        <v>316</v>
      </c>
      <c r="D318" s="109">
        <v>32</v>
      </c>
      <c r="E318" s="108" t="s">
        <v>269</v>
      </c>
      <c r="F318" s="108" t="s">
        <v>182</v>
      </c>
      <c r="G318" s="108" t="s">
        <v>184</v>
      </c>
      <c r="H318" s="110">
        <v>46100.854166666664</v>
      </c>
      <c r="I318" s="108" t="s">
        <v>530</v>
      </c>
    </row>
    <row r="319" spans="1:9" ht="15" x14ac:dyDescent="0.25">
      <c r="A319" t="str">
        <f t="shared" si="4"/>
        <v>E2025317</v>
      </c>
      <c r="B319" s="108" t="s">
        <v>268</v>
      </c>
      <c r="C319" s="109">
        <v>317</v>
      </c>
      <c r="D319" s="109">
        <v>32</v>
      </c>
      <c r="E319" s="108" t="s">
        <v>269</v>
      </c>
      <c r="F319" s="108" t="s">
        <v>194</v>
      </c>
      <c r="G319" s="108" t="s">
        <v>185</v>
      </c>
      <c r="H319" s="110">
        <v>46101.864583333336</v>
      </c>
      <c r="I319" s="108" t="s">
        <v>531</v>
      </c>
    </row>
    <row r="320" spans="1:9" ht="15" x14ac:dyDescent="0.25">
      <c r="A320" t="str">
        <f t="shared" si="4"/>
        <v>E2025318</v>
      </c>
      <c r="B320" s="108" t="s">
        <v>268</v>
      </c>
      <c r="C320" s="109">
        <v>318</v>
      </c>
      <c r="D320" s="109">
        <v>32</v>
      </c>
      <c r="E320" s="108" t="s">
        <v>269</v>
      </c>
      <c r="F320" s="108" t="s">
        <v>177</v>
      </c>
      <c r="G320" s="108" t="s">
        <v>193</v>
      </c>
      <c r="H320" s="110">
        <v>46101.833333333336</v>
      </c>
      <c r="I320" s="108" t="s">
        <v>532</v>
      </c>
    </row>
    <row r="321" spans="1:9" ht="15" x14ac:dyDescent="0.25">
      <c r="A321" t="str">
        <f t="shared" si="4"/>
        <v>E2025319</v>
      </c>
      <c r="B321" s="108" t="s">
        <v>268</v>
      </c>
      <c r="C321" s="109">
        <v>319</v>
      </c>
      <c r="D321" s="109">
        <v>32</v>
      </c>
      <c r="E321" s="108" t="s">
        <v>269</v>
      </c>
      <c r="F321" s="108" t="s">
        <v>189</v>
      </c>
      <c r="G321" s="108" t="s">
        <v>192</v>
      </c>
      <c r="H321" s="110">
        <v>46101.885416666664</v>
      </c>
      <c r="I321" s="108" t="s">
        <v>533</v>
      </c>
    </row>
    <row r="322" spans="1:9" ht="15" x14ac:dyDescent="0.25">
      <c r="A322" t="str">
        <f t="shared" si="4"/>
        <v>E2025320</v>
      </c>
      <c r="B322" s="108" t="s">
        <v>268</v>
      </c>
      <c r="C322" s="109">
        <v>320</v>
      </c>
      <c r="D322" s="109">
        <v>32</v>
      </c>
      <c r="E322" s="108" t="s">
        <v>269</v>
      </c>
      <c r="F322" s="108" t="s">
        <v>196</v>
      </c>
      <c r="G322" s="108" t="s">
        <v>183</v>
      </c>
      <c r="H322" s="110">
        <v>46101.833333333336</v>
      </c>
      <c r="I322" s="108" t="s">
        <v>534</v>
      </c>
    </row>
    <row r="323" spans="1:9" ht="15" x14ac:dyDescent="0.25">
      <c r="A323" t="str">
        <f t="shared" si="4"/>
        <v>E2025321</v>
      </c>
      <c r="B323" s="108" t="s">
        <v>268</v>
      </c>
      <c r="C323" s="109">
        <v>321</v>
      </c>
      <c r="D323" s="109">
        <v>33</v>
      </c>
      <c r="E323" s="108" t="s">
        <v>269</v>
      </c>
      <c r="F323" s="108" t="s">
        <v>184</v>
      </c>
      <c r="G323" s="108" t="s">
        <v>185</v>
      </c>
      <c r="H323" s="110">
        <v>46105.791666666664</v>
      </c>
      <c r="I323" s="108" t="s">
        <v>535</v>
      </c>
    </row>
    <row r="324" spans="1:9" ht="15" x14ac:dyDescent="0.25">
      <c r="A324" t="str">
        <f t="shared" ref="A324:A387" si="5">B324&amp;TEXT(C324,"000")</f>
        <v>E2025322</v>
      </c>
      <c r="B324" s="108" t="s">
        <v>268</v>
      </c>
      <c r="C324" s="109">
        <v>322</v>
      </c>
      <c r="D324" s="109">
        <v>33</v>
      </c>
      <c r="E324" s="108" t="s">
        <v>269</v>
      </c>
      <c r="F324" s="108" t="s">
        <v>180</v>
      </c>
      <c r="G324" s="108" t="s">
        <v>189</v>
      </c>
      <c r="H324" s="110">
        <v>46105.833333333336</v>
      </c>
      <c r="I324" s="108" t="s">
        <v>536</v>
      </c>
    </row>
    <row r="325" spans="1:9" ht="15" x14ac:dyDescent="0.25">
      <c r="A325" t="str">
        <f t="shared" si="5"/>
        <v>E2025323</v>
      </c>
      <c r="B325" s="108" t="s">
        <v>268</v>
      </c>
      <c r="C325" s="109">
        <v>323</v>
      </c>
      <c r="D325" s="109">
        <v>33</v>
      </c>
      <c r="E325" s="108" t="s">
        <v>269</v>
      </c>
      <c r="F325" s="108" t="s">
        <v>178</v>
      </c>
      <c r="G325" s="108" t="s">
        <v>182</v>
      </c>
      <c r="H325" s="110">
        <v>46105.854166666664</v>
      </c>
      <c r="I325" s="108" t="s">
        <v>537</v>
      </c>
    </row>
    <row r="326" spans="1:9" ht="15" x14ac:dyDescent="0.25">
      <c r="A326" t="str">
        <f t="shared" si="5"/>
        <v>E2025324</v>
      </c>
      <c r="B326" s="108" t="s">
        <v>268</v>
      </c>
      <c r="C326" s="109">
        <v>324</v>
      </c>
      <c r="D326" s="109">
        <v>33</v>
      </c>
      <c r="E326" s="108" t="s">
        <v>269</v>
      </c>
      <c r="F326" s="108" t="s">
        <v>193</v>
      </c>
      <c r="G326" s="108" t="s">
        <v>194</v>
      </c>
      <c r="H326" s="110">
        <v>46105.791666666664</v>
      </c>
      <c r="I326" s="108" t="s">
        <v>535</v>
      </c>
    </row>
    <row r="327" spans="1:9" ht="15" x14ac:dyDescent="0.25">
      <c r="A327" t="str">
        <f t="shared" si="5"/>
        <v>E2025325</v>
      </c>
      <c r="B327" s="108" t="s">
        <v>268</v>
      </c>
      <c r="C327" s="109">
        <v>325</v>
      </c>
      <c r="D327" s="109">
        <v>33</v>
      </c>
      <c r="E327" s="108" t="s">
        <v>269</v>
      </c>
      <c r="F327" s="108" t="s">
        <v>190</v>
      </c>
      <c r="G327" s="108" t="s">
        <v>177</v>
      </c>
      <c r="H327" s="110">
        <v>46105.854166666664</v>
      </c>
      <c r="I327" s="108" t="s">
        <v>537</v>
      </c>
    </row>
    <row r="328" spans="1:9" ht="15" x14ac:dyDescent="0.25">
      <c r="A328" t="str">
        <f t="shared" si="5"/>
        <v>E2025326</v>
      </c>
      <c r="B328" s="108" t="s">
        <v>268</v>
      </c>
      <c r="C328" s="109">
        <v>326</v>
      </c>
      <c r="D328" s="109">
        <v>33</v>
      </c>
      <c r="E328" s="108" t="s">
        <v>269</v>
      </c>
      <c r="F328" s="108" t="s">
        <v>183</v>
      </c>
      <c r="G328" s="108" t="s">
        <v>181</v>
      </c>
      <c r="H328" s="110">
        <v>46105.875</v>
      </c>
      <c r="I328" s="108" t="s">
        <v>538</v>
      </c>
    </row>
    <row r="329" spans="1:9" ht="15" x14ac:dyDescent="0.25">
      <c r="A329" t="str">
        <f t="shared" si="5"/>
        <v>E2025327</v>
      </c>
      <c r="B329" s="108" t="s">
        <v>268</v>
      </c>
      <c r="C329" s="109">
        <v>327</v>
      </c>
      <c r="D329" s="109">
        <v>33</v>
      </c>
      <c r="E329" s="108" t="s">
        <v>269</v>
      </c>
      <c r="F329" s="108" t="s">
        <v>188</v>
      </c>
      <c r="G329" s="108" t="s">
        <v>187</v>
      </c>
      <c r="H329" s="110">
        <v>46105.854166666664</v>
      </c>
      <c r="I329" s="108" t="s">
        <v>537</v>
      </c>
    </row>
    <row r="330" spans="1:9" ht="15" x14ac:dyDescent="0.25">
      <c r="A330" t="str">
        <f t="shared" si="5"/>
        <v>E2025328</v>
      </c>
      <c r="B330" s="108" t="s">
        <v>268</v>
      </c>
      <c r="C330" s="109">
        <v>328</v>
      </c>
      <c r="D330" s="109">
        <v>33</v>
      </c>
      <c r="E330" s="108" t="s">
        <v>269</v>
      </c>
      <c r="F330" s="108" t="s">
        <v>195</v>
      </c>
      <c r="G330" s="108" t="s">
        <v>191</v>
      </c>
      <c r="H330" s="110">
        <v>46105.864583333336</v>
      </c>
      <c r="I330" s="108" t="s">
        <v>539</v>
      </c>
    </row>
    <row r="331" spans="1:9" ht="15" x14ac:dyDescent="0.25">
      <c r="A331" t="str">
        <f t="shared" si="5"/>
        <v>E2025329</v>
      </c>
      <c r="B331" s="108" t="s">
        <v>268</v>
      </c>
      <c r="C331" s="109">
        <v>329</v>
      </c>
      <c r="D331" s="109">
        <v>33</v>
      </c>
      <c r="E331" s="108" t="s">
        <v>269</v>
      </c>
      <c r="F331" s="108" t="s">
        <v>196</v>
      </c>
      <c r="G331" s="108" t="s">
        <v>186</v>
      </c>
      <c r="H331" s="110">
        <v>46105.833333333336</v>
      </c>
      <c r="I331" s="108" t="s">
        <v>535</v>
      </c>
    </row>
    <row r="332" spans="1:9" ht="15" x14ac:dyDescent="0.25">
      <c r="A332" t="str">
        <f t="shared" si="5"/>
        <v>E2025330</v>
      </c>
      <c r="B332" s="108" t="s">
        <v>268</v>
      </c>
      <c r="C332" s="109">
        <v>330</v>
      </c>
      <c r="D332" s="109">
        <v>33</v>
      </c>
      <c r="E332" s="108" t="s">
        <v>269</v>
      </c>
      <c r="F332" s="108" t="s">
        <v>179</v>
      </c>
      <c r="G332" s="108" t="s">
        <v>192</v>
      </c>
      <c r="H332" s="110">
        <v>46106.854166666664</v>
      </c>
      <c r="I332" s="108" t="s">
        <v>540</v>
      </c>
    </row>
    <row r="333" spans="1:9" ht="15" x14ac:dyDescent="0.25">
      <c r="A333" t="str">
        <f t="shared" si="5"/>
        <v>E2025331</v>
      </c>
      <c r="B333" s="108" t="s">
        <v>268</v>
      </c>
      <c r="C333" s="109">
        <v>331</v>
      </c>
      <c r="D333" s="109">
        <v>34</v>
      </c>
      <c r="E333" s="108" t="s">
        <v>269</v>
      </c>
      <c r="F333" s="108" t="s">
        <v>185</v>
      </c>
      <c r="G333" s="108" t="s">
        <v>195</v>
      </c>
      <c r="H333" s="110">
        <v>46107.854166666664</v>
      </c>
      <c r="I333" s="108" t="s">
        <v>541</v>
      </c>
    </row>
    <row r="334" spans="1:9" ht="15" x14ac:dyDescent="0.25">
      <c r="A334" t="str">
        <f t="shared" si="5"/>
        <v>E2025332</v>
      </c>
      <c r="B334" s="108" t="s">
        <v>268</v>
      </c>
      <c r="C334" s="109">
        <v>332</v>
      </c>
      <c r="D334" s="109">
        <v>34</v>
      </c>
      <c r="E334" s="108" t="s">
        <v>269</v>
      </c>
      <c r="F334" s="108" t="s">
        <v>186</v>
      </c>
      <c r="G334" s="108" t="s">
        <v>177</v>
      </c>
      <c r="H334" s="110">
        <v>46107.854166666664</v>
      </c>
      <c r="I334" s="108" t="s">
        <v>541</v>
      </c>
    </row>
    <row r="335" spans="1:9" ht="15" x14ac:dyDescent="0.25">
      <c r="A335" t="str">
        <f t="shared" si="5"/>
        <v>E2025333</v>
      </c>
      <c r="B335" s="108" t="s">
        <v>268</v>
      </c>
      <c r="C335" s="109">
        <v>333</v>
      </c>
      <c r="D335" s="109">
        <v>34</v>
      </c>
      <c r="E335" s="108" t="s">
        <v>269</v>
      </c>
      <c r="F335" s="108" t="s">
        <v>193</v>
      </c>
      <c r="G335" s="108" t="s">
        <v>180</v>
      </c>
      <c r="H335" s="110">
        <v>46107.836805555555</v>
      </c>
      <c r="I335" s="108" t="s">
        <v>542</v>
      </c>
    </row>
    <row r="336" spans="1:9" ht="15" x14ac:dyDescent="0.25">
      <c r="A336" t="str">
        <f t="shared" si="5"/>
        <v>E2025334</v>
      </c>
      <c r="B336" s="108" t="s">
        <v>268</v>
      </c>
      <c r="C336" s="109">
        <v>334</v>
      </c>
      <c r="D336" s="109">
        <v>34</v>
      </c>
      <c r="E336" s="108" t="s">
        <v>269</v>
      </c>
      <c r="F336" s="108" t="s">
        <v>191</v>
      </c>
      <c r="G336" s="108" t="s">
        <v>187</v>
      </c>
      <c r="H336" s="110">
        <v>46091.864583333336</v>
      </c>
      <c r="I336" s="108" t="s">
        <v>543</v>
      </c>
    </row>
    <row r="337" spans="1:9" ht="15" x14ac:dyDescent="0.25">
      <c r="A337" t="str">
        <f t="shared" si="5"/>
        <v>E2025335</v>
      </c>
      <c r="B337" s="108" t="s">
        <v>268</v>
      </c>
      <c r="C337" s="109">
        <v>335</v>
      </c>
      <c r="D337" s="109">
        <v>34</v>
      </c>
      <c r="E337" s="108" t="s">
        <v>269</v>
      </c>
      <c r="F337" s="108" t="s">
        <v>183</v>
      </c>
      <c r="G337" s="108" t="s">
        <v>182</v>
      </c>
      <c r="H337" s="110">
        <v>46107.864583333336</v>
      </c>
      <c r="I337" s="108" t="s">
        <v>544</v>
      </c>
    </row>
    <row r="338" spans="1:9" ht="15" x14ac:dyDescent="0.25">
      <c r="A338" t="str">
        <f t="shared" si="5"/>
        <v>E2025336</v>
      </c>
      <c r="B338" s="108" t="s">
        <v>268</v>
      </c>
      <c r="C338" s="109">
        <v>336</v>
      </c>
      <c r="D338" s="109">
        <v>34</v>
      </c>
      <c r="E338" s="108" t="s">
        <v>269</v>
      </c>
      <c r="F338" s="108" t="s">
        <v>179</v>
      </c>
      <c r="G338" s="108" t="s">
        <v>181</v>
      </c>
      <c r="H338" s="110">
        <v>46108.854166666664</v>
      </c>
      <c r="I338" s="108" t="s">
        <v>545</v>
      </c>
    </row>
    <row r="339" spans="1:9" ht="15" x14ac:dyDescent="0.25">
      <c r="A339" t="str">
        <f t="shared" si="5"/>
        <v>E2025337</v>
      </c>
      <c r="B339" s="108" t="s">
        <v>268</v>
      </c>
      <c r="C339" s="109">
        <v>337</v>
      </c>
      <c r="D339" s="109">
        <v>34</v>
      </c>
      <c r="E339" s="108" t="s">
        <v>269</v>
      </c>
      <c r="F339" s="108" t="s">
        <v>178</v>
      </c>
      <c r="G339" s="108" t="s">
        <v>192</v>
      </c>
      <c r="H339" s="110">
        <v>46108.854166666664</v>
      </c>
      <c r="I339" s="108" t="s">
        <v>545</v>
      </c>
    </row>
    <row r="340" spans="1:9" ht="15" x14ac:dyDescent="0.25">
      <c r="A340" t="str">
        <f t="shared" si="5"/>
        <v>E2025338</v>
      </c>
      <c r="B340" s="108" t="s">
        <v>268</v>
      </c>
      <c r="C340" s="109">
        <v>338</v>
      </c>
      <c r="D340" s="109">
        <v>34</v>
      </c>
      <c r="E340" s="108" t="s">
        <v>269</v>
      </c>
      <c r="F340" s="108" t="s">
        <v>194</v>
      </c>
      <c r="G340" s="108" t="s">
        <v>196</v>
      </c>
      <c r="H340" s="110">
        <v>46108.864583333336</v>
      </c>
      <c r="I340" s="108" t="s">
        <v>546</v>
      </c>
    </row>
    <row r="341" spans="1:9" ht="15" x14ac:dyDescent="0.25">
      <c r="A341" t="str">
        <f t="shared" si="5"/>
        <v>E2025339</v>
      </c>
      <c r="B341" s="108" t="s">
        <v>268</v>
      </c>
      <c r="C341" s="109">
        <v>339</v>
      </c>
      <c r="D341" s="109">
        <v>34</v>
      </c>
      <c r="E341" s="108" t="s">
        <v>269</v>
      </c>
      <c r="F341" s="108" t="s">
        <v>189</v>
      </c>
      <c r="G341" s="108" t="s">
        <v>184</v>
      </c>
      <c r="H341" s="110">
        <v>46108.885416666664</v>
      </c>
      <c r="I341" s="108" t="s">
        <v>547</v>
      </c>
    </row>
    <row r="342" spans="1:9" ht="15" x14ac:dyDescent="0.25">
      <c r="A342" t="str">
        <f t="shared" si="5"/>
        <v>E2025340</v>
      </c>
      <c r="B342" s="108" t="s">
        <v>268</v>
      </c>
      <c r="C342" s="109">
        <v>340</v>
      </c>
      <c r="D342" s="109">
        <v>34</v>
      </c>
      <c r="E342" s="108" t="s">
        <v>269</v>
      </c>
      <c r="F342" s="108" t="s">
        <v>190</v>
      </c>
      <c r="G342" s="108" t="s">
        <v>188</v>
      </c>
      <c r="H342" s="110">
        <v>46108.854166666664</v>
      </c>
      <c r="I342" s="108" t="s">
        <v>545</v>
      </c>
    </row>
    <row r="343" spans="1:9" ht="15" x14ac:dyDescent="0.25">
      <c r="A343" t="str">
        <f t="shared" si="5"/>
        <v>E2025341</v>
      </c>
      <c r="B343" s="108" t="s">
        <v>268</v>
      </c>
      <c r="C343" s="109">
        <v>341</v>
      </c>
      <c r="D343" s="109">
        <v>35</v>
      </c>
      <c r="E343" s="108" t="s">
        <v>269</v>
      </c>
      <c r="F343" s="108" t="s">
        <v>193</v>
      </c>
      <c r="G343" s="108" t="s">
        <v>182</v>
      </c>
      <c r="H343" s="110">
        <v>46113.864583333336</v>
      </c>
      <c r="I343" s="108" t="s">
        <v>548</v>
      </c>
    </row>
    <row r="344" spans="1:9" ht="15" x14ac:dyDescent="0.25">
      <c r="A344" t="str">
        <f t="shared" si="5"/>
        <v>E2025342</v>
      </c>
      <c r="B344" s="108" t="s">
        <v>268</v>
      </c>
      <c r="C344" s="109">
        <v>342</v>
      </c>
      <c r="D344" s="109">
        <v>35</v>
      </c>
      <c r="E344" s="108" t="s">
        <v>269</v>
      </c>
      <c r="F344" s="108" t="s">
        <v>192</v>
      </c>
      <c r="G344" s="108" t="s">
        <v>190</v>
      </c>
      <c r="H344" s="110">
        <v>46114.833333333336</v>
      </c>
      <c r="I344" s="108" t="s">
        <v>549</v>
      </c>
    </row>
    <row r="345" spans="1:9" ht="15" x14ac:dyDescent="0.25">
      <c r="A345" t="str">
        <f t="shared" si="5"/>
        <v>E2025343</v>
      </c>
      <c r="B345" s="108" t="s">
        <v>268</v>
      </c>
      <c r="C345" s="109">
        <v>343</v>
      </c>
      <c r="D345" s="109">
        <v>35</v>
      </c>
      <c r="E345" s="108" t="s">
        <v>269</v>
      </c>
      <c r="F345" s="108" t="s">
        <v>181</v>
      </c>
      <c r="G345" s="108" t="s">
        <v>189</v>
      </c>
      <c r="H345" s="110">
        <v>46114.833333333336</v>
      </c>
      <c r="I345" s="108" t="s">
        <v>550</v>
      </c>
    </row>
    <row r="346" spans="1:9" ht="15" x14ac:dyDescent="0.25">
      <c r="A346" t="str">
        <f t="shared" si="5"/>
        <v>E2025344</v>
      </c>
      <c r="B346" s="108" t="s">
        <v>268</v>
      </c>
      <c r="C346" s="109">
        <v>344</v>
      </c>
      <c r="D346" s="109">
        <v>35</v>
      </c>
      <c r="E346" s="108" t="s">
        <v>269</v>
      </c>
      <c r="F346" s="108" t="s">
        <v>191</v>
      </c>
      <c r="G346" s="108" t="s">
        <v>185</v>
      </c>
      <c r="H346" s="110">
        <v>46114.864583333336</v>
      </c>
      <c r="I346" s="108" t="s">
        <v>551</v>
      </c>
    </row>
    <row r="347" spans="1:9" ht="15" x14ac:dyDescent="0.25">
      <c r="A347" t="str">
        <f t="shared" si="5"/>
        <v>E2025345</v>
      </c>
      <c r="B347" s="108" t="s">
        <v>268</v>
      </c>
      <c r="C347" s="109">
        <v>345</v>
      </c>
      <c r="D347" s="109">
        <v>35</v>
      </c>
      <c r="E347" s="108" t="s">
        <v>269</v>
      </c>
      <c r="F347" s="108" t="s">
        <v>196</v>
      </c>
      <c r="G347" s="108" t="s">
        <v>178</v>
      </c>
      <c r="H347" s="110">
        <v>46114.833333333336</v>
      </c>
      <c r="I347" s="108" t="s">
        <v>550</v>
      </c>
    </row>
    <row r="348" spans="1:9" ht="15" x14ac:dyDescent="0.25">
      <c r="A348" t="str">
        <f t="shared" si="5"/>
        <v>E2025346</v>
      </c>
      <c r="B348" s="108" t="s">
        <v>268</v>
      </c>
      <c r="C348" s="109">
        <v>346</v>
      </c>
      <c r="D348" s="109">
        <v>35</v>
      </c>
      <c r="E348" s="108" t="s">
        <v>269</v>
      </c>
      <c r="F348" s="108" t="s">
        <v>179</v>
      </c>
      <c r="G348" s="108" t="s">
        <v>183</v>
      </c>
      <c r="H348" s="110">
        <v>46115.854166666664</v>
      </c>
      <c r="I348" s="108" t="s">
        <v>552</v>
      </c>
    </row>
    <row r="349" spans="1:9" ht="15" x14ac:dyDescent="0.25">
      <c r="A349" t="str">
        <f t="shared" si="5"/>
        <v>E2025347</v>
      </c>
      <c r="B349" s="108" t="s">
        <v>268</v>
      </c>
      <c r="C349" s="109">
        <v>347</v>
      </c>
      <c r="D349" s="109">
        <v>35</v>
      </c>
      <c r="E349" s="108" t="s">
        <v>269</v>
      </c>
      <c r="F349" s="108" t="s">
        <v>180</v>
      </c>
      <c r="G349" s="108" t="s">
        <v>184</v>
      </c>
      <c r="H349" s="110">
        <v>46115.833333333336</v>
      </c>
      <c r="I349" s="108" t="s">
        <v>553</v>
      </c>
    </row>
    <row r="350" spans="1:9" ht="15" x14ac:dyDescent="0.25">
      <c r="A350" t="str">
        <f t="shared" si="5"/>
        <v>E2025348</v>
      </c>
      <c r="B350" s="108" t="s">
        <v>268</v>
      </c>
      <c r="C350" s="109">
        <v>348</v>
      </c>
      <c r="D350" s="109">
        <v>35</v>
      </c>
      <c r="E350" s="108" t="s">
        <v>269</v>
      </c>
      <c r="F350" s="108" t="s">
        <v>186</v>
      </c>
      <c r="G350" s="108" t="s">
        <v>194</v>
      </c>
      <c r="H350" s="110">
        <v>46113.791666666664</v>
      </c>
      <c r="I350" s="108" t="s">
        <v>554</v>
      </c>
    </row>
    <row r="351" spans="1:9" ht="15" x14ac:dyDescent="0.25">
      <c r="A351" t="str">
        <f t="shared" si="5"/>
        <v>E2025349</v>
      </c>
      <c r="B351" s="108" t="s">
        <v>268</v>
      </c>
      <c r="C351" s="109">
        <v>349</v>
      </c>
      <c r="D351" s="109">
        <v>35</v>
      </c>
      <c r="E351" s="108" t="s">
        <v>269</v>
      </c>
      <c r="F351" s="108" t="s">
        <v>177</v>
      </c>
      <c r="G351" s="108" t="s">
        <v>187</v>
      </c>
      <c r="H351" s="110">
        <v>46115.833333333336</v>
      </c>
      <c r="I351" s="108" t="s">
        <v>555</v>
      </c>
    </row>
    <row r="352" spans="1:9" ht="15" x14ac:dyDescent="0.25">
      <c r="A352" t="str">
        <f t="shared" si="5"/>
        <v>E2025350</v>
      </c>
      <c r="B352" s="108" t="s">
        <v>268</v>
      </c>
      <c r="C352" s="109">
        <v>350</v>
      </c>
      <c r="D352" s="109">
        <v>35</v>
      </c>
      <c r="E352" s="108" t="s">
        <v>269</v>
      </c>
      <c r="F352" s="108" t="s">
        <v>195</v>
      </c>
      <c r="G352" s="108" t="s">
        <v>188</v>
      </c>
      <c r="H352" s="110">
        <v>46115.854166666664</v>
      </c>
      <c r="I352" s="108" t="s">
        <v>552</v>
      </c>
    </row>
    <row r="353" spans="1:9" ht="15" x14ac:dyDescent="0.25">
      <c r="A353" t="str">
        <f t="shared" si="5"/>
        <v>E2025351</v>
      </c>
      <c r="B353" s="108" t="s">
        <v>268</v>
      </c>
      <c r="C353" s="109">
        <v>351</v>
      </c>
      <c r="D353" s="109">
        <v>36</v>
      </c>
      <c r="E353" s="108" t="s">
        <v>269</v>
      </c>
      <c r="F353" s="108" t="s">
        <v>179</v>
      </c>
      <c r="G353" s="108" t="s">
        <v>193</v>
      </c>
      <c r="H353" s="110">
        <v>46119.875</v>
      </c>
      <c r="I353" s="108" t="s">
        <v>556</v>
      </c>
    </row>
    <row r="354" spans="1:9" ht="15" x14ac:dyDescent="0.25">
      <c r="A354" t="str">
        <f t="shared" si="5"/>
        <v>E2025352</v>
      </c>
      <c r="B354" s="108" t="s">
        <v>268</v>
      </c>
      <c r="C354" s="109">
        <v>352</v>
      </c>
      <c r="D354" s="109">
        <v>36</v>
      </c>
      <c r="E354" s="108" t="s">
        <v>269</v>
      </c>
      <c r="F354" s="108" t="s">
        <v>192</v>
      </c>
      <c r="G354" s="108" t="s">
        <v>191</v>
      </c>
      <c r="H354" s="110">
        <v>46119.833333333336</v>
      </c>
      <c r="I354" s="108" t="s">
        <v>557</v>
      </c>
    </row>
    <row r="355" spans="1:9" ht="15" x14ac:dyDescent="0.25">
      <c r="A355" t="str">
        <f t="shared" si="5"/>
        <v>E2025353</v>
      </c>
      <c r="B355" s="108" t="s">
        <v>268</v>
      </c>
      <c r="C355" s="109">
        <v>353</v>
      </c>
      <c r="D355" s="109">
        <v>36</v>
      </c>
      <c r="E355" s="108" t="s">
        <v>269</v>
      </c>
      <c r="F355" s="108" t="s">
        <v>178</v>
      </c>
      <c r="G355" s="108" t="s">
        <v>189</v>
      </c>
      <c r="H355" s="110">
        <v>46119.854166666664</v>
      </c>
      <c r="I355" s="108" t="s">
        <v>558</v>
      </c>
    </row>
    <row r="356" spans="1:9" ht="15" x14ac:dyDescent="0.25">
      <c r="A356" t="str">
        <f t="shared" si="5"/>
        <v>E2025354</v>
      </c>
      <c r="B356" s="108" t="s">
        <v>268</v>
      </c>
      <c r="C356" s="109">
        <v>354</v>
      </c>
      <c r="D356" s="109">
        <v>36</v>
      </c>
      <c r="E356" s="108" t="s">
        <v>269</v>
      </c>
      <c r="F356" s="108" t="s">
        <v>181</v>
      </c>
      <c r="G356" s="108" t="s">
        <v>194</v>
      </c>
      <c r="H356" s="110">
        <v>46119.822916666664</v>
      </c>
      <c r="I356" s="108" t="s">
        <v>559</v>
      </c>
    </row>
    <row r="357" spans="1:9" ht="15" x14ac:dyDescent="0.25">
      <c r="A357" t="str">
        <f t="shared" si="5"/>
        <v>E2025355</v>
      </c>
      <c r="B357" s="108" t="s">
        <v>268</v>
      </c>
      <c r="C357" s="109">
        <v>355</v>
      </c>
      <c r="D357" s="109">
        <v>36</v>
      </c>
      <c r="E357" s="108" t="s">
        <v>269</v>
      </c>
      <c r="F357" s="108" t="s">
        <v>187</v>
      </c>
      <c r="G357" s="108" t="s">
        <v>183</v>
      </c>
      <c r="H357" s="110">
        <v>46119.885416666664</v>
      </c>
      <c r="I357" s="108" t="s">
        <v>560</v>
      </c>
    </row>
    <row r="358" spans="1:9" ht="15" x14ac:dyDescent="0.25">
      <c r="A358" t="str">
        <f t="shared" si="5"/>
        <v>E2025356</v>
      </c>
      <c r="B358" s="108" t="s">
        <v>268</v>
      </c>
      <c r="C358" s="109">
        <v>356</v>
      </c>
      <c r="D358" s="109">
        <v>36</v>
      </c>
      <c r="E358" s="108" t="s">
        <v>269</v>
      </c>
      <c r="F358" s="108" t="s">
        <v>188</v>
      </c>
      <c r="G358" s="108" t="s">
        <v>185</v>
      </c>
      <c r="H358" s="110">
        <v>46119.854166666664</v>
      </c>
      <c r="I358" s="108" t="s">
        <v>558</v>
      </c>
    </row>
    <row r="359" spans="1:9" ht="15" x14ac:dyDescent="0.25">
      <c r="A359" t="str">
        <f t="shared" si="5"/>
        <v>E2025357</v>
      </c>
      <c r="B359" s="108" t="s">
        <v>268</v>
      </c>
      <c r="C359" s="109">
        <v>357</v>
      </c>
      <c r="D359" s="109">
        <v>36</v>
      </c>
      <c r="E359" s="108" t="s">
        <v>269</v>
      </c>
      <c r="F359" s="108" t="s">
        <v>195</v>
      </c>
      <c r="G359" s="108" t="s">
        <v>186</v>
      </c>
      <c r="H359" s="110">
        <v>46119.854166666664</v>
      </c>
      <c r="I359" s="108" t="s">
        <v>558</v>
      </c>
    </row>
    <row r="360" spans="1:9" ht="15" x14ac:dyDescent="0.25">
      <c r="A360" t="str">
        <f t="shared" si="5"/>
        <v>E2025358</v>
      </c>
      <c r="B360" s="108" t="s">
        <v>268</v>
      </c>
      <c r="C360" s="109">
        <v>358</v>
      </c>
      <c r="D360" s="109">
        <v>36</v>
      </c>
      <c r="E360" s="108" t="s">
        <v>269</v>
      </c>
      <c r="F360" s="108" t="s">
        <v>196</v>
      </c>
      <c r="G360" s="108" t="s">
        <v>180</v>
      </c>
      <c r="H360" s="110">
        <v>46119.833333333336</v>
      </c>
      <c r="I360" s="108" t="s">
        <v>561</v>
      </c>
    </row>
    <row r="361" spans="1:9" ht="15" x14ac:dyDescent="0.25">
      <c r="A361" t="str">
        <f t="shared" si="5"/>
        <v>E2025359</v>
      </c>
      <c r="B361" s="108" t="s">
        <v>268</v>
      </c>
      <c r="C361" s="109">
        <v>359</v>
      </c>
      <c r="D361" s="109">
        <v>36</v>
      </c>
      <c r="E361" s="108" t="s">
        <v>269</v>
      </c>
      <c r="F361" s="108" t="s">
        <v>182</v>
      </c>
      <c r="G361" s="108" t="s">
        <v>190</v>
      </c>
      <c r="H361" s="110">
        <v>46120.854166666664</v>
      </c>
      <c r="I361" s="108" t="s">
        <v>562</v>
      </c>
    </row>
    <row r="362" spans="1:9" ht="15" x14ac:dyDescent="0.25">
      <c r="A362" t="str">
        <f t="shared" si="5"/>
        <v>E2025360</v>
      </c>
      <c r="B362" s="108" t="s">
        <v>268</v>
      </c>
      <c r="C362" s="109">
        <v>360</v>
      </c>
      <c r="D362" s="109">
        <v>36</v>
      </c>
      <c r="E362" s="108" t="s">
        <v>269</v>
      </c>
      <c r="F362" s="108" t="s">
        <v>184</v>
      </c>
      <c r="G362" s="108" t="s">
        <v>177</v>
      </c>
      <c r="H362" s="110">
        <v>46120.8125</v>
      </c>
      <c r="I362" s="108" t="s">
        <v>562</v>
      </c>
    </row>
    <row r="363" spans="1:9" ht="15" x14ac:dyDescent="0.25">
      <c r="A363" t="str">
        <f t="shared" si="5"/>
        <v>E2025361</v>
      </c>
      <c r="B363" s="108" t="s">
        <v>268</v>
      </c>
      <c r="C363" s="109">
        <v>361</v>
      </c>
      <c r="D363" s="109">
        <v>37</v>
      </c>
      <c r="E363" s="108" t="s">
        <v>269</v>
      </c>
      <c r="F363" s="108" t="s">
        <v>185</v>
      </c>
      <c r="G363" s="108" t="s">
        <v>186</v>
      </c>
      <c r="H363" s="110">
        <v>46121.854166666664</v>
      </c>
      <c r="I363" s="108" t="s">
        <v>563</v>
      </c>
    </row>
    <row r="364" spans="1:9" ht="15" x14ac:dyDescent="0.25">
      <c r="A364" t="str">
        <f t="shared" si="5"/>
        <v>E2025362</v>
      </c>
      <c r="B364" s="108" t="s">
        <v>268</v>
      </c>
      <c r="C364" s="109">
        <v>362</v>
      </c>
      <c r="D364" s="109">
        <v>37</v>
      </c>
      <c r="E364" s="108" t="s">
        <v>269</v>
      </c>
      <c r="F364" s="108" t="s">
        <v>194</v>
      </c>
      <c r="G364" s="108" t="s">
        <v>183</v>
      </c>
      <c r="H364" s="110">
        <v>46121.864583333336</v>
      </c>
      <c r="I364" s="108" t="s">
        <v>564</v>
      </c>
    </row>
    <row r="365" spans="1:9" ht="15" x14ac:dyDescent="0.25">
      <c r="A365" t="str">
        <f t="shared" si="5"/>
        <v>E2025363</v>
      </c>
      <c r="B365" s="108" t="s">
        <v>268</v>
      </c>
      <c r="C365" s="109">
        <v>363</v>
      </c>
      <c r="D365" s="109">
        <v>37</v>
      </c>
      <c r="E365" s="108" t="s">
        <v>269</v>
      </c>
      <c r="F365" s="108" t="s">
        <v>181</v>
      </c>
      <c r="G365" s="108" t="s">
        <v>187</v>
      </c>
      <c r="H365" s="110">
        <v>46121.822916666664</v>
      </c>
      <c r="I365" s="108" t="s">
        <v>565</v>
      </c>
    </row>
    <row r="366" spans="1:9" ht="15" x14ac:dyDescent="0.25">
      <c r="A366" t="str">
        <f t="shared" si="5"/>
        <v>E2025364</v>
      </c>
      <c r="B366" s="108" t="s">
        <v>268</v>
      </c>
      <c r="C366" s="109">
        <v>364</v>
      </c>
      <c r="D366" s="109">
        <v>37</v>
      </c>
      <c r="E366" s="108" t="s">
        <v>269</v>
      </c>
      <c r="F366" s="108" t="s">
        <v>191</v>
      </c>
      <c r="G366" s="108" t="s">
        <v>193</v>
      </c>
      <c r="H366" s="110">
        <v>46121.875</v>
      </c>
      <c r="I366" s="108" t="s">
        <v>566</v>
      </c>
    </row>
    <row r="367" spans="1:9" ht="15" x14ac:dyDescent="0.25">
      <c r="A367" t="str">
        <f t="shared" si="5"/>
        <v>E2025365</v>
      </c>
      <c r="B367" s="108" t="s">
        <v>268</v>
      </c>
      <c r="C367" s="109">
        <v>365</v>
      </c>
      <c r="D367" s="109">
        <v>37</v>
      </c>
      <c r="E367" s="108" t="s">
        <v>269</v>
      </c>
      <c r="F367" s="108" t="s">
        <v>188</v>
      </c>
      <c r="G367" s="108" t="s">
        <v>189</v>
      </c>
      <c r="H367" s="110">
        <v>46121.864583333336</v>
      </c>
      <c r="I367" s="108" t="s">
        <v>567</v>
      </c>
    </row>
    <row r="368" spans="1:9" ht="15" x14ac:dyDescent="0.25">
      <c r="A368" t="str">
        <f t="shared" si="5"/>
        <v>E2025366</v>
      </c>
      <c r="B368" s="108" t="s">
        <v>268</v>
      </c>
      <c r="C368" s="109">
        <v>366</v>
      </c>
      <c r="D368" s="109">
        <v>37</v>
      </c>
      <c r="E368" s="108" t="s">
        <v>269</v>
      </c>
      <c r="F368" s="108" t="s">
        <v>184</v>
      </c>
      <c r="G368" s="108" t="s">
        <v>178</v>
      </c>
      <c r="H368" s="110">
        <v>46122.8125</v>
      </c>
      <c r="I368" s="108" t="s">
        <v>568</v>
      </c>
    </row>
    <row r="369" spans="1:9" ht="15" x14ac:dyDescent="0.25">
      <c r="A369" t="str">
        <f t="shared" si="5"/>
        <v>E2025367</v>
      </c>
      <c r="B369" s="108" t="s">
        <v>268</v>
      </c>
      <c r="C369" s="109">
        <v>367</v>
      </c>
      <c r="D369" s="109">
        <v>37</v>
      </c>
      <c r="E369" s="108" t="s">
        <v>269</v>
      </c>
      <c r="F369" s="108" t="s">
        <v>180</v>
      </c>
      <c r="G369" s="108" t="s">
        <v>182</v>
      </c>
      <c r="H369" s="110">
        <v>46122.833333333336</v>
      </c>
      <c r="I369" s="108" t="s">
        <v>569</v>
      </c>
    </row>
    <row r="370" spans="1:9" ht="15" x14ac:dyDescent="0.25">
      <c r="A370" t="str">
        <f t="shared" si="5"/>
        <v>E2025368</v>
      </c>
      <c r="B370" s="108" t="s">
        <v>268</v>
      </c>
      <c r="C370" s="109">
        <v>368</v>
      </c>
      <c r="D370" s="109">
        <v>37</v>
      </c>
      <c r="E370" s="108" t="s">
        <v>269</v>
      </c>
      <c r="F370" s="108" t="s">
        <v>177</v>
      </c>
      <c r="G370" s="108" t="s">
        <v>192</v>
      </c>
      <c r="H370" s="110">
        <v>46122.833333333336</v>
      </c>
      <c r="I370" s="108" t="s">
        <v>570</v>
      </c>
    </row>
    <row r="371" spans="1:9" ht="15" x14ac:dyDescent="0.25">
      <c r="A371" t="str">
        <f t="shared" si="5"/>
        <v>E2025369</v>
      </c>
      <c r="B371" s="108" t="s">
        <v>268</v>
      </c>
      <c r="C371" s="109">
        <v>369</v>
      </c>
      <c r="D371" s="109">
        <v>37</v>
      </c>
      <c r="E371" s="108" t="s">
        <v>269</v>
      </c>
      <c r="F371" s="108" t="s">
        <v>190</v>
      </c>
      <c r="G371" s="108" t="s">
        <v>196</v>
      </c>
      <c r="H371" s="110">
        <v>46122.854166666664</v>
      </c>
      <c r="I371" s="108" t="s">
        <v>571</v>
      </c>
    </row>
    <row r="372" spans="1:9" ht="15" x14ac:dyDescent="0.25">
      <c r="A372" t="str">
        <f t="shared" si="5"/>
        <v>E2025370</v>
      </c>
      <c r="B372" s="108" t="s">
        <v>268</v>
      </c>
      <c r="C372" s="109">
        <v>370</v>
      </c>
      <c r="D372" s="109">
        <v>37</v>
      </c>
      <c r="E372" s="108" t="s">
        <v>269</v>
      </c>
      <c r="F372" s="108" t="s">
        <v>195</v>
      </c>
      <c r="G372" s="108" t="s">
        <v>179</v>
      </c>
      <c r="H372" s="110">
        <v>46122.854166666664</v>
      </c>
      <c r="I372" s="108" t="s">
        <v>571</v>
      </c>
    </row>
    <row r="373" spans="1:9" ht="15" x14ac:dyDescent="0.25">
      <c r="A373" t="str">
        <f t="shared" si="5"/>
        <v>E2025371</v>
      </c>
      <c r="B373" s="108" t="s">
        <v>268</v>
      </c>
      <c r="C373" s="109">
        <v>371</v>
      </c>
      <c r="D373" s="109">
        <v>38</v>
      </c>
      <c r="E373" s="108" t="s">
        <v>269</v>
      </c>
      <c r="F373" s="108" t="s">
        <v>177</v>
      </c>
      <c r="G373" s="108" t="s">
        <v>194</v>
      </c>
      <c r="H373" s="110">
        <v>46128.833333333336</v>
      </c>
      <c r="I373" s="108" t="s">
        <v>572</v>
      </c>
    </row>
    <row r="374" spans="1:9" ht="15" x14ac:dyDescent="0.25">
      <c r="A374" t="str">
        <f t="shared" si="5"/>
        <v>E2025372</v>
      </c>
      <c r="B374" s="108" t="s">
        <v>268</v>
      </c>
      <c r="C374" s="109">
        <v>372</v>
      </c>
      <c r="D374" s="109">
        <v>38</v>
      </c>
      <c r="E374" s="108" t="s">
        <v>269</v>
      </c>
      <c r="F374" s="108" t="s">
        <v>193</v>
      </c>
      <c r="G374" s="108" t="s">
        <v>195</v>
      </c>
      <c r="H374" s="110">
        <v>46128.836805555555</v>
      </c>
      <c r="I374" s="108" t="s">
        <v>573</v>
      </c>
    </row>
    <row r="375" spans="1:9" ht="15" x14ac:dyDescent="0.25">
      <c r="A375" t="str">
        <f t="shared" si="5"/>
        <v>E2025373</v>
      </c>
      <c r="B375" s="108" t="s">
        <v>268</v>
      </c>
      <c r="C375" s="109">
        <v>373</v>
      </c>
      <c r="D375" s="109">
        <v>38</v>
      </c>
      <c r="E375" s="108" t="s">
        <v>269</v>
      </c>
      <c r="F375" s="108" t="s">
        <v>190</v>
      </c>
      <c r="G375" s="108" t="s">
        <v>179</v>
      </c>
      <c r="H375" s="110">
        <v>46128.854166666664</v>
      </c>
      <c r="I375" s="108" t="s">
        <v>574</v>
      </c>
    </row>
    <row r="376" spans="1:9" ht="15" x14ac:dyDescent="0.25">
      <c r="A376" t="str">
        <f t="shared" si="5"/>
        <v>E2025374</v>
      </c>
      <c r="B376" s="108" t="s">
        <v>268</v>
      </c>
      <c r="C376" s="109">
        <v>374</v>
      </c>
      <c r="D376" s="109">
        <v>38</v>
      </c>
      <c r="E376" s="108" t="s">
        <v>269</v>
      </c>
      <c r="F376" s="108" t="s">
        <v>183</v>
      </c>
      <c r="G376" s="108" t="s">
        <v>192</v>
      </c>
      <c r="H376" s="110">
        <v>46128.864583333336</v>
      </c>
      <c r="I376" s="108" t="s">
        <v>575</v>
      </c>
    </row>
    <row r="377" spans="1:9" ht="15" x14ac:dyDescent="0.25">
      <c r="A377" t="str">
        <f t="shared" si="5"/>
        <v>E2025375</v>
      </c>
      <c r="B377" s="108" t="s">
        <v>268</v>
      </c>
      <c r="C377" s="109">
        <v>375</v>
      </c>
      <c r="D377" s="109">
        <v>38</v>
      </c>
      <c r="E377" s="108" t="s">
        <v>269</v>
      </c>
      <c r="F377" s="108" t="s">
        <v>187</v>
      </c>
      <c r="G377" s="108" t="s">
        <v>185</v>
      </c>
      <c r="H377" s="110">
        <v>46128.885416666664</v>
      </c>
      <c r="I377" s="108" t="s">
        <v>576</v>
      </c>
    </row>
    <row r="378" spans="1:9" ht="15" x14ac:dyDescent="0.25">
      <c r="A378" t="str">
        <f t="shared" si="5"/>
        <v>E2025376</v>
      </c>
      <c r="B378" s="108" t="s">
        <v>268</v>
      </c>
      <c r="C378" s="109">
        <v>376</v>
      </c>
      <c r="D378" s="109">
        <v>38</v>
      </c>
      <c r="E378" s="108" t="s">
        <v>269</v>
      </c>
      <c r="F378" s="108" t="s">
        <v>189</v>
      </c>
      <c r="G378" s="108" t="s">
        <v>182</v>
      </c>
      <c r="H378" s="110">
        <v>46129.885416666664</v>
      </c>
      <c r="I378" s="108" t="s">
        <v>577</v>
      </c>
    </row>
    <row r="379" spans="1:9" ht="15" x14ac:dyDescent="0.25">
      <c r="A379" t="str">
        <f t="shared" si="5"/>
        <v>E2025377</v>
      </c>
      <c r="B379" s="108" t="s">
        <v>268</v>
      </c>
      <c r="C379" s="109">
        <v>377</v>
      </c>
      <c r="D379" s="109">
        <v>38</v>
      </c>
      <c r="E379" s="108" t="s">
        <v>269</v>
      </c>
      <c r="F379" s="108" t="s">
        <v>184</v>
      </c>
      <c r="G379" s="108" t="s">
        <v>181</v>
      </c>
      <c r="H379" s="110">
        <v>46129.8125</v>
      </c>
      <c r="I379" s="108" t="s">
        <v>578</v>
      </c>
    </row>
    <row r="380" spans="1:9" ht="15" x14ac:dyDescent="0.25">
      <c r="A380" t="str">
        <f t="shared" si="5"/>
        <v>E2025378</v>
      </c>
      <c r="B380" s="108" t="s">
        <v>268</v>
      </c>
      <c r="C380" s="109">
        <v>378</v>
      </c>
      <c r="D380" s="109">
        <v>38</v>
      </c>
      <c r="E380" s="108" t="s">
        <v>269</v>
      </c>
      <c r="F380" s="108" t="s">
        <v>180</v>
      </c>
      <c r="G380" s="108" t="s">
        <v>188</v>
      </c>
      <c r="H380" s="110">
        <v>46129.833333333336</v>
      </c>
      <c r="I380" s="108" t="s">
        <v>579</v>
      </c>
    </row>
    <row r="381" spans="1:9" ht="15" x14ac:dyDescent="0.25">
      <c r="A381" t="str">
        <f t="shared" si="5"/>
        <v>E2025379</v>
      </c>
      <c r="B381" s="108" t="s">
        <v>268</v>
      </c>
      <c r="C381" s="109">
        <v>379</v>
      </c>
      <c r="D381" s="109">
        <v>38</v>
      </c>
      <c r="E381" s="108" t="s">
        <v>269</v>
      </c>
      <c r="F381" s="108" t="s">
        <v>178</v>
      </c>
      <c r="G381" s="108" t="s">
        <v>186</v>
      </c>
      <c r="H381" s="110">
        <v>46129.854166666664</v>
      </c>
      <c r="I381" s="108" t="s">
        <v>580</v>
      </c>
    </row>
    <row r="382" spans="1:9" ht="15" x14ac:dyDescent="0.25">
      <c r="A382" t="str">
        <f t="shared" si="5"/>
        <v>E2025380</v>
      </c>
      <c r="B382" s="108" t="s">
        <v>268</v>
      </c>
      <c r="C382" s="109">
        <v>380</v>
      </c>
      <c r="D382" s="109">
        <v>38</v>
      </c>
      <c r="E382" s="108" t="s">
        <v>269</v>
      </c>
      <c r="F382" s="108" t="s">
        <v>196</v>
      </c>
      <c r="G382" s="108" t="s">
        <v>191</v>
      </c>
      <c r="H382" s="110">
        <v>46129.833333333336</v>
      </c>
      <c r="I382" s="108" t="s">
        <v>581</v>
      </c>
    </row>
    <row r="383" spans="1:9" ht="15" x14ac:dyDescent="0.25">
      <c r="A383" t="str">
        <f t="shared" si="5"/>
        <v>U2025001</v>
      </c>
      <c r="B383" s="111" t="s">
        <v>582</v>
      </c>
      <c r="C383" s="112">
        <v>1</v>
      </c>
      <c r="D383" s="112">
        <v>1</v>
      </c>
      <c r="E383" s="111" t="s">
        <v>269</v>
      </c>
      <c r="F383" s="111" t="s">
        <v>216</v>
      </c>
      <c r="G383" s="111" t="s">
        <v>205</v>
      </c>
      <c r="H383" s="113">
        <v>45930.791666666664</v>
      </c>
      <c r="I383" s="111" t="s">
        <v>583</v>
      </c>
    </row>
    <row r="384" spans="1:9" ht="15" x14ac:dyDescent="0.25">
      <c r="A384" t="str">
        <f t="shared" si="5"/>
        <v>U2025002</v>
      </c>
      <c r="B384" s="111" t="s">
        <v>582</v>
      </c>
      <c r="C384" s="112">
        <v>2</v>
      </c>
      <c r="D384" s="112">
        <v>1</v>
      </c>
      <c r="E384" s="111" t="s">
        <v>269</v>
      </c>
      <c r="F384" s="111" t="s">
        <v>202</v>
      </c>
      <c r="G384" s="111" t="s">
        <v>198</v>
      </c>
      <c r="H384" s="113">
        <v>45931.791666666664</v>
      </c>
      <c r="I384" s="111" t="s">
        <v>584</v>
      </c>
    </row>
    <row r="385" spans="1:9" ht="15" x14ac:dyDescent="0.25">
      <c r="A385" t="str">
        <f t="shared" si="5"/>
        <v>U2025003</v>
      </c>
      <c r="B385" s="111" t="s">
        <v>582</v>
      </c>
      <c r="C385" s="112">
        <v>3</v>
      </c>
      <c r="D385" s="112">
        <v>1</v>
      </c>
      <c r="E385" s="111" t="s">
        <v>269</v>
      </c>
      <c r="F385" s="111" t="s">
        <v>215</v>
      </c>
      <c r="G385" s="111" t="s">
        <v>197</v>
      </c>
      <c r="H385" s="113">
        <v>45930.833333333336</v>
      </c>
      <c r="I385" s="111" t="s">
        <v>272</v>
      </c>
    </row>
    <row r="386" spans="1:9" ht="15" x14ac:dyDescent="0.25">
      <c r="A386" t="str">
        <f t="shared" si="5"/>
        <v>U2025004</v>
      </c>
      <c r="B386" s="111" t="s">
        <v>582</v>
      </c>
      <c r="C386" s="112">
        <v>4</v>
      </c>
      <c r="D386" s="112">
        <v>1</v>
      </c>
      <c r="E386" s="111" t="s">
        <v>269</v>
      </c>
      <c r="F386" s="111" t="s">
        <v>203</v>
      </c>
      <c r="G386" s="111" t="s">
        <v>204</v>
      </c>
      <c r="H386" s="113">
        <v>45930.8125</v>
      </c>
      <c r="I386" s="111" t="s">
        <v>585</v>
      </c>
    </row>
    <row r="387" spans="1:9" ht="15" x14ac:dyDescent="0.25">
      <c r="A387" t="str">
        <f t="shared" si="5"/>
        <v>U2025005</v>
      </c>
      <c r="B387" s="111" t="s">
        <v>582</v>
      </c>
      <c r="C387" s="112">
        <v>5</v>
      </c>
      <c r="D387" s="112">
        <v>1</v>
      </c>
      <c r="E387" s="111" t="s">
        <v>269</v>
      </c>
      <c r="F387" s="111" t="s">
        <v>206</v>
      </c>
      <c r="G387" s="111" t="s">
        <v>209</v>
      </c>
      <c r="H387" s="113">
        <v>45931.770833333336</v>
      </c>
      <c r="I387" s="111" t="s">
        <v>586</v>
      </c>
    </row>
    <row r="388" spans="1:9" ht="15" x14ac:dyDescent="0.25">
      <c r="A388" t="str">
        <f t="shared" ref="A388:A451" si="6">B388&amp;TEXT(C388,"000")</f>
        <v>U2025006</v>
      </c>
      <c r="B388" s="111" t="s">
        <v>582</v>
      </c>
      <c r="C388" s="112">
        <v>6</v>
      </c>
      <c r="D388" s="112">
        <v>1</v>
      </c>
      <c r="E388" s="111" t="s">
        <v>269</v>
      </c>
      <c r="F388" s="111" t="s">
        <v>208</v>
      </c>
      <c r="G388" s="111" t="s">
        <v>201</v>
      </c>
      <c r="H388" s="113">
        <v>45932.8125</v>
      </c>
      <c r="I388" s="111" t="s">
        <v>279</v>
      </c>
    </row>
    <row r="389" spans="1:9" ht="15" x14ac:dyDescent="0.25">
      <c r="A389" t="str">
        <f t="shared" si="6"/>
        <v>U2025007</v>
      </c>
      <c r="B389" s="111" t="s">
        <v>582</v>
      </c>
      <c r="C389" s="112">
        <v>7</v>
      </c>
      <c r="D389" s="112">
        <v>1</v>
      </c>
      <c r="E389" s="111" t="s">
        <v>269</v>
      </c>
      <c r="F389" s="111" t="s">
        <v>212</v>
      </c>
      <c r="G389" s="111" t="s">
        <v>200</v>
      </c>
      <c r="H389" s="113">
        <v>45931.833333333336</v>
      </c>
      <c r="I389" s="111" t="s">
        <v>278</v>
      </c>
    </row>
    <row r="390" spans="1:9" ht="15" x14ac:dyDescent="0.25">
      <c r="A390" t="str">
        <f t="shared" si="6"/>
        <v>U2025008</v>
      </c>
      <c r="B390" s="111" t="s">
        <v>582</v>
      </c>
      <c r="C390" s="112">
        <v>8</v>
      </c>
      <c r="D390" s="112">
        <v>1</v>
      </c>
      <c r="E390" s="111" t="s">
        <v>269</v>
      </c>
      <c r="F390" s="111" t="s">
        <v>213</v>
      </c>
      <c r="G390" s="111" t="s">
        <v>214</v>
      </c>
      <c r="H390" s="113">
        <v>45930.791666666664</v>
      </c>
      <c r="I390" s="111" t="s">
        <v>273</v>
      </c>
    </row>
    <row r="391" spans="1:9" ht="15" x14ac:dyDescent="0.25">
      <c r="A391" t="str">
        <f t="shared" si="6"/>
        <v>U2025009</v>
      </c>
      <c r="B391" s="111" t="s">
        <v>582</v>
      </c>
      <c r="C391" s="112">
        <v>9</v>
      </c>
      <c r="D391" s="112">
        <v>1</v>
      </c>
      <c r="E391" s="111" t="s">
        <v>269</v>
      </c>
      <c r="F391" s="111" t="s">
        <v>211</v>
      </c>
      <c r="G391" s="111" t="s">
        <v>210</v>
      </c>
      <c r="H391" s="113">
        <v>45931.8125</v>
      </c>
      <c r="I391" s="111" t="s">
        <v>586</v>
      </c>
    </row>
    <row r="392" spans="1:9" ht="15" x14ac:dyDescent="0.25">
      <c r="A392" t="str">
        <f t="shared" si="6"/>
        <v>U2025010</v>
      </c>
      <c r="B392" s="111" t="s">
        <v>582</v>
      </c>
      <c r="C392" s="112">
        <v>10</v>
      </c>
      <c r="D392" s="112">
        <v>1</v>
      </c>
      <c r="E392" s="111" t="s">
        <v>269</v>
      </c>
      <c r="F392" s="111" t="s">
        <v>207</v>
      </c>
      <c r="G392" s="111" t="s">
        <v>199</v>
      </c>
      <c r="H392" s="113">
        <v>45931.791666666664</v>
      </c>
      <c r="I392" s="111" t="s">
        <v>584</v>
      </c>
    </row>
    <row r="393" spans="1:9" ht="15" x14ac:dyDescent="0.25">
      <c r="A393" t="str">
        <f t="shared" si="6"/>
        <v>U2025011</v>
      </c>
      <c r="B393" s="111" t="s">
        <v>582</v>
      </c>
      <c r="C393" s="112">
        <v>11</v>
      </c>
      <c r="D393" s="112">
        <v>2</v>
      </c>
      <c r="E393" s="111" t="s">
        <v>269</v>
      </c>
      <c r="F393" s="111" t="s">
        <v>209</v>
      </c>
      <c r="G393" s="111" t="s">
        <v>216</v>
      </c>
      <c r="H393" s="113">
        <v>45938.864583333336</v>
      </c>
      <c r="I393" s="111" t="s">
        <v>587</v>
      </c>
    </row>
    <row r="394" spans="1:9" ht="15" x14ac:dyDescent="0.25">
      <c r="A394" t="str">
        <f t="shared" si="6"/>
        <v>U2025012</v>
      </c>
      <c r="B394" s="111" t="s">
        <v>582</v>
      </c>
      <c r="C394" s="112">
        <v>12</v>
      </c>
      <c r="D394" s="112">
        <v>2</v>
      </c>
      <c r="E394" s="111" t="s">
        <v>269</v>
      </c>
      <c r="F394" s="111" t="s">
        <v>204</v>
      </c>
      <c r="G394" s="111" t="s">
        <v>206</v>
      </c>
      <c r="H394" s="113">
        <v>45938.833333333336</v>
      </c>
      <c r="I394" s="111" t="s">
        <v>588</v>
      </c>
    </row>
    <row r="395" spans="1:9" ht="15" x14ac:dyDescent="0.25">
      <c r="A395" t="str">
        <f t="shared" si="6"/>
        <v>U2025013</v>
      </c>
      <c r="B395" s="111" t="s">
        <v>582</v>
      </c>
      <c r="C395" s="112">
        <v>13</v>
      </c>
      <c r="D395" s="112">
        <v>2</v>
      </c>
      <c r="E395" s="111" t="s">
        <v>269</v>
      </c>
      <c r="F395" s="111" t="s">
        <v>197</v>
      </c>
      <c r="G395" s="111" t="s">
        <v>203</v>
      </c>
      <c r="H395" s="113">
        <v>45938.833333333336</v>
      </c>
      <c r="I395" s="111" t="s">
        <v>589</v>
      </c>
    </row>
    <row r="396" spans="1:9" ht="15" x14ac:dyDescent="0.25">
      <c r="A396" t="str">
        <f t="shared" si="6"/>
        <v>U2025014</v>
      </c>
      <c r="B396" s="111" t="s">
        <v>582</v>
      </c>
      <c r="C396" s="112">
        <v>14</v>
      </c>
      <c r="D396" s="112">
        <v>2</v>
      </c>
      <c r="E396" s="111" t="s">
        <v>269</v>
      </c>
      <c r="F396" s="111" t="s">
        <v>198</v>
      </c>
      <c r="G396" s="111" t="s">
        <v>215</v>
      </c>
      <c r="H396" s="113">
        <v>45938.791666666664</v>
      </c>
      <c r="I396" s="111" t="s">
        <v>590</v>
      </c>
    </row>
    <row r="397" spans="1:9" ht="15" x14ac:dyDescent="0.25">
      <c r="A397" t="str">
        <f t="shared" si="6"/>
        <v>U2025015</v>
      </c>
      <c r="B397" s="111" t="s">
        <v>582</v>
      </c>
      <c r="C397" s="112">
        <v>15</v>
      </c>
      <c r="D397" s="112">
        <v>2</v>
      </c>
      <c r="E397" s="111" t="s">
        <v>269</v>
      </c>
      <c r="F397" s="111" t="s">
        <v>205</v>
      </c>
      <c r="G397" s="111" t="s">
        <v>202</v>
      </c>
      <c r="H397" s="113">
        <v>45937.791666666664</v>
      </c>
      <c r="I397" s="111" t="s">
        <v>591</v>
      </c>
    </row>
    <row r="398" spans="1:9" ht="15" x14ac:dyDescent="0.25">
      <c r="A398" t="str">
        <f t="shared" si="6"/>
        <v>U2025016</v>
      </c>
      <c r="B398" s="111" t="s">
        <v>582</v>
      </c>
      <c r="C398" s="112">
        <v>16</v>
      </c>
      <c r="D398" s="112">
        <v>2</v>
      </c>
      <c r="E398" s="111" t="s">
        <v>269</v>
      </c>
      <c r="F398" s="111" t="s">
        <v>199</v>
      </c>
      <c r="G398" s="111" t="s">
        <v>208</v>
      </c>
      <c r="H398" s="113">
        <v>45937.833333333336</v>
      </c>
      <c r="I398" s="111" t="s">
        <v>592</v>
      </c>
    </row>
    <row r="399" spans="1:9" ht="15" x14ac:dyDescent="0.25">
      <c r="A399" t="str">
        <f t="shared" si="6"/>
        <v>U2025017</v>
      </c>
      <c r="B399" s="111" t="s">
        <v>582</v>
      </c>
      <c r="C399" s="112">
        <v>17</v>
      </c>
      <c r="D399" s="112">
        <v>2</v>
      </c>
      <c r="E399" s="111" t="s">
        <v>269</v>
      </c>
      <c r="F399" s="111" t="s">
        <v>210</v>
      </c>
      <c r="G399" s="111" t="s">
        <v>207</v>
      </c>
      <c r="H399" s="113">
        <v>45938.791666666664</v>
      </c>
      <c r="I399" s="111" t="s">
        <v>589</v>
      </c>
    </row>
    <row r="400" spans="1:9" ht="15" x14ac:dyDescent="0.25">
      <c r="A400" t="str">
        <f t="shared" si="6"/>
        <v>U2025018</v>
      </c>
      <c r="B400" s="111" t="s">
        <v>582</v>
      </c>
      <c r="C400" s="112">
        <v>18</v>
      </c>
      <c r="D400" s="112">
        <v>2</v>
      </c>
      <c r="E400" s="111" t="s">
        <v>269</v>
      </c>
      <c r="F400" s="111" t="s">
        <v>214</v>
      </c>
      <c r="G400" s="111" t="s">
        <v>211</v>
      </c>
      <c r="H400" s="113">
        <v>45937.791666666664</v>
      </c>
      <c r="I400" s="111" t="s">
        <v>592</v>
      </c>
    </row>
    <row r="401" spans="1:9" ht="15" x14ac:dyDescent="0.25">
      <c r="A401" t="str">
        <f t="shared" si="6"/>
        <v>U2025019</v>
      </c>
      <c r="B401" s="111" t="s">
        <v>582</v>
      </c>
      <c r="C401" s="112">
        <v>19</v>
      </c>
      <c r="D401" s="112">
        <v>2</v>
      </c>
      <c r="E401" s="111" t="s">
        <v>269</v>
      </c>
      <c r="F401" s="111" t="s">
        <v>200</v>
      </c>
      <c r="G401" s="111" t="s">
        <v>213</v>
      </c>
      <c r="H401" s="113">
        <v>45938.8125</v>
      </c>
      <c r="I401" s="111" t="s">
        <v>593</v>
      </c>
    </row>
    <row r="402" spans="1:9" ht="15" x14ac:dyDescent="0.25">
      <c r="A402" t="str">
        <f t="shared" si="6"/>
        <v>U2025020</v>
      </c>
      <c r="B402" s="111" t="s">
        <v>582</v>
      </c>
      <c r="C402" s="112">
        <v>20</v>
      </c>
      <c r="D402" s="112">
        <v>2</v>
      </c>
      <c r="E402" s="111" t="s">
        <v>269</v>
      </c>
      <c r="F402" s="111" t="s">
        <v>201</v>
      </c>
      <c r="G402" s="111" t="s">
        <v>212</v>
      </c>
      <c r="H402" s="113">
        <v>45938.833333333336</v>
      </c>
      <c r="I402" s="111" t="s">
        <v>588</v>
      </c>
    </row>
    <row r="403" spans="1:9" ht="15" x14ac:dyDescent="0.25">
      <c r="A403" t="str">
        <f t="shared" si="6"/>
        <v>U2025021</v>
      </c>
      <c r="B403" s="111" t="s">
        <v>582</v>
      </c>
      <c r="C403" s="112">
        <v>21</v>
      </c>
      <c r="D403" s="112">
        <v>3</v>
      </c>
      <c r="E403" s="111" t="s">
        <v>269</v>
      </c>
      <c r="F403" s="111" t="s">
        <v>216</v>
      </c>
      <c r="G403" s="111" t="s">
        <v>202</v>
      </c>
      <c r="H403" s="113">
        <v>45945.791666666664</v>
      </c>
      <c r="I403" s="111" t="s">
        <v>594</v>
      </c>
    </row>
    <row r="404" spans="1:9" ht="15" x14ac:dyDescent="0.25">
      <c r="A404" t="str">
        <f t="shared" si="6"/>
        <v>U2025022</v>
      </c>
      <c r="B404" s="111" t="s">
        <v>582</v>
      </c>
      <c r="C404" s="112">
        <v>22</v>
      </c>
      <c r="D404" s="112">
        <v>3</v>
      </c>
      <c r="E404" s="111" t="s">
        <v>269</v>
      </c>
      <c r="F404" s="111" t="s">
        <v>215</v>
      </c>
      <c r="G404" s="111" t="s">
        <v>205</v>
      </c>
      <c r="H404" s="113">
        <v>45945.833333333336</v>
      </c>
      <c r="I404" s="111" t="s">
        <v>595</v>
      </c>
    </row>
    <row r="405" spans="1:9" ht="15" x14ac:dyDescent="0.25">
      <c r="A405" t="str">
        <f t="shared" si="6"/>
        <v>U2025023</v>
      </c>
      <c r="B405" s="111" t="s">
        <v>582</v>
      </c>
      <c r="C405" s="112">
        <v>23</v>
      </c>
      <c r="D405" s="112">
        <v>3</v>
      </c>
      <c r="E405" s="111" t="s">
        <v>269</v>
      </c>
      <c r="F405" s="111" t="s">
        <v>203</v>
      </c>
      <c r="G405" s="111" t="s">
        <v>198</v>
      </c>
      <c r="H405" s="113">
        <v>45944.8125</v>
      </c>
      <c r="I405" s="111" t="s">
        <v>596</v>
      </c>
    </row>
    <row r="406" spans="1:9" ht="15" x14ac:dyDescent="0.25">
      <c r="A406" t="str">
        <f t="shared" si="6"/>
        <v>U2025024</v>
      </c>
      <c r="B406" s="111" t="s">
        <v>582</v>
      </c>
      <c r="C406" s="112">
        <v>24</v>
      </c>
      <c r="D406" s="112">
        <v>3</v>
      </c>
      <c r="E406" s="111" t="s">
        <v>269</v>
      </c>
      <c r="F406" s="111" t="s">
        <v>206</v>
      </c>
      <c r="G406" s="111" t="s">
        <v>197</v>
      </c>
      <c r="H406" s="113">
        <v>45944.770833333336</v>
      </c>
      <c r="I406" s="111" t="s">
        <v>597</v>
      </c>
    </row>
    <row r="407" spans="1:9" ht="15" x14ac:dyDescent="0.25">
      <c r="A407" t="str">
        <f t="shared" si="6"/>
        <v>U2025025</v>
      </c>
      <c r="B407" s="111" t="s">
        <v>582</v>
      </c>
      <c r="C407" s="112">
        <v>25</v>
      </c>
      <c r="D407" s="112">
        <v>3</v>
      </c>
      <c r="E407" s="111" t="s">
        <v>269</v>
      </c>
      <c r="F407" s="111" t="s">
        <v>209</v>
      </c>
      <c r="G407" s="111" t="s">
        <v>204</v>
      </c>
      <c r="H407" s="113">
        <v>45945.864583333336</v>
      </c>
      <c r="I407" s="111" t="s">
        <v>300</v>
      </c>
    </row>
    <row r="408" spans="1:9" ht="15" x14ac:dyDescent="0.25">
      <c r="A408" t="str">
        <f t="shared" si="6"/>
        <v>U2025026</v>
      </c>
      <c r="B408" s="111" t="s">
        <v>582</v>
      </c>
      <c r="C408" s="112">
        <v>26</v>
      </c>
      <c r="D408" s="112">
        <v>3</v>
      </c>
      <c r="E408" s="111" t="s">
        <v>269</v>
      </c>
      <c r="F408" s="111" t="s">
        <v>208</v>
      </c>
      <c r="G408" s="111" t="s">
        <v>212</v>
      </c>
      <c r="H408" s="113">
        <v>45946.8125</v>
      </c>
      <c r="I408" s="111" t="s">
        <v>598</v>
      </c>
    </row>
    <row r="409" spans="1:9" ht="15" x14ac:dyDescent="0.25">
      <c r="A409" t="str">
        <f t="shared" si="6"/>
        <v>U2025027</v>
      </c>
      <c r="B409" s="111" t="s">
        <v>582</v>
      </c>
      <c r="C409" s="112">
        <v>27</v>
      </c>
      <c r="D409" s="112">
        <v>3</v>
      </c>
      <c r="E409" s="111" t="s">
        <v>269</v>
      </c>
      <c r="F409" s="111" t="s">
        <v>213</v>
      </c>
      <c r="G409" s="111" t="s">
        <v>201</v>
      </c>
      <c r="H409" s="113">
        <v>45944.791666666664</v>
      </c>
      <c r="I409" s="111" t="s">
        <v>599</v>
      </c>
    </row>
    <row r="410" spans="1:9" ht="15" x14ac:dyDescent="0.25">
      <c r="A410" t="str">
        <f t="shared" si="6"/>
        <v>U2025028</v>
      </c>
      <c r="B410" s="111" t="s">
        <v>582</v>
      </c>
      <c r="C410" s="112">
        <v>28</v>
      </c>
      <c r="D410" s="112">
        <v>3</v>
      </c>
      <c r="E410" s="111" t="s">
        <v>269</v>
      </c>
      <c r="F410" s="111" t="s">
        <v>211</v>
      </c>
      <c r="G410" s="111" t="s">
        <v>200</v>
      </c>
      <c r="H410" s="113">
        <v>45945.8125</v>
      </c>
      <c r="I410" s="111" t="s">
        <v>600</v>
      </c>
    </row>
    <row r="411" spans="1:9" ht="15" x14ac:dyDescent="0.25">
      <c r="A411" t="str">
        <f t="shared" si="6"/>
        <v>U2025029</v>
      </c>
      <c r="B411" s="111" t="s">
        <v>582</v>
      </c>
      <c r="C411" s="112">
        <v>29</v>
      </c>
      <c r="D411" s="112">
        <v>3</v>
      </c>
      <c r="E411" s="111" t="s">
        <v>269</v>
      </c>
      <c r="F411" s="111" t="s">
        <v>207</v>
      </c>
      <c r="G411" s="111" t="s">
        <v>214</v>
      </c>
      <c r="H411" s="113">
        <v>45945.791666666664</v>
      </c>
      <c r="I411" s="111" t="s">
        <v>601</v>
      </c>
    </row>
    <row r="412" spans="1:9" ht="15" x14ac:dyDescent="0.25">
      <c r="A412" t="str">
        <f t="shared" si="6"/>
        <v>U2025030</v>
      </c>
      <c r="B412" s="111" t="s">
        <v>582</v>
      </c>
      <c r="C412" s="112">
        <v>30</v>
      </c>
      <c r="D412" s="112">
        <v>3</v>
      </c>
      <c r="E412" s="111" t="s">
        <v>269</v>
      </c>
      <c r="F412" s="111" t="s">
        <v>199</v>
      </c>
      <c r="G412" s="111" t="s">
        <v>210</v>
      </c>
      <c r="H412" s="113">
        <v>45945.833333333336</v>
      </c>
      <c r="I412" s="111" t="s">
        <v>594</v>
      </c>
    </row>
    <row r="413" spans="1:9" ht="15" x14ac:dyDescent="0.25">
      <c r="A413" t="str">
        <f t="shared" si="6"/>
        <v>U2025031</v>
      </c>
      <c r="B413" s="111" t="s">
        <v>582</v>
      </c>
      <c r="C413" s="112">
        <v>31</v>
      </c>
      <c r="D413" s="112">
        <v>4</v>
      </c>
      <c r="E413" s="111" t="s">
        <v>269</v>
      </c>
      <c r="F413" s="111" t="s">
        <v>204</v>
      </c>
      <c r="G413" s="111" t="s">
        <v>216</v>
      </c>
      <c r="H413" s="113">
        <v>45951.833333333336</v>
      </c>
      <c r="I413" s="111" t="s">
        <v>602</v>
      </c>
    </row>
    <row r="414" spans="1:9" ht="15" x14ac:dyDescent="0.25">
      <c r="A414" t="str">
        <f t="shared" si="6"/>
        <v>U2025032</v>
      </c>
      <c r="B414" s="111" t="s">
        <v>582</v>
      </c>
      <c r="C414" s="112">
        <v>32</v>
      </c>
      <c r="D414" s="112">
        <v>4</v>
      </c>
      <c r="E414" s="111" t="s">
        <v>269</v>
      </c>
      <c r="F414" s="111" t="s">
        <v>197</v>
      </c>
      <c r="G414" s="111" t="s">
        <v>209</v>
      </c>
      <c r="H414" s="113">
        <v>45951.833333333336</v>
      </c>
      <c r="I414" s="111" t="s">
        <v>603</v>
      </c>
    </row>
    <row r="415" spans="1:9" ht="15" x14ac:dyDescent="0.25">
      <c r="A415" t="str">
        <f t="shared" si="6"/>
        <v>U2025033</v>
      </c>
      <c r="B415" s="111" t="s">
        <v>582</v>
      </c>
      <c r="C415" s="112">
        <v>33</v>
      </c>
      <c r="D415" s="112">
        <v>4</v>
      </c>
      <c r="E415" s="111" t="s">
        <v>269</v>
      </c>
      <c r="F415" s="111" t="s">
        <v>198</v>
      </c>
      <c r="G415" s="111" t="s">
        <v>206</v>
      </c>
      <c r="H415" s="113">
        <v>45952.791666666664</v>
      </c>
      <c r="I415" s="111" t="s">
        <v>604</v>
      </c>
    </row>
    <row r="416" spans="1:9" ht="15" x14ac:dyDescent="0.25">
      <c r="A416" t="str">
        <f t="shared" si="6"/>
        <v>U2025034</v>
      </c>
      <c r="B416" s="111" t="s">
        <v>582</v>
      </c>
      <c r="C416" s="112">
        <v>34</v>
      </c>
      <c r="D416" s="112">
        <v>4</v>
      </c>
      <c r="E416" s="111" t="s">
        <v>269</v>
      </c>
      <c r="F416" s="111" t="s">
        <v>205</v>
      </c>
      <c r="G416" s="111" t="s">
        <v>203</v>
      </c>
      <c r="H416" s="113">
        <v>45951.791666666664</v>
      </c>
      <c r="I416" s="111" t="s">
        <v>605</v>
      </c>
    </row>
    <row r="417" spans="1:9" ht="15" x14ac:dyDescent="0.25">
      <c r="A417" t="str">
        <f t="shared" si="6"/>
        <v>U2025035</v>
      </c>
      <c r="B417" s="111" t="s">
        <v>582</v>
      </c>
      <c r="C417" s="112">
        <v>35</v>
      </c>
      <c r="D417" s="112">
        <v>4</v>
      </c>
      <c r="E417" s="111" t="s">
        <v>269</v>
      </c>
      <c r="F417" s="111" t="s">
        <v>202</v>
      </c>
      <c r="G417" s="111" t="s">
        <v>215</v>
      </c>
      <c r="H417" s="113">
        <v>45952.791666666664</v>
      </c>
      <c r="I417" s="111" t="s">
        <v>604</v>
      </c>
    </row>
    <row r="418" spans="1:9" ht="15" x14ac:dyDescent="0.25">
      <c r="A418" t="str">
        <f t="shared" si="6"/>
        <v>U2025036</v>
      </c>
      <c r="B418" s="111" t="s">
        <v>582</v>
      </c>
      <c r="C418" s="112">
        <v>36</v>
      </c>
      <c r="D418" s="112">
        <v>4</v>
      </c>
      <c r="E418" s="111" t="s">
        <v>269</v>
      </c>
      <c r="F418" s="111" t="s">
        <v>210</v>
      </c>
      <c r="G418" s="111" t="s">
        <v>208</v>
      </c>
      <c r="H418" s="113">
        <v>45952.791666666664</v>
      </c>
      <c r="I418" s="111" t="s">
        <v>606</v>
      </c>
    </row>
    <row r="419" spans="1:9" ht="15" x14ac:dyDescent="0.25">
      <c r="A419" t="str">
        <f t="shared" si="6"/>
        <v>U2025037</v>
      </c>
      <c r="B419" s="111" t="s">
        <v>582</v>
      </c>
      <c r="C419" s="112">
        <v>37</v>
      </c>
      <c r="D419" s="112">
        <v>4</v>
      </c>
      <c r="E419" s="111" t="s">
        <v>269</v>
      </c>
      <c r="F419" s="111" t="s">
        <v>214</v>
      </c>
      <c r="G419" s="111" t="s">
        <v>199</v>
      </c>
      <c r="H419" s="113">
        <v>45951.791666666664</v>
      </c>
      <c r="I419" s="111" t="s">
        <v>603</v>
      </c>
    </row>
    <row r="420" spans="1:9" ht="15" x14ac:dyDescent="0.25">
      <c r="A420" t="str">
        <f t="shared" si="6"/>
        <v>U2025038</v>
      </c>
      <c r="B420" s="111" t="s">
        <v>582</v>
      </c>
      <c r="C420" s="112">
        <v>38</v>
      </c>
      <c r="D420" s="112">
        <v>4</v>
      </c>
      <c r="E420" s="111" t="s">
        <v>269</v>
      </c>
      <c r="F420" s="111" t="s">
        <v>200</v>
      </c>
      <c r="G420" s="111" t="s">
        <v>207</v>
      </c>
      <c r="H420" s="113">
        <v>45952.8125</v>
      </c>
      <c r="I420" s="111" t="s">
        <v>607</v>
      </c>
    </row>
    <row r="421" spans="1:9" ht="15" x14ac:dyDescent="0.25">
      <c r="A421" t="str">
        <f t="shared" si="6"/>
        <v>U2025039</v>
      </c>
      <c r="B421" s="111" t="s">
        <v>582</v>
      </c>
      <c r="C421" s="112">
        <v>39</v>
      </c>
      <c r="D421" s="112">
        <v>4</v>
      </c>
      <c r="E421" s="111" t="s">
        <v>269</v>
      </c>
      <c r="F421" s="111" t="s">
        <v>201</v>
      </c>
      <c r="G421" s="111" t="s">
        <v>211</v>
      </c>
      <c r="H421" s="113">
        <v>45952.791666666664</v>
      </c>
      <c r="I421" s="111" t="s">
        <v>606</v>
      </c>
    </row>
    <row r="422" spans="1:9" ht="15" x14ac:dyDescent="0.25">
      <c r="A422" t="str">
        <f t="shared" si="6"/>
        <v>U2025040</v>
      </c>
      <c r="B422" s="111" t="s">
        <v>582</v>
      </c>
      <c r="C422" s="112">
        <v>40</v>
      </c>
      <c r="D422" s="112">
        <v>4</v>
      </c>
      <c r="E422" s="111" t="s">
        <v>269</v>
      </c>
      <c r="F422" s="111" t="s">
        <v>212</v>
      </c>
      <c r="G422" s="111" t="s">
        <v>213</v>
      </c>
      <c r="H422" s="113">
        <v>45952.833333333336</v>
      </c>
      <c r="I422" s="111" t="s">
        <v>608</v>
      </c>
    </row>
    <row r="423" spans="1:9" ht="15" x14ac:dyDescent="0.25">
      <c r="A423" t="str">
        <f t="shared" si="6"/>
        <v>U2025041</v>
      </c>
      <c r="B423" s="111" t="s">
        <v>582</v>
      </c>
      <c r="C423" s="112">
        <v>41</v>
      </c>
      <c r="D423" s="112">
        <v>5</v>
      </c>
      <c r="E423" s="111" t="s">
        <v>269</v>
      </c>
      <c r="F423" s="111" t="s">
        <v>216</v>
      </c>
      <c r="G423" s="111" t="s">
        <v>215</v>
      </c>
      <c r="H423" s="113">
        <v>45959.791666666664</v>
      </c>
      <c r="I423" s="111" t="s">
        <v>325</v>
      </c>
    </row>
    <row r="424" spans="1:9" ht="15" x14ac:dyDescent="0.25">
      <c r="A424" t="str">
        <f t="shared" si="6"/>
        <v>U2025042</v>
      </c>
      <c r="B424" s="111" t="s">
        <v>582</v>
      </c>
      <c r="C424" s="112">
        <v>42</v>
      </c>
      <c r="D424" s="112">
        <v>5</v>
      </c>
      <c r="E424" s="111" t="s">
        <v>269</v>
      </c>
      <c r="F424" s="111" t="s">
        <v>203</v>
      </c>
      <c r="G424" s="111" t="s">
        <v>202</v>
      </c>
      <c r="H424" s="113">
        <v>45958.8125</v>
      </c>
      <c r="I424" s="111" t="s">
        <v>609</v>
      </c>
    </row>
    <row r="425" spans="1:9" ht="15" x14ac:dyDescent="0.25">
      <c r="A425" t="str">
        <f t="shared" si="6"/>
        <v>U2025043</v>
      </c>
      <c r="B425" s="111" t="s">
        <v>582</v>
      </c>
      <c r="C425" s="112">
        <v>43</v>
      </c>
      <c r="D425" s="112">
        <v>5</v>
      </c>
      <c r="E425" s="111" t="s">
        <v>269</v>
      </c>
      <c r="F425" s="111" t="s">
        <v>206</v>
      </c>
      <c r="G425" s="111" t="s">
        <v>205</v>
      </c>
      <c r="H425" s="113">
        <v>45959.8125</v>
      </c>
      <c r="I425" s="111" t="s">
        <v>610</v>
      </c>
    </row>
    <row r="426" spans="1:9" ht="15" x14ac:dyDescent="0.25">
      <c r="A426" t="str">
        <f t="shared" si="6"/>
        <v>U2025044</v>
      </c>
      <c r="B426" s="111" t="s">
        <v>582</v>
      </c>
      <c r="C426" s="112">
        <v>44</v>
      </c>
      <c r="D426" s="112">
        <v>5</v>
      </c>
      <c r="E426" s="111" t="s">
        <v>269</v>
      </c>
      <c r="F426" s="111" t="s">
        <v>209</v>
      </c>
      <c r="G426" s="111" t="s">
        <v>198</v>
      </c>
      <c r="H426" s="113">
        <v>45959.864583333336</v>
      </c>
      <c r="I426" s="111" t="s">
        <v>611</v>
      </c>
    </row>
    <row r="427" spans="1:9" ht="15" x14ac:dyDescent="0.25">
      <c r="A427" t="str">
        <f t="shared" si="6"/>
        <v>U2025045</v>
      </c>
      <c r="B427" s="111" t="s">
        <v>582</v>
      </c>
      <c r="C427" s="112">
        <v>45</v>
      </c>
      <c r="D427" s="112">
        <v>5</v>
      </c>
      <c r="E427" s="111" t="s">
        <v>269</v>
      </c>
      <c r="F427" s="111" t="s">
        <v>204</v>
      </c>
      <c r="G427" s="111" t="s">
        <v>197</v>
      </c>
      <c r="H427" s="113">
        <v>45958.833333333336</v>
      </c>
      <c r="I427" s="111" t="s">
        <v>321</v>
      </c>
    </row>
    <row r="428" spans="1:9" ht="15" x14ac:dyDescent="0.25">
      <c r="A428" t="str">
        <f t="shared" si="6"/>
        <v>U2025046</v>
      </c>
      <c r="B428" s="111" t="s">
        <v>582</v>
      </c>
      <c r="C428" s="112">
        <v>46</v>
      </c>
      <c r="D428" s="112">
        <v>5</v>
      </c>
      <c r="E428" s="111" t="s">
        <v>269</v>
      </c>
      <c r="F428" s="111" t="s">
        <v>208</v>
      </c>
      <c r="G428" s="111" t="s">
        <v>213</v>
      </c>
      <c r="H428" s="113">
        <v>45959.8125</v>
      </c>
      <c r="I428" s="111" t="s">
        <v>612</v>
      </c>
    </row>
    <row r="429" spans="1:9" ht="15" x14ac:dyDescent="0.25">
      <c r="A429" t="str">
        <f t="shared" si="6"/>
        <v>U2025047</v>
      </c>
      <c r="B429" s="111" t="s">
        <v>582</v>
      </c>
      <c r="C429" s="112">
        <v>47</v>
      </c>
      <c r="D429" s="112">
        <v>5</v>
      </c>
      <c r="E429" s="111" t="s">
        <v>269</v>
      </c>
      <c r="F429" s="111" t="s">
        <v>211</v>
      </c>
      <c r="G429" s="111" t="s">
        <v>212</v>
      </c>
      <c r="H429" s="113">
        <v>45958.8125</v>
      </c>
      <c r="I429" s="111" t="s">
        <v>613</v>
      </c>
    </row>
    <row r="430" spans="1:9" ht="15" x14ac:dyDescent="0.25">
      <c r="A430" t="str">
        <f t="shared" si="6"/>
        <v>U2025048</v>
      </c>
      <c r="B430" s="111" t="s">
        <v>582</v>
      </c>
      <c r="C430" s="112">
        <v>48</v>
      </c>
      <c r="D430" s="112">
        <v>5</v>
      </c>
      <c r="E430" s="111" t="s">
        <v>269</v>
      </c>
      <c r="F430" s="111" t="s">
        <v>207</v>
      </c>
      <c r="G430" s="111" t="s">
        <v>201</v>
      </c>
      <c r="H430" s="113">
        <v>45959.791666666664</v>
      </c>
      <c r="I430" s="111" t="s">
        <v>614</v>
      </c>
    </row>
    <row r="431" spans="1:9" ht="15" x14ac:dyDescent="0.25">
      <c r="A431" t="str">
        <f t="shared" si="6"/>
        <v>U2025049</v>
      </c>
      <c r="B431" s="111" t="s">
        <v>582</v>
      </c>
      <c r="C431" s="112">
        <v>49</v>
      </c>
      <c r="D431" s="112">
        <v>5</v>
      </c>
      <c r="E431" s="111" t="s">
        <v>269</v>
      </c>
      <c r="F431" s="111" t="s">
        <v>199</v>
      </c>
      <c r="G431" s="111" t="s">
        <v>200</v>
      </c>
      <c r="H431" s="113">
        <v>45959.791666666664</v>
      </c>
      <c r="I431" s="111" t="s">
        <v>615</v>
      </c>
    </row>
    <row r="432" spans="1:9" ht="15" x14ac:dyDescent="0.25">
      <c r="A432" t="str">
        <f t="shared" si="6"/>
        <v>U2025050</v>
      </c>
      <c r="B432" s="111" t="s">
        <v>582</v>
      </c>
      <c r="C432" s="112">
        <v>50</v>
      </c>
      <c r="D432" s="112">
        <v>5</v>
      </c>
      <c r="E432" s="111" t="s">
        <v>269</v>
      </c>
      <c r="F432" s="111" t="s">
        <v>210</v>
      </c>
      <c r="G432" s="111" t="s">
        <v>214</v>
      </c>
      <c r="H432" s="113">
        <v>45959.791666666664</v>
      </c>
      <c r="I432" s="111" t="s">
        <v>325</v>
      </c>
    </row>
    <row r="433" spans="1:9" ht="15" x14ac:dyDescent="0.25">
      <c r="A433" t="str">
        <f t="shared" si="6"/>
        <v>U2025051</v>
      </c>
      <c r="B433" s="111" t="s">
        <v>582</v>
      </c>
      <c r="C433" s="112">
        <v>51</v>
      </c>
      <c r="D433" s="112">
        <v>6</v>
      </c>
      <c r="E433" s="111" t="s">
        <v>269</v>
      </c>
      <c r="F433" s="111" t="s">
        <v>197</v>
      </c>
      <c r="G433" s="111" t="s">
        <v>216</v>
      </c>
      <c r="H433" s="113">
        <v>45966.833333333336</v>
      </c>
      <c r="I433" s="111" t="s">
        <v>616</v>
      </c>
    </row>
    <row r="434" spans="1:9" ht="15" x14ac:dyDescent="0.25">
      <c r="A434" t="str">
        <f t="shared" si="6"/>
        <v>U2025052</v>
      </c>
      <c r="B434" s="111" t="s">
        <v>582</v>
      </c>
      <c r="C434" s="112">
        <v>52</v>
      </c>
      <c r="D434" s="112">
        <v>6</v>
      </c>
      <c r="E434" s="111" t="s">
        <v>269</v>
      </c>
      <c r="F434" s="111" t="s">
        <v>198</v>
      </c>
      <c r="G434" s="111" t="s">
        <v>204</v>
      </c>
      <c r="H434" s="113">
        <v>45966.791666666664</v>
      </c>
      <c r="I434" s="111" t="s">
        <v>617</v>
      </c>
    </row>
    <row r="435" spans="1:9" ht="15" x14ac:dyDescent="0.25">
      <c r="A435" t="str">
        <f t="shared" si="6"/>
        <v>U2025053</v>
      </c>
      <c r="B435" s="111" t="s">
        <v>582</v>
      </c>
      <c r="C435" s="112">
        <v>53</v>
      </c>
      <c r="D435" s="112">
        <v>6</v>
      </c>
      <c r="E435" s="111" t="s">
        <v>269</v>
      </c>
      <c r="F435" s="111" t="s">
        <v>205</v>
      </c>
      <c r="G435" s="111" t="s">
        <v>209</v>
      </c>
      <c r="H435" s="113">
        <v>45966.791666666664</v>
      </c>
      <c r="I435" s="111" t="s">
        <v>618</v>
      </c>
    </row>
    <row r="436" spans="1:9" ht="15" x14ac:dyDescent="0.25">
      <c r="A436" t="str">
        <f t="shared" si="6"/>
        <v>U2025054</v>
      </c>
      <c r="B436" s="111" t="s">
        <v>582</v>
      </c>
      <c r="C436" s="112">
        <v>54</v>
      </c>
      <c r="D436" s="112">
        <v>6</v>
      </c>
      <c r="E436" s="111" t="s">
        <v>269</v>
      </c>
      <c r="F436" s="111" t="s">
        <v>202</v>
      </c>
      <c r="G436" s="111" t="s">
        <v>206</v>
      </c>
      <c r="H436" s="113">
        <v>45966.791666666664</v>
      </c>
      <c r="I436" s="111" t="s">
        <v>618</v>
      </c>
    </row>
    <row r="437" spans="1:9" ht="15" x14ac:dyDescent="0.25">
      <c r="A437" t="str">
        <f t="shared" si="6"/>
        <v>U2025055</v>
      </c>
      <c r="B437" s="111" t="s">
        <v>582</v>
      </c>
      <c r="C437" s="112">
        <v>55</v>
      </c>
      <c r="D437" s="112">
        <v>6</v>
      </c>
      <c r="E437" s="111" t="s">
        <v>269</v>
      </c>
      <c r="F437" s="111" t="s">
        <v>215</v>
      </c>
      <c r="G437" s="111" t="s">
        <v>203</v>
      </c>
      <c r="H437" s="113">
        <v>45966.833333333336</v>
      </c>
      <c r="I437" s="111" t="s">
        <v>619</v>
      </c>
    </row>
    <row r="438" spans="1:9" ht="15" x14ac:dyDescent="0.25">
      <c r="A438" t="str">
        <f t="shared" si="6"/>
        <v>U2025056</v>
      </c>
      <c r="B438" s="111" t="s">
        <v>582</v>
      </c>
      <c r="C438" s="112">
        <v>56</v>
      </c>
      <c r="D438" s="112">
        <v>6</v>
      </c>
      <c r="E438" s="111" t="s">
        <v>269</v>
      </c>
      <c r="F438" s="111" t="s">
        <v>214</v>
      </c>
      <c r="G438" s="111" t="s">
        <v>208</v>
      </c>
      <c r="H438" s="113">
        <v>45966.791666666664</v>
      </c>
      <c r="I438" s="111" t="s">
        <v>616</v>
      </c>
    </row>
    <row r="439" spans="1:9" ht="15" x14ac:dyDescent="0.25">
      <c r="A439" t="str">
        <f t="shared" si="6"/>
        <v>U2025057</v>
      </c>
      <c r="B439" s="111" t="s">
        <v>582</v>
      </c>
      <c r="C439" s="112">
        <v>57</v>
      </c>
      <c r="D439" s="112">
        <v>6</v>
      </c>
      <c r="E439" s="111" t="s">
        <v>269</v>
      </c>
      <c r="F439" s="111" t="s">
        <v>200</v>
      </c>
      <c r="G439" s="111" t="s">
        <v>210</v>
      </c>
      <c r="H439" s="113">
        <v>45965.8125</v>
      </c>
      <c r="I439" s="111" t="s">
        <v>620</v>
      </c>
    </row>
    <row r="440" spans="1:9" ht="15" x14ac:dyDescent="0.25">
      <c r="A440" t="str">
        <f t="shared" si="6"/>
        <v>U2025058</v>
      </c>
      <c r="B440" s="111" t="s">
        <v>582</v>
      </c>
      <c r="C440" s="112">
        <v>58</v>
      </c>
      <c r="D440" s="112">
        <v>6</v>
      </c>
      <c r="E440" s="111" t="s">
        <v>269</v>
      </c>
      <c r="F440" s="111" t="s">
        <v>201</v>
      </c>
      <c r="G440" s="111" t="s">
        <v>199</v>
      </c>
      <c r="H440" s="113">
        <v>45965.791666666664</v>
      </c>
      <c r="I440" s="111" t="s">
        <v>621</v>
      </c>
    </row>
    <row r="441" spans="1:9" ht="15" x14ac:dyDescent="0.25">
      <c r="A441" t="str">
        <f t="shared" si="6"/>
        <v>U2025059</v>
      </c>
      <c r="B441" s="111" t="s">
        <v>582</v>
      </c>
      <c r="C441" s="112">
        <v>59</v>
      </c>
      <c r="D441" s="112">
        <v>6</v>
      </c>
      <c r="E441" s="111" t="s">
        <v>269</v>
      </c>
      <c r="F441" s="111" t="s">
        <v>212</v>
      </c>
      <c r="G441" s="111" t="s">
        <v>207</v>
      </c>
      <c r="H441" s="113">
        <v>45965.833333333336</v>
      </c>
      <c r="I441" s="111" t="s">
        <v>622</v>
      </c>
    </row>
    <row r="442" spans="1:9" ht="15" x14ac:dyDescent="0.25">
      <c r="A442" t="str">
        <f t="shared" si="6"/>
        <v>U2025060</v>
      </c>
      <c r="B442" s="111" t="s">
        <v>582</v>
      </c>
      <c r="C442" s="112">
        <v>60</v>
      </c>
      <c r="D442" s="112">
        <v>6</v>
      </c>
      <c r="E442" s="111" t="s">
        <v>269</v>
      </c>
      <c r="F442" s="111" t="s">
        <v>213</v>
      </c>
      <c r="G442" s="111" t="s">
        <v>211</v>
      </c>
      <c r="H442" s="113">
        <v>45965.791666666664</v>
      </c>
      <c r="I442" s="111" t="s">
        <v>623</v>
      </c>
    </row>
    <row r="443" spans="1:9" ht="15" x14ac:dyDescent="0.25">
      <c r="A443" t="str">
        <f t="shared" si="6"/>
        <v>U2025061</v>
      </c>
      <c r="B443" s="111" t="s">
        <v>582</v>
      </c>
      <c r="C443" s="112">
        <v>61</v>
      </c>
      <c r="D443" s="112">
        <v>7</v>
      </c>
      <c r="E443" s="111" t="s">
        <v>269</v>
      </c>
      <c r="F443" s="111" t="s">
        <v>216</v>
      </c>
      <c r="G443" s="111" t="s">
        <v>203</v>
      </c>
      <c r="H443" s="113">
        <v>45972.791666666664</v>
      </c>
      <c r="I443" s="111" t="s">
        <v>624</v>
      </c>
    </row>
    <row r="444" spans="1:9" ht="15" x14ac:dyDescent="0.25">
      <c r="A444" t="str">
        <f t="shared" si="6"/>
        <v>U2025062</v>
      </c>
      <c r="B444" s="111" t="s">
        <v>582</v>
      </c>
      <c r="C444" s="112">
        <v>62</v>
      </c>
      <c r="D444" s="112">
        <v>7</v>
      </c>
      <c r="E444" s="111" t="s">
        <v>269</v>
      </c>
      <c r="F444" s="111" t="s">
        <v>206</v>
      </c>
      <c r="G444" s="111" t="s">
        <v>215</v>
      </c>
      <c r="H444" s="113">
        <v>45973.770833333336</v>
      </c>
      <c r="I444" s="111" t="s">
        <v>625</v>
      </c>
    </row>
    <row r="445" spans="1:9" ht="15" x14ac:dyDescent="0.25">
      <c r="A445" t="str">
        <f t="shared" si="6"/>
        <v>U2025063</v>
      </c>
      <c r="B445" s="111" t="s">
        <v>582</v>
      </c>
      <c r="C445" s="112">
        <v>63</v>
      </c>
      <c r="D445" s="112">
        <v>7</v>
      </c>
      <c r="E445" s="111" t="s">
        <v>269</v>
      </c>
      <c r="F445" s="111" t="s">
        <v>202</v>
      </c>
      <c r="G445" s="111" t="s">
        <v>209</v>
      </c>
      <c r="H445" s="113">
        <v>45973.791666666664</v>
      </c>
      <c r="I445" s="111" t="s">
        <v>626</v>
      </c>
    </row>
    <row r="446" spans="1:9" ht="15" x14ac:dyDescent="0.25">
      <c r="A446" t="str">
        <f t="shared" si="6"/>
        <v>U2025064</v>
      </c>
      <c r="B446" s="111" t="s">
        <v>582</v>
      </c>
      <c r="C446" s="112">
        <v>64</v>
      </c>
      <c r="D446" s="112">
        <v>7</v>
      </c>
      <c r="E446" s="111" t="s">
        <v>269</v>
      </c>
      <c r="F446" s="111" t="s">
        <v>204</v>
      </c>
      <c r="G446" s="111" t="s">
        <v>205</v>
      </c>
      <c r="H446" s="113">
        <v>45972.854166666664</v>
      </c>
      <c r="I446" s="111" t="s">
        <v>347</v>
      </c>
    </row>
    <row r="447" spans="1:9" ht="15" x14ac:dyDescent="0.25">
      <c r="A447" t="str">
        <f t="shared" si="6"/>
        <v>U2025065</v>
      </c>
      <c r="B447" s="111" t="s">
        <v>582</v>
      </c>
      <c r="C447" s="112">
        <v>65</v>
      </c>
      <c r="D447" s="112">
        <v>7</v>
      </c>
      <c r="E447" s="111" t="s">
        <v>269</v>
      </c>
      <c r="F447" s="111" t="s">
        <v>197</v>
      </c>
      <c r="G447" s="111" t="s">
        <v>198</v>
      </c>
      <c r="H447" s="113">
        <v>45972.833333333336</v>
      </c>
      <c r="I447" s="111" t="s">
        <v>624</v>
      </c>
    </row>
    <row r="448" spans="1:9" ht="15" x14ac:dyDescent="0.25">
      <c r="A448" t="str">
        <f t="shared" si="6"/>
        <v>U2025066</v>
      </c>
      <c r="B448" s="111" t="s">
        <v>582</v>
      </c>
      <c r="C448" s="112">
        <v>66</v>
      </c>
      <c r="D448" s="112">
        <v>7</v>
      </c>
      <c r="E448" s="111" t="s">
        <v>269</v>
      </c>
      <c r="F448" s="111" t="s">
        <v>208</v>
      </c>
      <c r="G448" s="111" t="s">
        <v>211</v>
      </c>
      <c r="H448" s="113">
        <v>45973.8125</v>
      </c>
      <c r="I448" s="111" t="s">
        <v>349</v>
      </c>
    </row>
    <row r="449" spans="1:9" ht="15" x14ac:dyDescent="0.25">
      <c r="A449" t="str">
        <f t="shared" si="6"/>
        <v>U2025067</v>
      </c>
      <c r="B449" s="111" t="s">
        <v>582</v>
      </c>
      <c r="C449" s="112">
        <v>67</v>
      </c>
      <c r="D449" s="112">
        <v>7</v>
      </c>
      <c r="E449" s="111" t="s">
        <v>269</v>
      </c>
      <c r="F449" s="111" t="s">
        <v>207</v>
      </c>
      <c r="G449" s="111" t="s">
        <v>213</v>
      </c>
      <c r="H449" s="113">
        <v>45973.822916666664</v>
      </c>
      <c r="I449" s="111" t="s">
        <v>627</v>
      </c>
    </row>
    <row r="450" spans="1:9" ht="15" x14ac:dyDescent="0.25">
      <c r="A450" t="str">
        <f t="shared" si="6"/>
        <v>U2025068</v>
      </c>
      <c r="B450" s="111" t="s">
        <v>582</v>
      </c>
      <c r="C450" s="112">
        <v>68</v>
      </c>
      <c r="D450" s="112">
        <v>7</v>
      </c>
      <c r="E450" s="111" t="s">
        <v>269</v>
      </c>
      <c r="F450" s="111" t="s">
        <v>199</v>
      </c>
      <c r="G450" s="111" t="s">
        <v>212</v>
      </c>
      <c r="H450" s="113">
        <v>45973.833333333336</v>
      </c>
      <c r="I450" s="111" t="s">
        <v>626</v>
      </c>
    </row>
    <row r="451" spans="1:9" ht="15" x14ac:dyDescent="0.25">
      <c r="A451" t="str">
        <f t="shared" si="6"/>
        <v>U2025069</v>
      </c>
      <c r="B451" s="111" t="s">
        <v>582</v>
      </c>
      <c r="C451" s="112">
        <v>69</v>
      </c>
      <c r="D451" s="112">
        <v>7</v>
      </c>
      <c r="E451" s="111" t="s">
        <v>269</v>
      </c>
      <c r="F451" s="111" t="s">
        <v>210</v>
      </c>
      <c r="G451" s="111" t="s">
        <v>201</v>
      </c>
      <c r="H451" s="113">
        <v>45973.791666666664</v>
      </c>
      <c r="I451" s="111" t="s">
        <v>628</v>
      </c>
    </row>
    <row r="452" spans="1:9" ht="15" x14ac:dyDescent="0.25">
      <c r="A452" t="str">
        <f t="shared" ref="A452:A515" si="7">B452&amp;TEXT(C452,"000")</f>
        <v>U2025070</v>
      </c>
      <c r="B452" s="111" t="s">
        <v>582</v>
      </c>
      <c r="C452" s="112">
        <v>70</v>
      </c>
      <c r="D452" s="112">
        <v>7</v>
      </c>
      <c r="E452" s="111" t="s">
        <v>269</v>
      </c>
      <c r="F452" s="111" t="s">
        <v>214</v>
      </c>
      <c r="G452" s="111" t="s">
        <v>200</v>
      </c>
      <c r="H452" s="113">
        <v>45972.791666666664</v>
      </c>
      <c r="I452" s="111" t="s">
        <v>624</v>
      </c>
    </row>
    <row r="453" spans="1:9" ht="15" x14ac:dyDescent="0.25">
      <c r="A453" t="str">
        <f t="shared" si="7"/>
        <v>U2025071</v>
      </c>
      <c r="B453" s="111" t="s">
        <v>582</v>
      </c>
      <c r="C453" s="112">
        <v>71</v>
      </c>
      <c r="D453" s="112">
        <v>8</v>
      </c>
      <c r="E453" s="111" t="s">
        <v>269</v>
      </c>
      <c r="F453" s="111" t="s">
        <v>216</v>
      </c>
      <c r="G453" s="111" t="s">
        <v>198</v>
      </c>
      <c r="H453" s="113">
        <v>45979.791666666664</v>
      </c>
      <c r="I453" s="111" t="s">
        <v>629</v>
      </c>
    </row>
    <row r="454" spans="1:9" ht="15" x14ac:dyDescent="0.25">
      <c r="A454" t="str">
        <f t="shared" si="7"/>
        <v>U2025072</v>
      </c>
      <c r="B454" s="111" t="s">
        <v>582</v>
      </c>
      <c r="C454" s="112">
        <v>72</v>
      </c>
      <c r="D454" s="112">
        <v>8</v>
      </c>
      <c r="E454" s="111" t="s">
        <v>269</v>
      </c>
      <c r="F454" s="111" t="s">
        <v>205</v>
      </c>
      <c r="G454" s="111" t="s">
        <v>197</v>
      </c>
      <c r="H454" s="113">
        <v>45979.791666666664</v>
      </c>
      <c r="I454" s="111" t="s">
        <v>630</v>
      </c>
    </row>
    <row r="455" spans="1:9" ht="15" x14ac:dyDescent="0.25">
      <c r="A455" t="str">
        <f t="shared" si="7"/>
        <v>U2025073</v>
      </c>
      <c r="B455" s="111" t="s">
        <v>582</v>
      </c>
      <c r="C455" s="112">
        <v>73</v>
      </c>
      <c r="D455" s="112">
        <v>8</v>
      </c>
      <c r="E455" s="111" t="s">
        <v>269</v>
      </c>
      <c r="F455" s="111" t="s">
        <v>202</v>
      </c>
      <c r="G455" s="111" t="s">
        <v>204</v>
      </c>
      <c r="H455" s="113">
        <v>45979.791666666664</v>
      </c>
      <c r="I455" s="111" t="s">
        <v>630</v>
      </c>
    </row>
    <row r="456" spans="1:9" ht="15" x14ac:dyDescent="0.25">
      <c r="A456" t="str">
        <f t="shared" si="7"/>
        <v>U2025074</v>
      </c>
      <c r="B456" s="111" t="s">
        <v>582</v>
      </c>
      <c r="C456" s="112">
        <v>74</v>
      </c>
      <c r="D456" s="112">
        <v>8</v>
      </c>
      <c r="E456" s="111" t="s">
        <v>269</v>
      </c>
      <c r="F456" s="111" t="s">
        <v>215</v>
      </c>
      <c r="G456" s="111" t="s">
        <v>209</v>
      </c>
      <c r="H456" s="113">
        <v>45980.833333333336</v>
      </c>
      <c r="I456" s="111" t="s">
        <v>359</v>
      </c>
    </row>
    <row r="457" spans="1:9" ht="15" x14ac:dyDescent="0.25">
      <c r="A457" t="str">
        <f t="shared" si="7"/>
        <v>U2025075</v>
      </c>
      <c r="B457" s="111" t="s">
        <v>582</v>
      </c>
      <c r="C457" s="112">
        <v>75</v>
      </c>
      <c r="D457" s="112">
        <v>8</v>
      </c>
      <c r="E457" s="111" t="s">
        <v>269</v>
      </c>
      <c r="F457" s="111" t="s">
        <v>206</v>
      </c>
      <c r="G457" s="111" t="s">
        <v>203</v>
      </c>
      <c r="H457" s="113">
        <v>45980.770833333336</v>
      </c>
      <c r="I457" s="111" t="s">
        <v>631</v>
      </c>
    </row>
    <row r="458" spans="1:9" ht="15" x14ac:dyDescent="0.25">
      <c r="A458" t="str">
        <f t="shared" si="7"/>
        <v>U2025076</v>
      </c>
      <c r="B458" s="111" t="s">
        <v>582</v>
      </c>
      <c r="C458" s="112">
        <v>76</v>
      </c>
      <c r="D458" s="112">
        <v>8</v>
      </c>
      <c r="E458" s="111" t="s">
        <v>269</v>
      </c>
      <c r="F458" s="111" t="s">
        <v>208</v>
      </c>
      <c r="G458" s="111" t="s">
        <v>200</v>
      </c>
      <c r="H458" s="113">
        <v>45980.8125</v>
      </c>
      <c r="I458" s="111" t="s">
        <v>632</v>
      </c>
    </row>
    <row r="459" spans="1:9" ht="15" x14ac:dyDescent="0.25">
      <c r="A459" t="str">
        <f t="shared" si="7"/>
        <v>U2025077</v>
      </c>
      <c r="B459" s="111" t="s">
        <v>582</v>
      </c>
      <c r="C459" s="112">
        <v>77</v>
      </c>
      <c r="D459" s="112">
        <v>8</v>
      </c>
      <c r="E459" s="111" t="s">
        <v>269</v>
      </c>
      <c r="F459" s="111" t="s">
        <v>201</v>
      </c>
      <c r="G459" s="111" t="s">
        <v>214</v>
      </c>
      <c r="H459" s="113">
        <v>45979.791666666664</v>
      </c>
      <c r="I459" s="111" t="s">
        <v>629</v>
      </c>
    </row>
    <row r="460" spans="1:9" ht="15" x14ac:dyDescent="0.25">
      <c r="A460" t="str">
        <f t="shared" si="7"/>
        <v>U2025078</v>
      </c>
      <c r="B460" s="111" t="s">
        <v>582</v>
      </c>
      <c r="C460" s="112">
        <v>78</v>
      </c>
      <c r="D460" s="112">
        <v>8</v>
      </c>
      <c r="E460" s="111" t="s">
        <v>269</v>
      </c>
      <c r="F460" s="111" t="s">
        <v>212</v>
      </c>
      <c r="G460" s="111" t="s">
        <v>210</v>
      </c>
      <c r="H460" s="113">
        <v>45979.833333333336</v>
      </c>
      <c r="I460" s="111" t="s">
        <v>633</v>
      </c>
    </row>
    <row r="461" spans="1:9" ht="15" x14ac:dyDescent="0.25">
      <c r="A461" t="str">
        <f t="shared" si="7"/>
        <v>U2025079</v>
      </c>
      <c r="B461" s="111" t="s">
        <v>582</v>
      </c>
      <c r="C461" s="112">
        <v>79</v>
      </c>
      <c r="D461" s="112">
        <v>8</v>
      </c>
      <c r="E461" s="111" t="s">
        <v>269</v>
      </c>
      <c r="F461" s="111" t="s">
        <v>213</v>
      </c>
      <c r="G461" s="111" t="s">
        <v>199</v>
      </c>
      <c r="H461" s="113">
        <v>45980.791666666664</v>
      </c>
      <c r="I461" s="111" t="s">
        <v>634</v>
      </c>
    </row>
    <row r="462" spans="1:9" ht="15" x14ac:dyDescent="0.25">
      <c r="A462" t="str">
        <f t="shared" si="7"/>
        <v>U2025080</v>
      </c>
      <c r="B462" s="111" t="s">
        <v>582</v>
      </c>
      <c r="C462" s="112">
        <v>80</v>
      </c>
      <c r="D462" s="112">
        <v>8</v>
      </c>
      <c r="E462" s="111" t="s">
        <v>269</v>
      </c>
      <c r="F462" s="111" t="s">
        <v>211</v>
      </c>
      <c r="G462" s="111" t="s">
        <v>207</v>
      </c>
      <c r="H462" s="113">
        <v>45980.8125</v>
      </c>
      <c r="I462" s="111" t="s">
        <v>631</v>
      </c>
    </row>
    <row r="463" spans="1:9" ht="15" x14ac:dyDescent="0.25">
      <c r="A463" t="str">
        <f t="shared" si="7"/>
        <v>U2025081</v>
      </c>
      <c r="B463" s="111" t="s">
        <v>582</v>
      </c>
      <c r="C463" s="112">
        <v>81</v>
      </c>
      <c r="D463" s="112">
        <v>9</v>
      </c>
      <c r="E463" s="111" t="s">
        <v>269</v>
      </c>
      <c r="F463" s="111" t="s">
        <v>206</v>
      </c>
      <c r="G463" s="111" t="s">
        <v>216</v>
      </c>
      <c r="H463" s="113">
        <v>45995.770833333336</v>
      </c>
      <c r="I463" s="111" t="s">
        <v>635</v>
      </c>
    </row>
    <row r="464" spans="1:9" ht="15" x14ac:dyDescent="0.25">
      <c r="A464" t="str">
        <f t="shared" si="7"/>
        <v>U2025082</v>
      </c>
      <c r="B464" s="111" t="s">
        <v>582</v>
      </c>
      <c r="C464" s="112">
        <v>82</v>
      </c>
      <c r="D464" s="112">
        <v>9</v>
      </c>
      <c r="E464" s="111" t="s">
        <v>269</v>
      </c>
      <c r="F464" s="111" t="s">
        <v>209</v>
      </c>
      <c r="G464" s="111" t="s">
        <v>203</v>
      </c>
      <c r="H464" s="113">
        <v>45996.864583333336</v>
      </c>
      <c r="I464" s="111" t="s">
        <v>636</v>
      </c>
    </row>
    <row r="465" spans="1:9" ht="15" x14ac:dyDescent="0.25">
      <c r="A465" t="str">
        <f t="shared" si="7"/>
        <v>U2025083</v>
      </c>
      <c r="B465" s="111" t="s">
        <v>582</v>
      </c>
      <c r="C465" s="112">
        <v>83</v>
      </c>
      <c r="D465" s="112">
        <v>9</v>
      </c>
      <c r="E465" s="111" t="s">
        <v>269</v>
      </c>
      <c r="F465" s="111" t="s">
        <v>204</v>
      </c>
      <c r="G465" s="111" t="s">
        <v>215</v>
      </c>
      <c r="H465" s="113">
        <v>45995.833333333336</v>
      </c>
      <c r="I465" s="111" t="s">
        <v>637</v>
      </c>
    </row>
    <row r="466" spans="1:9" ht="15" x14ac:dyDescent="0.25">
      <c r="A466" t="str">
        <f t="shared" si="7"/>
        <v>U2025084</v>
      </c>
      <c r="B466" s="111" t="s">
        <v>582</v>
      </c>
      <c r="C466" s="112">
        <v>84</v>
      </c>
      <c r="D466" s="112">
        <v>9</v>
      </c>
      <c r="E466" s="111" t="s">
        <v>269</v>
      </c>
      <c r="F466" s="111" t="s">
        <v>197</v>
      </c>
      <c r="G466" s="111" t="s">
        <v>202</v>
      </c>
      <c r="H466" s="113">
        <v>45995.833333333336</v>
      </c>
      <c r="I466" s="111" t="s">
        <v>380</v>
      </c>
    </row>
    <row r="467" spans="1:9" ht="15" x14ac:dyDescent="0.25">
      <c r="A467" t="str">
        <f t="shared" si="7"/>
        <v>U2025085</v>
      </c>
      <c r="B467" s="111" t="s">
        <v>582</v>
      </c>
      <c r="C467" s="112">
        <v>85</v>
      </c>
      <c r="D467" s="112">
        <v>9</v>
      </c>
      <c r="E467" s="111" t="s">
        <v>269</v>
      </c>
      <c r="F467" s="111" t="s">
        <v>198</v>
      </c>
      <c r="G467" s="111" t="s">
        <v>205</v>
      </c>
      <c r="H467" s="113">
        <v>45995.791666666664</v>
      </c>
      <c r="I467" s="111" t="s">
        <v>638</v>
      </c>
    </row>
    <row r="468" spans="1:9" ht="15" x14ac:dyDescent="0.25">
      <c r="A468" t="str">
        <f t="shared" si="7"/>
        <v>U2025086</v>
      </c>
      <c r="B468" s="111" t="s">
        <v>582</v>
      </c>
      <c r="C468" s="112">
        <v>86</v>
      </c>
      <c r="D468" s="112">
        <v>9</v>
      </c>
      <c r="E468" s="111" t="s">
        <v>269</v>
      </c>
      <c r="F468" s="111" t="s">
        <v>207</v>
      </c>
      <c r="G468" s="111" t="s">
        <v>208</v>
      </c>
      <c r="H468" s="113">
        <v>45995.833333333336</v>
      </c>
      <c r="I468" s="111" t="s">
        <v>380</v>
      </c>
    </row>
    <row r="469" spans="1:9" ht="15" x14ac:dyDescent="0.25">
      <c r="A469" t="str">
        <f t="shared" si="7"/>
        <v>U2025087</v>
      </c>
      <c r="B469" s="111" t="s">
        <v>582</v>
      </c>
      <c r="C469" s="112">
        <v>87</v>
      </c>
      <c r="D469" s="112">
        <v>9</v>
      </c>
      <c r="E469" s="111" t="s">
        <v>269</v>
      </c>
      <c r="F469" s="111" t="s">
        <v>199</v>
      </c>
      <c r="G469" s="111" t="s">
        <v>211</v>
      </c>
      <c r="H469" s="113">
        <v>45996.833333333336</v>
      </c>
      <c r="I469" s="111" t="s">
        <v>639</v>
      </c>
    </row>
    <row r="470" spans="1:9" ht="15" x14ac:dyDescent="0.25">
      <c r="A470" t="str">
        <f t="shared" si="7"/>
        <v>U2025088</v>
      </c>
      <c r="B470" s="111" t="s">
        <v>582</v>
      </c>
      <c r="C470" s="112">
        <v>88</v>
      </c>
      <c r="D470" s="112">
        <v>9</v>
      </c>
      <c r="E470" s="111" t="s">
        <v>269</v>
      </c>
      <c r="F470" s="111" t="s">
        <v>210</v>
      </c>
      <c r="G470" s="111" t="s">
        <v>213</v>
      </c>
      <c r="H470" s="113">
        <v>45995.791666666664</v>
      </c>
      <c r="I470" s="111" t="s">
        <v>380</v>
      </c>
    </row>
    <row r="471" spans="1:9" ht="15" x14ac:dyDescent="0.25">
      <c r="A471" t="str">
        <f t="shared" si="7"/>
        <v>U2025089</v>
      </c>
      <c r="B471" s="111" t="s">
        <v>582</v>
      </c>
      <c r="C471" s="112">
        <v>89</v>
      </c>
      <c r="D471" s="112">
        <v>9</v>
      </c>
      <c r="E471" s="111" t="s">
        <v>269</v>
      </c>
      <c r="F471" s="111" t="s">
        <v>214</v>
      </c>
      <c r="G471" s="111" t="s">
        <v>212</v>
      </c>
      <c r="H471" s="113">
        <v>45995.791666666664</v>
      </c>
      <c r="I471" s="111" t="s">
        <v>380</v>
      </c>
    </row>
    <row r="472" spans="1:9" ht="15" x14ac:dyDescent="0.25">
      <c r="A472" t="str">
        <f t="shared" si="7"/>
        <v>U2025090</v>
      </c>
      <c r="B472" s="111" t="s">
        <v>582</v>
      </c>
      <c r="C472" s="112">
        <v>90</v>
      </c>
      <c r="D472" s="112">
        <v>9</v>
      </c>
      <c r="E472" s="111" t="s">
        <v>269</v>
      </c>
      <c r="F472" s="111" t="s">
        <v>200</v>
      </c>
      <c r="G472" s="111" t="s">
        <v>201</v>
      </c>
      <c r="H472" s="113">
        <v>45996.8125</v>
      </c>
      <c r="I472" s="111" t="s">
        <v>640</v>
      </c>
    </row>
    <row r="473" spans="1:9" ht="15" x14ac:dyDescent="0.25">
      <c r="A473" t="str">
        <f t="shared" si="7"/>
        <v>U2025091</v>
      </c>
      <c r="B473" s="111" t="s">
        <v>582</v>
      </c>
      <c r="C473" s="112">
        <v>91</v>
      </c>
      <c r="D473" s="112">
        <v>10</v>
      </c>
      <c r="E473" s="111" t="s">
        <v>269</v>
      </c>
      <c r="F473" s="111" t="s">
        <v>205</v>
      </c>
      <c r="G473" s="111" t="s">
        <v>216</v>
      </c>
      <c r="H473" s="113">
        <v>46001.791666666664</v>
      </c>
      <c r="I473" s="111" t="s">
        <v>641</v>
      </c>
    </row>
    <row r="474" spans="1:9" ht="15" x14ac:dyDescent="0.25">
      <c r="A474" t="str">
        <f t="shared" si="7"/>
        <v>U2025092</v>
      </c>
      <c r="B474" s="111" t="s">
        <v>582</v>
      </c>
      <c r="C474" s="112">
        <v>92</v>
      </c>
      <c r="D474" s="112">
        <v>10</v>
      </c>
      <c r="E474" s="111" t="s">
        <v>269</v>
      </c>
      <c r="F474" s="111" t="s">
        <v>198</v>
      </c>
      <c r="G474" s="111" t="s">
        <v>202</v>
      </c>
      <c r="H474" s="113">
        <v>46001.791666666664</v>
      </c>
      <c r="I474" s="111" t="s">
        <v>642</v>
      </c>
    </row>
    <row r="475" spans="1:9" ht="15" x14ac:dyDescent="0.25">
      <c r="A475" t="str">
        <f t="shared" si="7"/>
        <v>U2025093</v>
      </c>
      <c r="B475" s="111" t="s">
        <v>582</v>
      </c>
      <c r="C475" s="112">
        <v>93</v>
      </c>
      <c r="D475" s="112">
        <v>10</v>
      </c>
      <c r="E475" s="111" t="s">
        <v>269</v>
      </c>
      <c r="F475" s="111" t="s">
        <v>197</v>
      </c>
      <c r="G475" s="111" t="s">
        <v>215</v>
      </c>
      <c r="H475" s="113">
        <v>46001.833333333336</v>
      </c>
      <c r="I475" s="111" t="s">
        <v>643</v>
      </c>
    </row>
    <row r="476" spans="1:9" ht="15" x14ac:dyDescent="0.25">
      <c r="A476" t="str">
        <f t="shared" si="7"/>
        <v>U2025094</v>
      </c>
      <c r="B476" s="111" t="s">
        <v>582</v>
      </c>
      <c r="C476" s="112">
        <v>94</v>
      </c>
      <c r="D476" s="112">
        <v>10</v>
      </c>
      <c r="E476" s="111" t="s">
        <v>269</v>
      </c>
      <c r="F476" s="111" t="s">
        <v>204</v>
      </c>
      <c r="G476" s="111" t="s">
        <v>203</v>
      </c>
      <c r="H476" s="113">
        <v>46000.833333333336</v>
      </c>
      <c r="I476" s="111" t="s">
        <v>644</v>
      </c>
    </row>
    <row r="477" spans="1:9" ht="15" x14ac:dyDescent="0.25">
      <c r="A477" t="str">
        <f t="shared" si="7"/>
        <v>U2025095</v>
      </c>
      <c r="B477" s="111" t="s">
        <v>582</v>
      </c>
      <c r="C477" s="112">
        <v>95</v>
      </c>
      <c r="D477" s="112">
        <v>10</v>
      </c>
      <c r="E477" s="111" t="s">
        <v>269</v>
      </c>
      <c r="F477" s="111" t="s">
        <v>209</v>
      </c>
      <c r="G477" s="111" t="s">
        <v>206</v>
      </c>
      <c r="H477" s="113">
        <v>46001.864583333336</v>
      </c>
      <c r="I477" s="111" t="s">
        <v>645</v>
      </c>
    </row>
    <row r="478" spans="1:9" ht="15" x14ac:dyDescent="0.25">
      <c r="A478" t="str">
        <f t="shared" si="7"/>
        <v>U2025096</v>
      </c>
      <c r="B478" s="111" t="s">
        <v>582</v>
      </c>
      <c r="C478" s="112">
        <v>96</v>
      </c>
      <c r="D478" s="112">
        <v>10</v>
      </c>
      <c r="E478" s="111" t="s">
        <v>269</v>
      </c>
      <c r="F478" s="111" t="s">
        <v>201</v>
      </c>
      <c r="G478" s="111" t="s">
        <v>208</v>
      </c>
      <c r="H478" s="113">
        <v>46001.791666666664</v>
      </c>
      <c r="I478" s="111" t="s">
        <v>643</v>
      </c>
    </row>
    <row r="479" spans="1:9" ht="15" x14ac:dyDescent="0.25">
      <c r="A479" t="str">
        <f t="shared" si="7"/>
        <v>U2025097</v>
      </c>
      <c r="B479" s="111" t="s">
        <v>582</v>
      </c>
      <c r="C479" s="112">
        <v>97</v>
      </c>
      <c r="D479" s="112">
        <v>10</v>
      </c>
      <c r="E479" s="111" t="s">
        <v>269</v>
      </c>
      <c r="F479" s="111" t="s">
        <v>200</v>
      </c>
      <c r="G479" s="111" t="s">
        <v>212</v>
      </c>
      <c r="H479" s="113">
        <v>46000.8125</v>
      </c>
      <c r="I479" s="111" t="s">
        <v>646</v>
      </c>
    </row>
    <row r="480" spans="1:9" ht="15" x14ac:dyDescent="0.25">
      <c r="A480" t="str">
        <f t="shared" si="7"/>
        <v>U2025098</v>
      </c>
      <c r="B480" s="111" t="s">
        <v>582</v>
      </c>
      <c r="C480" s="112">
        <v>98</v>
      </c>
      <c r="D480" s="112">
        <v>10</v>
      </c>
      <c r="E480" s="111" t="s">
        <v>269</v>
      </c>
      <c r="F480" s="111" t="s">
        <v>214</v>
      </c>
      <c r="G480" s="111" t="s">
        <v>213</v>
      </c>
      <c r="H480" s="113">
        <v>46001.791666666664</v>
      </c>
      <c r="I480" s="111" t="s">
        <v>643</v>
      </c>
    </row>
    <row r="481" spans="1:9" ht="15" x14ac:dyDescent="0.25">
      <c r="A481" t="str">
        <f t="shared" si="7"/>
        <v>U2025099</v>
      </c>
      <c r="B481" s="111" t="s">
        <v>582</v>
      </c>
      <c r="C481" s="112">
        <v>99</v>
      </c>
      <c r="D481" s="112">
        <v>10</v>
      </c>
      <c r="E481" s="111" t="s">
        <v>269</v>
      </c>
      <c r="F481" s="111" t="s">
        <v>210</v>
      </c>
      <c r="G481" s="111" t="s">
        <v>211</v>
      </c>
      <c r="H481" s="113">
        <v>46000.791666666664</v>
      </c>
      <c r="I481" s="111" t="s">
        <v>647</v>
      </c>
    </row>
    <row r="482" spans="1:9" ht="15" x14ac:dyDescent="0.25">
      <c r="A482" t="str">
        <f t="shared" si="7"/>
        <v>U2025100</v>
      </c>
      <c r="B482" s="111" t="s">
        <v>582</v>
      </c>
      <c r="C482" s="112">
        <v>100</v>
      </c>
      <c r="D482" s="112">
        <v>10</v>
      </c>
      <c r="E482" s="111" t="s">
        <v>269</v>
      </c>
      <c r="F482" s="111" t="s">
        <v>199</v>
      </c>
      <c r="G482" s="111" t="s">
        <v>207</v>
      </c>
      <c r="H482" s="113">
        <v>46000.833333333336</v>
      </c>
      <c r="I482" s="111" t="s">
        <v>648</v>
      </c>
    </row>
    <row r="483" spans="1:9" ht="15" x14ac:dyDescent="0.25">
      <c r="A483" t="str">
        <f t="shared" si="7"/>
        <v>U2025101</v>
      </c>
      <c r="B483" s="111" t="s">
        <v>582</v>
      </c>
      <c r="C483" s="112">
        <v>101</v>
      </c>
      <c r="D483" s="112">
        <v>11</v>
      </c>
      <c r="E483" s="111" t="s">
        <v>269</v>
      </c>
      <c r="F483" s="111" t="s">
        <v>216</v>
      </c>
      <c r="G483" s="111" t="s">
        <v>209</v>
      </c>
      <c r="H483" s="113">
        <v>46008.791666666664</v>
      </c>
      <c r="I483" s="111" t="s">
        <v>400</v>
      </c>
    </row>
    <row r="484" spans="1:9" ht="15" x14ac:dyDescent="0.25">
      <c r="A484" t="str">
        <f t="shared" si="7"/>
        <v>U2025102</v>
      </c>
      <c r="B484" s="111" t="s">
        <v>582</v>
      </c>
      <c r="C484" s="112">
        <v>102</v>
      </c>
      <c r="D484" s="112">
        <v>11</v>
      </c>
      <c r="E484" s="111" t="s">
        <v>269</v>
      </c>
      <c r="F484" s="111" t="s">
        <v>206</v>
      </c>
      <c r="G484" s="111" t="s">
        <v>204</v>
      </c>
      <c r="H484" s="113">
        <v>46007.770833333336</v>
      </c>
      <c r="I484" s="111" t="s">
        <v>649</v>
      </c>
    </row>
    <row r="485" spans="1:9" ht="15" x14ac:dyDescent="0.25">
      <c r="A485" t="str">
        <f t="shared" si="7"/>
        <v>U2025103</v>
      </c>
      <c r="B485" s="111" t="s">
        <v>582</v>
      </c>
      <c r="C485" s="112">
        <v>103</v>
      </c>
      <c r="D485" s="112">
        <v>11</v>
      </c>
      <c r="E485" s="111" t="s">
        <v>269</v>
      </c>
      <c r="F485" s="111" t="s">
        <v>203</v>
      </c>
      <c r="G485" s="111" t="s">
        <v>197</v>
      </c>
      <c r="H485" s="113">
        <v>46008.8125</v>
      </c>
      <c r="I485" s="111" t="s">
        <v>650</v>
      </c>
    </row>
    <row r="486" spans="1:9" ht="15" x14ac:dyDescent="0.25">
      <c r="A486" t="str">
        <f t="shared" si="7"/>
        <v>U2025104</v>
      </c>
      <c r="B486" s="111" t="s">
        <v>582</v>
      </c>
      <c r="C486" s="112">
        <v>104</v>
      </c>
      <c r="D486" s="112">
        <v>11</v>
      </c>
      <c r="E486" s="111" t="s">
        <v>269</v>
      </c>
      <c r="F486" s="111" t="s">
        <v>215</v>
      </c>
      <c r="G486" s="111" t="s">
        <v>198</v>
      </c>
      <c r="H486" s="113">
        <v>46008.833333333336</v>
      </c>
      <c r="I486" s="111" t="s">
        <v>399</v>
      </c>
    </row>
    <row r="487" spans="1:9" ht="15" x14ac:dyDescent="0.25">
      <c r="A487" t="str">
        <f t="shared" si="7"/>
        <v>U2025105</v>
      </c>
      <c r="B487" s="111" t="s">
        <v>582</v>
      </c>
      <c r="C487" s="112">
        <v>105</v>
      </c>
      <c r="D487" s="112">
        <v>11</v>
      </c>
      <c r="E487" s="111" t="s">
        <v>269</v>
      </c>
      <c r="F487" s="111" t="s">
        <v>202</v>
      </c>
      <c r="G487" s="111" t="s">
        <v>205</v>
      </c>
      <c r="H487" s="113">
        <v>46008.75</v>
      </c>
      <c r="I487" s="111" t="s">
        <v>651</v>
      </c>
    </row>
    <row r="488" spans="1:9" ht="15" x14ac:dyDescent="0.25">
      <c r="A488" t="str">
        <f t="shared" si="7"/>
        <v>U2025106</v>
      </c>
      <c r="B488" s="111" t="s">
        <v>582</v>
      </c>
      <c r="C488" s="112">
        <v>106</v>
      </c>
      <c r="D488" s="112">
        <v>11</v>
      </c>
      <c r="E488" s="111" t="s">
        <v>269</v>
      </c>
      <c r="F488" s="111" t="s">
        <v>208</v>
      </c>
      <c r="G488" s="111" t="s">
        <v>199</v>
      </c>
      <c r="H488" s="113">
        <v>46008.8125</v>
      </c>
      <c r="I488" s="111" t="s">
        <v>398</v>
      </c>
    </row>
    <row r="489" spans="1:9" ht="15" x14ac:dyDescent="0.25">
      <c r="A489" t="str">
        <f t="shared" si="7"/>
        <v>U2025107</v>
      </c>
      <c r="B489" s="111" t="s">
        <v>582</v>
      </c>
      <c r="C489" s="112">
        <v>107</v>
      </c>
      <c r="D489" s="112">
        <v>11</v>
      </c>
      <c r="E489" s="111" t="s">
        <v>269</v>
      </c>
      <c r="F489" s="111" t="s">
        <v>207</v>
      </c>
      <c r="G489" s="111" t="s">
        <v>210</v>
      </c>
      <c r="H489" s="113">
        <v>46007.791666666664</v>
      </c>
      <c r="I489" s="111" t="s">
        <v>652</v>
      </c>
    </row>
    <row r="490" spans="1:9" ht="15" x14ac:dyDescent="0.25">
      <c r="A490" t="str">
        <f t="shared" si="7"/>
        <v>U2025108</v>
      </c>
      <c r="B490" s="111" t="s">
        <v>582</v>
      </c>
      <c r="C490" s="112">
        <v>108</v>
      </c>
      <c r="D490" s="112">
        <v>11</v>
      </c>
      <c r="E490" s="111" t="s">
        <v>269</v>
      </c>
      <c r="F490" s="111" t="s">
        <v>211</v>
      </c>
      <c r="G490" s="111" t="s">
        <v>214</v>
      </c>
      <c r="H490" s="113">
        <v>46008.8125</v>
      </c>
      <c r="I490" s="111" t="s">
        <v>653</v>
      </c>
    </row>
    <row r="491" spans="1:9" ht="15" x14ac:dyDescent="0.25">
      <c r="A491" t="str">
        <f t="shared" si="7"/>
        <v>U2025109</v>
      </c>
      <c r="B491" s="111" t="s">
        <v>582</v>
      </c>
      <c r="C491" s="112">
        <v>109</v>
      </c>
      <c r="D491" s="112">
        <v>11</v>
      </c>
      <c r="E491" s="111" t="s">
        <v>269</v>
      </c>
      <c r="F491" s="111" t="s">
        <v>213</v>
      </c>
      <c r="G491" s="111" t="s">
        <v>200</v>
      </c>
      <c r="H491" s="113">
        <v>46008.791666666664</v>
      </c>
      <c r="I491" s="111" t="s">
        <v>651</v>
      </c>
    </row>
    <row r="492" spans="1:9" ht="15" x14ac:dyDescent="0.25">
      <c r="A492" t="str">
        <f t="shared" si="7"/>
        <v>U2025110</v>
      </c>
      <c r="B492" s="111" t="s">
        <v>582</v>
      </c>
      <c r="C492" s="112">
        <v>110</v>
      </c>
      <c r="D492" s="112">
        <v>11</v>
      </c>
      <c r="E492" s="111" t="s">
        <v>269</v>
      </c>
      <c r="F492" s="111" t="s">
        <v>212</v>
      </c>
      <c r="G492" s="111" t="s">
        <v>201</v>
      </c>
      <c r="H492" s="113">
        <v>46007.833333333336</v>
      </c>
      <c r="I492" s="111" t="s">
        <v>654</v>
      </c>
    </row>
    <row r="493" spans="1:9" ht="15" x14ac:dyDescent="0.25">
      <c r="A493" t="str">
        <f t="shared" si="7"/>
        <v>U2025111</v>
      </c>
      <c r="B493" s="111" t="s">
        <v>582</v>
      </c>
      <c r="C493" s="112">
        <v>111</v>
      </c>
      <c r="D493" s="112">
        <v>12</v>
      </c>
      <c r="E493" s="111" t="s">
        <v>269</v>
      </c>
      <c r="F493" s="111" t="s">
        <v>202</v>
      </c>
      <c r="G493" s="111" t="s">
        <v>216</v>
      </c>
      <c r="H493" s="113">
        <v>46021.791666666664</v>
      </c>
      <c r="I493" s="111" t="s">
        <v>655</v>
      </c>
    </row>
    <row r="494" spans="1:9" ht="15" x14ac:dyDescent="0.25">
      <c r="A494" t="str">
        <f t="shared" si="7"/>
        <v>U2025112</v>
      </c>
      <c r="B494" s="111" t="s">
        <v>582</v>
      </c>
      <c r="C494" s="112">
        <v>112</v>
      </c>
      <c r="D494" s="112">
        <v>12</v>
      </c>
      <c r="E494" s="111" t="s">
        <v>269</v>
      </c>
      <c r="F494" s="111" t="s">
        <v>205</v>
      </c>
      <c r="G494" s="111" t="s">
        <v>215</v>
      </c>
      <c r="H494" s="113">
        <v>46024.75</v>
      </c>
      <c r="I494" s="111" t="s">
        <v>656</v>
      </c>
    </row>
    <row r="495" spans="1:9" ht="15" x14ac:dyDescent="0.25">
      <c r="A495" t="str">
        <f t="shared" si="7"/>
        <v>U2025113</v>
      </c>
      <c r="B495" s="111" t="s">
        <v>582</v>
      </c>
      <c r="C495" s="112">
        <v>113</v>
      </c>
      <c r="D495" s="112">
        <v>12</v>
      </c>
      <c r="E495" s="111" t="s">
        <v>269</v>
      </c>
      <c r="F495" s="111" t="s">
        <v>198</v>
      </c>
      <c r="G495" s="111" t="s">
        <v>203</v>
      </c>
      <c r="H495" s="113">
        <v>46021.791666666664</v>
      </c>
      <c r="I495" s="111" t="s">
        <v>657</v>
      </c>
    </row>
    <row r="496" spans="1:9" ht="15" x14ac:dyDescent="0.25">
      <c r="A496" t="str">
        <f t="shared" si="7"/>
        <v>U2025114</v>
      </c>
      <c r="B496" s="111" t="s">
        <v>582</v>
      </c>
      <c r="C496" s="112">
        <v>114</v>
      </c>
      <c r="D496" s="112">
        <v>12</v>
      </c>
      <c r="E496" s="111" t="s">
        <v>269</v>
      </c>
      <c r="F496" s="111" t="s">
        <v>197</v>
      </c>
      <c r="G496" s="111" t="s">
        <v>206</v>
      </c>
      <c r="H496" s="113">
        <v>46021.854166666664</v>
      </c>
      <c r="I496" s="111" t="s">
        <v>658</v>
      </c>
    </row>
    <row r="497" spans="1:9" ht="15" x14ac:dyDescent="0.25">
      <c r="A497" t="str">
        <f t="shared" si="7"/>
        <v>U2025115</v>
      </c>
      <c r="B497" s="111" t="s">
        <v>582</v>
      </c>
      <c r="C497" s="112">
        <v>115</v>
      </c>
      <c r="D497" s="112">
        <v>12</v>
      </c>
      <c r="E497" s="111" t="s">
        <v>269</v>
      </c>
      <c r="F497" s="111" t="s">
        <v>204</v>
      </c>
      <c r="G497" s="111" t="s">
        <v>209</v>
      </c>
      <c r="H497" s="113">
        <v>46021.833333333336</v>
      </c>
      <c r="I497" s="111" t="s">
        <v>422</v>
      </c>
    </row>
    <row r="498" spans="1:9" ht="15" x14ac:dyDescent="0.25">
      <c r="A498" t="str">
        <f t="shared" si="7"/>
        <v>U2025116</v>
      </c>
      <c r="B498" s="111" t="s">
        <v>582</v>
      </c>
      <c r="C498" s="112">
        <v>116</v>
      </c>
      <c r="D498" s="112">
        <v>12</v>
      </c>
      <c r="E498" s="111" t="s">
        <v>269</v>
      </c>
      <c r="F498" s="111" t="s">
        <v>212</v>
      </c>
      <c r="G498" s="111" t="s">
        <v>208</v>
      </c>
      <c r="H498" s="113">
        <v>46021.833333333336</v>
      </c>
      <c r="I498" s="111" t="s">
        <v>422</v>
      </c>
    </row>
    <row r="499" spans="1:9" ht="15" x14ac:dyDescent="0.25">
      <c r="A499" t="str">
        <f t="shared" si="7"/>
        <v>U2025117</v>
      </c>
      <c r="B499" s="111" t="s">
        <v>582</v>
      </c>
      <c r="C499" s="112">
        <v>117</v>
      </c>
      <c r="D499" s="112">
        <v>12</v>
      </c>
      <c r="E499" s="111" t="s">
        <v>269</v>
      </c>
      <c r="F499" s="111" t="s">
        <v>201</v>
      </c>
      <c r="G499" s="111" t="s">
        <v>213</v>
      </c>
      <c r="H499" s="113">
        <v>46024.791666666664</v>
      </c>
      <c r="I499" s="111" t="s">
        <v>659</v>
      </c>
    </row>
    <row r="500" spans="1:9" ht="15" x14ac:dyDescent="0.25">
      <c r="A500" t="str">
        <f t="shared" si="7"/>
        <v>U2025118</v>
      </c>
      <c r="B500" s="111" t="s">
        <v>582</v>
      </c>
      <c r="C500" s="112">
        <v>118</v>
      </c>
      <c r="D500" s="112">
        <v>12</v>
      </c>
      <c r="E500" s="111" t="s">
        <v>269</v>
      </c>
      <c r="F500" s="111" t="s">
        <v>200</v>
      </c>
      <c r="G500" s="111" t="s">
        <v>211</v>
      </c>
      <c r="H500" s="113">
        <v>46021.760416666664</v>
      </c>
      <c r="I500" s="111" t="s">
        <v>660</v>
      </c>
    </row>
    <row r="501" spans="1:9" ht="15" x14ac:dyDescent="0.25">
      <c r="A501" t="str">
        <f t="shared" si="7"/>
        <v>U2025119</v>
      </c>
      <c r="B501" s="111" t="s">
        <v>582</v>
      </c>
      <c r="C501" s="112">
        <v>119</v>
      </c>
      <c r="D501" s="112">
        <v>12</v>
      </c>
      <c r="E501" s="111" t="s">
        <v>269</v>
      </c>
      <c r="F501" s="111" t="s">
        <v>214</v>
      </c>
      <c r="G501" s="111" t="s">
        <v>207</v>
      </c>
      <c r="H501" s="113">
        <v>46024.791666666664</v>
      </c>
      <c r="I501" s="111" t="s">
        <v>659</v>
      </c>
    </row>
    <row r="502" spans="1:9" ht="15" x14ac:dyDescent="0.25">
      <c r="A502" t="str">
        <f t="shared" si="7"/>
        <v>U2025120</v>
      </c>
      <c r="B502" s="111" t="s">
        <v>582</v>
      </c>
      <c r="C502" s="112">
        <v>120</v>
      </c>
      <c r="D502" s="112">
        <v>12</v>
      </c>
      <c r="E502" s="111" t="s">
        <v>269</v>
      </c>
      <c r="F502" s="111" t="s">
        <v>210</v>
      </c>
      <c r="G502" s="111" t="s">
        <v>199</v>
      </c>
      <c r="H502" s="113">
        <v>46024.791666666664</v>
      </c>
      <c r="I502" s="111" t="s">
        <v>659</v>
      </c>
    </row>
    <row r="503" spans="1:9" ht="15" x14ac:dyDescent="0.25">
      <c r="A503" t="str">
        <f t="shared" si="7"/>
        <v>U2025121</v>
      </c>
      <c r="B503" s="111" t="s">
        <v>582</v>
      </c>
      <c r="C503" s="112">
        <v>121</v>
      </c>
      <c r="D503" s="112">
        <v>13</v>
      </c>
      <c r="E503" s="111" t="s">
        <v>269</v>
      </c>
      <c r="F503" s="111" t="s">
        <v>216</v>
      </c>
      <c r="G503" s="111" t="s">
        <v>204</v>
      </c>
      <c r="H503" s="113">
        <v>46029.791666666664</v>
      </c>
      <c r="I503" s="111" t="s">
        <v>661</v>
      </c>
    </row>
    <row r="504" spans="1:9" ht="15" x14ac:dyDescent="0.25">
      <c r="A504" t="str">
        <f t="shared" si="7"/>
        <v>U2025122</v>
      </c>
      <c r="B504" s="111" t="s">
        <v>582</v>
      </c>
      <c r="C504" s="112">
        <v>122</v>
      </c>
      <c r="D504" s="112">
        <v>13</v>
      </c>
      <c r="E504" s="111" t="s">
        <v>269</v>
      </c>
      <c r="F504" s="111" t="s">
        <v>209</v>
      </c>
      <c r="G504" s="111" t="s">
        <v>197</v>
      </c>
      <c r="H504" s="113">
        <v>46028.864583333336</v>
      </c>
      <c r="I504" s="111" t="s">
        <v>662</v>
      </c>
    </row>
    <row r="505" spans="1:9" ht="15" x14ac:dyDescent="0.25">
      <c r="A505" t="str">
        <f t="shared" si="7"/>
        <v>U2025123</v>
      </c>
      <c r="B505" s="111" t="s">
        <v>582</v>
      </c>
      <c r="C505" s="112">
        <v>123</v>
      </c>
      <c r="D505" s="112">
        <v>13</v>
      </c>
      <c r="E505" s="111" t="s">
        <v>269</v>
      </c>
      <c r="F505" s="111" t="s">
        <v>206</v>
      </c>
      <c r="G505" s="111" t="s">
        <v>198</v>
      </c>
      <c r="H505" s="113">
        <v>46028.770833333336</v>
      </c>
      <c r="I505" s="111" t="s">
        <v>663</v>
      </c>
    </row>
    <row r="506" spans="1:9" ht="15" x14ac:dyDescent="0.25">
      <c r="A506" t="str">
        <f t="shared" si="7"/>
        <v>U2025124</v>
      </c>
      <c r="B506" s="111" t="s">
        <v>582</v>
      </c>
      <c r="C506" s="112">
        <v>124</v>
      </c>
      <c r="D506" s="112">
        <v>13</v>
      </c>
      <c r="E506" s="111" t="s">
        <v>269</v>
      </c>
      <c r="F506" s="111" t="s">
        <v>203</v>
      </c>
      <c r="G506" s="111" t="s">
        <v>205</v>
      </c>
      <c r="H506" s="113">
        <v>46029.822916666664</v>
      </c>
      <c r="I506" s="111" t="s">
        <v>664</v>
      </c>
    </row>
    <row r="507" spans="1:9" ht="15" x14ac:dyDescent="0.25">
      <c r="A507" t="str">
        <f t="shared" si="7"/>
        <v>U2025125</v>
      </c>
      <c r="B507" s="111" t="s">
        <v>582</v>
      </c>
      <c r="C507" s="112">
        <v>125</v>
      </c>
      <c r="D507" s="112">
        <v>13</v>
      </c>
      <c r="E507" s="111" t="s">
        <v>269</v>
      </c>
      <c r="F507" s="111" t="s">
        <v>215</v>
      </c>
      <c r="G507" s="111" t="s">
        <v>202</v>
      </c>
      <c r="H507" s="113">
        <v>46029.833333333336</v>
      </c>
      <c r="I507" s="111" t="s">
        <v>665</v>
      </c>
    </row>
    <row r="508" spans="1:9" ht="15" x14ac:dyDescent="0.25">
      <c r="A508" t="str">
        <f t="shared" si="7"/>
        <v>U2025126</v>
      </c>
      <c r="B508" s="111" t="s">
        <v>582</v>
      </c>
      <c r="C508" s="112">
        <v>126</v>
      </c>
      <c r="D508" s="112">
        <v>13</v>
      </c>
      <c r="E508" s="111" t="s">
        <v>269</v>
      </c>
      <c r="F508" s="111" t="s">
        <v>208</v>
      </c>
      <c r="G508" s="111" t="s">
        <v>210</v>
      </c>
      <c r="H508" s="113">
        <v>46029.8125</v>
      </c>
      <c r="I508" s="111" t="s">
        <v>435</v>
      </c>
    </row>
    <row r="509" spans="1:9" ht="15" x14ac:dyDescent="0.25">
      <c r="A509" t="str">
        <f t="shared" si="7"/>
        <v>U2025127</v>
      </c>
      <c r="B509" s="111" t="s">
        <v>582</v>
      </c>
      <c r="C509" s="112">
        <v>127</v>
      </c>
      <c r="D509" s="112">
        <v>13</v>
      </c>
      <c r="E509" s="111" t="s">
        <v>269</v>
      </c>
      <c r="F509" s="111" t="s">
        <v>199</v>
      </c>
      <c r="G509" s="111" t="s">
        <v>214</v>
      </c>
      <c r="H509" s="113">
        <v>46028.833333333336</v>
      </c>
      <c r="I509" s="111" t="s">
        <v>666</v>
      </c>
    </row>
    <row r="510" spans="1:9" ht="15" x14ac:dyDescent="0.25">
      <c r="A510" t="str">
        <f t="shared" si="7"/>
        <v>U2025128</v>
      </c>
      <c r="B510" s="111" t="s">
        <v>582</v>
      </c>
      <c r="C510" s="112">
        <v>128</v>
      </c>
      <c r="D510" s="112">
        <v>13</v>
      </c>
      <c r="E510" s="111" t="s">
        <v>269</v>
      </c>
      <c r="F510" s="111" t="s">
        <v>207</v>
      </c>
      <c r="G510" s="111" t="s">
        <v>200</v>
      </c>
      <c r="H510" s="113">
        <v>46029.791666666664</v>
      </c>
      <c r="I510" s="111" t="s">
        <v>667</v>
      </c>
    </row>
    <row r="511" spans="1:9" ht="15" x14ac:dyDescent="0.25">
      <c r="A511" t="str">
        <f t="shared" si="7"/>
        <v>U2025129</v>
      </c>
      <c r="B511" s="111" t="s">
        <v>582</v>
      </c>
      <c r="C511" s="112">
        <v>129</v>
      </c>
      <c r="D511" s="112">
        <v>13</v>
      </c>
      <c r="E511" s="111" t="s">
        <v>269</v>
      </c>
      <c r="F511" s="111" t="s">
        <v>211</v>
      </c>
      <c r="G511" s="111" t="s">
        <v>201</v>
      </c>
      <c r="H511" s="113">
        <v>46029.8125</v>
      </c>
      <c r="I511" s="111" t="s">
        <v>434</v>
      </c>
    </row>
    <row r="512" spans="1:9" ht="15" x14ac:dyDescent="0.25">
      <c r="A512" t="str">
        <f t="shared" si="7"/>
        <v>U2025130</v>
      </c>
      <c r="B512" s="111" t="s">
        <v>582</v>
      </c>
      <c r="C512" s="112">
        <v>130</v>
      </c>
      <c r="D512" s="112">
        <v>13</v>
      </c>
      <c r="E512" s="111" t="s">
        <v>269</v>
      </c>
      <c r="F512" s="111" t="s">
        <v>213</v>
      </c>
      <c r="G512" s="111" t="s">
        <v>212</v>
      </c>
      <c r="H512" s="113">
        <v>46029.791666666664</v>
      </c>
      <c r="I512" s="111" t="s">
        <v>668</v>
      </c>
    </row>
    <row r="513" spans="1:9" ht="15" x14ac:dyDescent="0.25">
      <c r="A513" t="str">
        <f t="shared" si="7"/>
        <v>U2025131</v>
      </c>
      <c r="B513" s="111" t="s">
        <v>582</v>
      </c>
      <c r="C513" s="112">
        <v>131</v>
      </c>
      <c r="D513" s="112">
        <v>14</v>
      </c>
      <c r="E513" s="111" t="s">
        <v>269</v>
      </c>
      <c r="F513" s="111" t="s">
        <v>215</v>
      </c>
      <c r="G513" s="111" t="s">
        <v>216</v>
      </c>
      <c r="H513" s="113">
        <v>46036.833333333336</v>
      </c>
      <c r="I513" s="111" t="s">
        <v>669</v>
      </c>
    </row>
    <row r="514" spans="1:9" ht="15" x14ac:dyDescent="0.25">
      <c r="A514" t="str">
        <f t="shared" si="7"/>
        <v>U2025132</v>
      </c>
      <c r="B514" s="111" t="s">
        <v>582</v>
      </c>
      <c r="C514" s="112">
        <v>132</v>
      </c>
      <c r="D514" s="112">
        <v>14</v>
      </c>
      <c r="E514" s="111" t="s">
        <v>269</v>
      </c>
      <c r="F514" s="111" t="s">
        <v>202</v>
      </c>
      <c r="G514" s="111" t="s">
        <v>203</v>
      </c>
      <c r="H514" s="113">
        <v>46035.791666666664</v>
      </c>
      <c r="I514" s="111" t="s">
        <v>670</v>
      </c>
    </row>
    <row r="515" spans="1:9" ht="15" x14ac:dyDescent="0.25">
      <c r="A515" t="str">
        <f t="shared" si="7"/>
        <v>U2025133</v>
      </c>
      <c r="B515" s="111" t="s">
        <v>582</v>
      </c>
      <c r="C515" s="112">
        <v>133</v>
      </c>
      <c r="D515" s="112">
        <v>14</v>
      </c>
      <c r="E515" s="111" t="s">
        <v>269</v>
      </c>
      <c r="F515" s="111" t="s">
        <v>205</v>
      </c>
      <c r="G515" s="111" t="s">
        <v>206</v>
      </c>
      <c r="H515" s="113">
        <v>46035.791666666664</v>
      </c>
      <c r="I515" s="111" t="s">
        <v>670</v>
      </c>
    </row>
    <row r="516" spans="1:9" ht="15" x14ac:dyDescent="0.25">
      <c r="A516" t="str">
        <f t="shared" ref="A516:A562" si="8">B516&amp;TEXT(C516,"000")</f>
        <v>U2025134</v>
      </c>
      <c r="B516" s="111" t="s">
        <v>582</v>
      </c>
      <c r="C516" s="112">
        <v>134</v>
      </c>
      <c r="D516" s="112">
        <v>14</v>
      </c>
      <c r="E516" s="111" t="s">
        <v>269</v>
      </c>
      <c r="F516" s="111" t="s">
        <v>198</v>
      </c>
      <c r="G516" s="111" t="s">
        <v>209</v>
      </c>
      <c r="H516" s="113">
        <v>46035.791666666664</v>
      </c>
      <c r="I516" s="111" t="s">
        <v>671</v>
      </c>
    </row>
    <row r="517" spans="1:9" ht="15" x14ac:dyDescent="0.25">
      <c r="A517" t="str">
        <f t="shared" si="8"/>
        <v>U2025135</v>
      </c>
      <c r="B517" s="111" t="s">
        <v>582</v>
      </c>
      <c r="C517" s="112">
        <v>135</v>
      </c>
      <c r="D517" s="112">
        <v>14</v>
      </c>
      <c r="E517" s="111" t="s">
        <v>269</v>
      </c>
      <c r="F517" s="111" t="s">
        <v>197</v>
      </c>
      <c r="G517" s="111" t="s">
        <v>204</v>
      </c>
      <c r="H517" s="113">
        <v>46036.833333333336</v>
      </c>
      <c r="I517" s="111" t="s">
        <v>672</v>
      </c>
    </row>
    <row r="518" spans="1:9" ht="15" x14ac:dyDescent="0.25">
      <c r="A518" t="str">
        <f t="shared" si="8"/>
        <v>U2025136</v>
      </c>
      <c r="B518" s="111" t="s">
        <v>582</v>
      </c>
      <c r="C518" s="112">
        <v>136</v>
      </c>
      <c r="D518" s="112">
        <v>14</v>
      </c>
      <c r="E518" s="111" t="s">
        <v>269</v>
      </c>
      <c r="F518" s="111" t="s">
        <v>213</v>
      </c>
      <c r="G518" s="111" t="s">
        <v>208</v>
      </c>
      <c r="H518" s="113">
        <v>46036.791666666664</v>
      </c>
      <c r="I518" s="111" t="s">
        <v>673</v>
      </c>
    </row>
    <row r="519" spans="1:9" ht="15" x14ac:dyDescent="0.25">
      <c r="A519" t="str">
        <f t="shared" si="8"/>
        <v>U2025137</v>
      </c>
      <c r="B519" s="111" t="s">
        <v>582</v>
      </c>
      <c r="C519" s="112">
        <v>137</v>
      </c>
      <c r="D519" s="112">
        <v>14</v>
      </c>
      <c r="E519" s="111" t="s">
        <v>269</v>
      </c>
      <c r="F519" s="111" t="s">
        <v>212</v>
      </c>
      <c r="G519" s="111" t="s">
        <v>211</v>
      </c>
      <c r="H519" s="113">
        <v>46035.833333333336</v>
      </c>
      <c r="I519" s="111" t="s">
        <v>674</v>
      </c>
    </row>
    <row r="520" spans="1:9" ht="15" x14ac:dyDescent="0.25">
      <c r="A520" t="str">
        <f t="shared" si="8"/>
        <v>U2025138</v>
      </c>
      <c r="B520" s="111" t="s">
        <v>582</v>
      </c>
      <c r="C520" s="112">
        <v>138</v>
      </c>
      <c r="D520" s="112">
        <v>14</v>
      </c>
      <c r="E520" s="111" t="s">
        <v>269</v>
      </c>
      <c r="F520" s="111" t="s">
        <v>201</v>
      </c>
      <c r="G520" s="111" t="s">
        <v>207</v>
      </c>
      <c r="H520" s="113">
        <v>46036.791666666664</v>
      </c>
      <c r="I520" s="111" t="s">
        <v>672</v>
      </c>
    </row>
    <row r="521" spans="1:9" ht="15" x14ac:dyDescent="0.25">
      <c r="A521" t="str">
        <f t="shared" si="8"/>
        <v>U2025139</v>
      </c>
      <c r="B521" s="111" t="s">
        <v>582</v>
      </c>
      <c r="C521" s="112">
        <v>139</v>
      </c>
      <c r="D521" s="112">
        <v>14</v>
      </c>
      <c r="E521" s="111" t="s">
        <v>269</v>
      </c>
      <c r="F521" s="111" t="s">
        <v>200</v>
      </c>
      <c r="G521" s="111" t="s">
        <v>199</v>
      </c>
      <c r="H521" s="113">
        <v>46036.8125</v>
      </c>
      <c r="I521" s="111" t="s">
        <v>675</v>
      </c>
    </row>
    <row r="522" spans="1:9" ht="15" x14ac:dyDescent="0.25">
      <c r="A522" t="str">
        <f t="shared" si="8"/>
        <v>U2025140</v>
      </c>
      <c r="B522" s="111" t="s">
        <v>582</v>
      </c>
      <c r="C522" s="112">
        <v>140</v>
      </c>
      <c r="D522" s="112">
        <v>14</v>
      </c>
      <c r="E522" s="111" t="s">
        <v>269</v>
      </c>
      <c r="F522" s="111" t="s">
        <v>214</v>
      </c>
      <c r="G522" s="111" t="s">
        <v>210</v>
      </c>
      <c r="H522" s="113">
        <v>46036.791666666664</v>
      </c>
      <c r="I522" s="111" t="s">
        <v>672</v>
      </c>
    </row>
    <row r="523" spans="1:9" ht="15" x14ac:dyDescent="0.25">
      <c r="A523" t="str">
        <f t="shared" si="8"/>
        <v>U2025141</v>
      </c>
      <c r="B523" s="111" t="s">
        <v>582</v>
      </c>
      <c r="C523" s="112">
        <v>141</v>
      </c>
      <c r="D523" s="112">
        <v>15</v>
      </c>
      <c r="E523" s="111" t="s">
        <v>269</v>
      </c>
      <c r="F523" s="111" t="s">
        <v>216</v>
      </c>
      <c r="G523" s="111" t="s">
        <v>197</v>
      </c>
      <c r="H523" s="113">
        <v>46042.791666666664</v>
      </c>
      <c r="I523" s="111" t="s">
        <v>676</v>
      </c>
    </row>
    <row r="524" spans="1:9" ht="15" x14ac:dyDescent="0.25">
      <c r="A524" t="str">
        <f t="shared" si="8"/>
        <v>U2025142</v>
      </c>
      <c r="B524" s="111" t="s">
        <v>582</v>
      </c>
      <c r="C524" s="112">
        <v>142</v>
      </c>
      <c r="D524" s="112">
        <v>15</v>
      </c>
      <c r="E524" s="111" t="s">
        <v>269</v>
      </c>
      <c r="F524" s="111" t="s">
        <v>204</v>
      </c>
      <c r="G524" s="111" t="s">
        <v>198</v>
      </c>
      <c r="H524" s="113">
        <v>46042.833333333336</v>
      </c>
      <c r="I524" s="111" t="s">
        <v>459</v>
      </c>
    </row>
    <row r="525" spans="1:9" ht="15" x14ac:dyDescent="0.25">
      <c r="A525" t="str">
        <f t="shared" si="8"/>
        <v>U2025143</v>
      </c>
      <c r="B525" s="111" t="s">
        <v>582</v>
      </c>
      <c r="C525" s="112">
        <v>143</v>
      </c>
      <c r="D525" s="112">
        <v>15</v>
      </c>
      <c r="E525" s="111" t="s">
        <v>269</v>
      </c>
      <c r="F525" s="111" t="s">
        <v>209</v>
      </c>
      <c r="G525" s="111" t="s">
        <v>205</v>
      </c>
      <c r="H525" s="113">
        <v>46043.864583333336</v>
      </c>
      <c r="I525" s="111" t="s">
        <v>677</v>
      </c>
    </row>
    <row r="526" spans="1:9" ht="15" x14ac:dyDescent="0.25">
      <c r="A526" t="str">
        <f t="shared" si="8"/>
        <v>U2025144</v>
      </c>
      <c r="B526" s="111" t="s">
        <v>582</v>
      </c>
      <c r="C526" s="112">
        <v>144</v>
      </c>
      <c r="D526" s="112">
        <v>15</v>
      </c>
      <c r="E526" s="111" t="s">
        <v>269</v>
      </c>
      <c r="F526" s="111" t="s">
        <v>206</v>
      </c>
      <c r="G526" s="111" t="s">
        <v>202</v>
      </c>
      <c r="H526" s="113">
        <v>46042.770833333336</v>
      </c>
      <c r="I526" s="111" t="s">
        <v>455</v>
      </c>
    </row>
    <row r="527" spans="1:9" ht="15" x14ac:dyDescent="0.25">
      <c r="A527" t="str">
        <f t="shared" si="8"/>
        <v>U2025145</v>
      </c>
      <c r="B527" s="111" t="s">
        <v>582</v>
      </c>
      <c r="C527" s="112">
        <v>145</v>
      </c>
      <c r="D527" s="112">
        <v>15</v>
      </c>
      <c r="E527" s="111" t="s">
        <v>269</v>
      </c>
      <c r="F527" s="111" t="s">
        <v>203</v>
      </c>
      <c r="G527" s="111" t="s">
        <v>215</v>
      </c>
      <c r="H527" s="113">
        <v>46043.8125</v>
      </c>
      <c r="I527" s="111" t="s">
        <v>678</v>
      </c>
    </row>
    <row r="528" spans="1:9" ht="15" x14ac:dyDescent="0.25">
      <c r="A528" t="str">
        <f t="shared" si="8"/>
        <v>U2025146</v>
      </c>
      <c r="B528" s="111" t="s">
        <v>582</v>
      </c>
      <c r="C528" s="112">
        <v>146</v>
      </c>
      <c r="D528" s="112">
        <v>15</v>
      </c>
      <c r="E528" s="111" t="s">
        <v>269</v>
      </c>
      <c r="F528" s="111" t="s">
        <v>208</v>
      </c>
      <c r="G528" s="111" t="s">
        <v>214</v>
      </c>
      <c r="H528" s="113">
        <v>46043.8125</v>
      </c>
      <c r="I528" s="111" t="s">
        <v>460</v>
      </c>
    </row>
    <row r="529" spans="1:9" ht="15" x14ac:dyDescent="0.25">
      <c r="A529" t="str">
        <f t="shared" si="8"/>
        <v>U2025147</v>
      </c>
      <c r="B529" s="111" t="s">
        <v>582</v>
      </c>
      <c r="C529" s="112">
        <v>147</v>
      </c>
      <c r="D529" s="112">
        <v>15</v>
      </c>
      <c r="E529" s="111" t="s">
        <v>269</v>
      </c>
      <c r="F529" s="111" t="s">
        <v>210</v>
      </c>
      <c r="G529" s="111" t="s">
        <v>200</v>
      </c>
      <c r="H529" s="113">
        <v>46042.791666666664</v>
      </c>
      <c r="I529" s="111" t="s">
        <v>676</v>
      </c>
    </row>
    <row r="530" spans="1:9" ht="15" x14ac:dyDescent="0.25">
      <c r="A530" t="str">
        <f t="shared" si="8"/>
        <v>U2025148</v>
      </c>
      <c r="B530" s="111" t="s">
        <v>582</v>
      </c>
      <c r="C530" s="112">
        <v>148</v>
      </c>
      <c r="D530" s="112">
        <v>15</v>
      </c>
      <c r="E530" s="111" t="s">
        <v>269</v>
      </c>
      <c r="F530" s="111" t="s">
        <v>199</v>
      </c>
      <c r="G530" s="111" t="s">
        <v>201</v>
      </c>
      <c r="H530" s="113">
        <v>46043.833333333336</v>
      </c>
      <c r="I530" s="111" t="s">
        <v>679</v>
      </c>
    </row>
    <row r="531" spans="1:9" ht="15" x14ac:dyDescent="0.25">
      <c r="A531" t="str">
        <f t="shared" si="8"/>
        <v>U2025149</v>
      </c>
      <c r="B531" s="111" t="s">
        <v>582</v>
      </c>
      <c r="C531" s="112">
        <v>149</v>
      </c>
      <c r="D531" s="112">
        <v>15</v>
      </c>
      <c r="E531" s="111" t="s">
        <v>269</v>
      </c>
      <c r="F531" s="111" t="s">
        <v>207</v>
      </c>
      <c r="G531" s="111" t="s">
        <v>212</v>
      </c>
      <c r="H531" s="113">
        <v>46043.791666666664</v>
      </c>
      <c r="I531" s="111" t="s">
        <v>679</v>
      </c>
    </row>
    <row r="532" spans="1:9" ht="15" x14ac:dyDescent="0.25">
      <c r="A532" t="str">
        <f t="shared" si="8"/>
        <v>U2025150</v>
      </c>
      <c r="B532" s="111" t="s">
        <v>582</v>
      </c>
      <c r="C532" s="112">
        <v>150</v>
      </c>
      <c r="D532" s="112">
        <v>15</v>
      </c>
      <c r="E532" s="111" t="s">
        <v>269</v>
      </c>
      <c r="F532" s="111" t="s">
        <v>211</v>
      </c>
      <c r="G532" s="111" t="s">
        <v>213</v>
      </c>
      <c r="H532" s="113">
        <v>46043.8125</v>
      </c>
      <c r="I532" s="111" t="s">
        <v>680</v>
      </c>
    </row>
    <row r="533" spans="1:9" ht="15" x14ac:dyDescent="0.25">
      <c r="A533" t="str">
        <f t="shared" si="8"/>
        <v>U2025151</v>
      </c>
      <c r="B533" s="111" t="s">
        <v>582</v>
      </c>
      <c r="C533" s="112">
        <v>151</v>
      </c>
      <c r="D533" s="112">
        <v>16</v>
      </c>
      <c r="E533" s="111" t="s">
        <v>269</v>
      </c>
      <c r="F533" s="111" t="s">
        <v>203</v>
      </c>
      <c r="G533" s="111" t="s">
        <v>216</v>
      </c>
      <c r="H533" s="113">
        <v>46050.8125</v>
      </c>
      <c r="I533" s="111" t="s">
        <v>681</v>
      </c>
    </row>
    <row r="534" spans="1:9" ht="15" x14ac:dyDescent="0.25">
      <c r="A534" t="str">
        <f t="shared" si="8"/>
        <v>U2025152</v>
      </c>
      <c r="B534" s="111" t="s">
        <v>582</v>
      </c>
      <c r="C534" s="112">
        <v>152</v>
      </c>
      <c r="D534" s="112">
        <v>16</v>
      </c>
      <c r="E534" s="111" t="s">
        <v>269</v>
      </c>
      <c r="F534" s="111" t="s">
        <v>215</v>
      </c>
      <c r="G534" s="111" t="s">
        <v>206</v>
      </c>
      <c r="H534" s="113">
        <v>46050.833333333336</v>
      </c>
      <c r="I534" s="111" t="s">
        <v>682</v>
      </c>
    </row>
    <row r="535" spans="1:9" ht="15" x14ac:dyDescent="0.25">
      <c r="A535" t="str">
        <f t="shared" si="8"/>
        <v>U2025153</v>
      </c>
      <c r="B535" s="111" t="s">
        <v>582</v>
      </c>
      <c r="C535" s="112">
        <v>153</v>
      </c>
      <c r="D535" s="112">
        <v>16</v>
      </c>
      <c r="E535" s="111" t="s">
        <v>269</v>
      </c>
      <c r="F535" s="111" t="s">
        <v>209</v>
      </c>
      <c r="G535" s="111" t="s">
        <v>202</v>
      </c>
      <c r="H535" s="113">
        <v>46050.864583333336</v>
      </c>
      <c r="I535" s="111" t="s">
        <v>683</v>
      </c>
    </row>
    <row r="536" spans="1:9" ht="15" x14ac:dyDescent="0.25">
      <c r="A536" t="str">
        <f t="shared" si="8"/>
        <v>U2025154</v>
      </c>
      <c r="B536" s="111" t="s">
        <v>582</v>
      </c>
      <c r="C536" s="112">
        <v>154</v>
      </c>
      <c r="D536" s="112">
        <v>16</v>
      </c>
      <c r="E536" s="111" t="s">
        <v>269</v>
      </c>
      <c r="F536" s="111" t="s">
        <v>205</v>
      </c>
      <c r="G536" s="111" t="s">
        <v>204</v>
      </c>
      <c r="H536" s="113">
        <v>46050.791666666664</v>
      </c>
      <c r="I536" s="111" t="s">
        <v>684</v>
      </c>
    </row>
    <row r="537" spans="1:9" ht="15" x14ac:dyDescent="0.25">
      <c r="A537" t="str">
        <f t="shared" si="8"/>
        <v>U2025155</v>
      </c>
      <c r="B537" s="111" t="s">
        <v>582</v>
      </c>
      <c r="C537" s="112">
        <v>155</v>
      </c>
      <c r="D537" s="112">
        <v>16</v>
      </c>
      <c r="E537" s="111" t="s">
        <v>269</v>
      </c>
      <c r="F537" s="111" t="s">
        <v>198</v>
      </c>
      <c r="G537" s="111" t="s">
        <v>197</v>
      </c>
      <c r="H537" s="113">
        <v>46050.791666666664</v>
      </c>
      <c r="I537" s="111" t="s">
        <v>685</v>
      </c>
    </row>
    <row r="538" spans="1:9" ht="15" x14ac:dyDescent="0.25">
      <c r="A538" t="str">
        <f t="shared" si="8"/>
        <v>U2025156</v>
      </c>
      <c r="B538" s="111" t="s">
        <v>582</v>
      </c>
      <c r="C538" s="112">
        <v>156</v>
      </c>
      <c r="D538" s="112">
        <v>16</v>
      </c>
      <c r="E538" s="111" t="s">
        <v>269</v>
      </c>
      <c r="F538" s="111" t="s">
        <v>211</v>
      </c>
      <c r="G538" s="111" t="s">
        <v>208</v>
      </c>
      <c r="H538" s="113">
        <v>46050.8125</v>
      </c>
      <c r="I538" s="111" t="s">
        <v>686</v>
      </c>
    </row>
    <row r="539" spans="1:9" ht="15" x14ac:dyDescent="0.25">
      <c r="A539" t="str">
        <f t="shared" si="8"/>
        <v>U2025157</v>
      </c>
      <c r="B539" s="111" t="s">
        <v>582</v>
      </c>
      <c r="C539" s="112">
        <v>157</v>
      </c>
      <c r="D539" s="112">
        <v>16</v>
      </c>
      <c r="E539" s="111" t="s">
        <v>269</v>
      </c>
      <c r="F539" s="111" t="s">
        <v>213</v>
      </c>
      <c r="G539" s="111" t="s">
        <v>207</v>
      </c>
      <c r="H539" s="113">
        <v>46049.791666666664</v>
      </c>
      <c r="I539" s="111" t="s">
        <v>687</v>
      </c>
    </row>
    <row r="540" spans="1:9" ht="15" x14ac:dyDescent="0.25">
      <c r="A540" t="str">
        <f t="shared" si="8"/>
        <v>U2025158</v>
      </c>
      <c r="B540" s="111" t="s">
        <v>582</v>
      </c>
      <c r="C540" s="112">
        <v>158</v>
      </c>
      <c r="D540" s="112">
        <v>16</v>
      </c>
      <c r="E540" s="111" t="s">
        <v>269</v>
      </c>
      <c r="F540" s="111" t="s">
        <v>212</v>
      </c>
      <c r="G540" s="111" t="s">
        <v>199</v>
      </c>
      <c r="H540" s="113">
        <v>46049.833333333336</v>
      </c>
      <c r="I540" s="111" t="s">
        <v>688</v>
      </c>
    </row>
    <row r="541" spans="1:9" ht="15" x14ac:dyDescent="0.25">
      <c r="A541" t="str">
        <f t="shared" si="8"/>
        <v>U2025159</v>
      </c>
      <c r="B541" s="111" t="s">
        <v>582</v>
      </c>
      <c r="C541" s="112">
        <v>159</v>
      </c>
      <c r="D541" s="112">
        <v>16</v>
      </c>
      <c r="E541" s="111" t="s">
        <v>269</v>
      </c>
      <c r="F541" s="111" t="s">
        <v>201</v>
      </c>
      <c r="G541" s="111" t="s">
        <v>210</v>
      </c>
      <c r="H541" s="113">
        <v>46049.791666666664</v>
      </c>
      <c r="I541" s="111" t="s">
        <v>689</v>
      </c>
    </row>
    <row r="542" spans="1:9" ht="15" x14ac:dyDescent="0.25">
      <c r="A542" t="str">
        <f t="shared" si="8"/>
        <v>U2025160</v>
      </c>
      <c r="B542" s="111" t="s">
        <v>582</v>
      </c>
      <c r="C542" s="112">
        <v>160</v>
      </c>
      <c r="D542" s="112">
        <v>16</v>
      </c>
      <c r="E542" s="111" t="s">
        <v>269</v>
      </c>
      <c r="F542" s="111" t="s">
        <v>200</v>
      </c>
      <c r="G542" s="111" t="s">
        <v>214</v>
      </c>
      <c r="H542" s="113">
        <v>46050.8125</v>
      </c>
      <c r="I542" s="111" t="s">
        <v>681</v>
      </c>
    </row>
    <row r="543" spans="1:9" ht="15" x14ac:dyDescent="0.25">
      <c r="A543" t="str">
        <f t="shared" si="8"/>
        <v>U2025161</v>
      </c>
      <c r="B543" s="111" t="s">
        <v>582</v>
      </c>
      <c r="C543" s="112">
        <v>161</v>
      </c>
      <c r="D543" s="112">
        <v>17</v>
      </c>
      <c r="E543" s="111" t="s">
        <v>269</v>
      </c>
      <c r="F543" s="111" t="s">
        <v>198</v>
      </c>
      <c r="G543" s="111" t="s">
        <v>216</v>
      </c>
      <c r="H543" s="113">
        <v>46056.791666666664</v>
      </c>
      <c r="I543" s="111" t="s">
        <v>479</v>
      </c>
    </row>
    <row r="544" spans="1:9" ht="15" x14ac:dyDescent="0.25">
      <c r="A544" t="str">
        <f t="shared" si="8"/>
        <v>U2025162</v>
      </c>
      <c r="B544" s="111" t="s">
        <v>582</v>
      </c>
      <c r="C544" s="112">
        <v>162</v>
      </c>
      <c r="D544" s="112">
        <v>17</v>
      </c>
      <c r="E544" s="111" t="s">
        <v>269</v>
      </c>
      <c r="F544" s="111" t="s">
        <v>197</v>
      </c>
      <c r="G544" s="111" t="s">
        <v>205</v>
      </c>
      <c r="H544" s="113">
        <v>46057.875</v>
      </c>
      <c r="I544" s="111" t="s">
        <v>690</v>
      </c>
    </row>
    <row r="545" spans="1:9" ht="15" x14ac:dyDescent="0.25">
      <c r="A545" t="str">
        <f t="shared" si="8"/>
        <v>U2025163</v>
      </c>
      <c r="B545" s="111" t="s">
        <v>582</v>
      </c>
      <c r="C545" s="112">
        <v>163</v>
      </c>
      <c r="D545" s="112">
        <v>17</v>
      </c>
      <c r="E545" s="111" t="s">
        <v>269</v>
      </c>
      <c r="F545" s="111" t="s">
        <v>204</v>
      </c>
      <c r="G545" s="111" t="s">
        <v>202</v>
      </c>
      <c r="H545" s="113">
        <v>46057.833333333336</v>
      </c>
      <c r="I545" s="111" t="s">
        <v>690</v>
      </c>
    </row>
    <row r="546" spans="1:9" ht="15" x14ac:dyDescent="0.25">
      <c r="A546" t="str">
        <f t="shared" si="8"/>
        <v>U2025164</v>
      </c>
      <c r="B546" s="111" t="s">
        <v>582</v>
      </c>
      <c r="C546" s="112">
        <v>164</v>
      </c>
      <c r="D546" s="112">
        <v>17</v>
      </c>
      <c r="E546" s="111" t="s">
        <v>269</v>
      </c>
      <c r="F546" s="111" t="s">
        <v>209</v>
      </c>
      <c r="G546" s="111" t="s">
        <v>215</v>
      </c>
      <c r="H546" s="113">
        <v>46057.864583333336</v>
      </c>
      <c r="I546" s="111" t="s">
        <v>691</v>
      </c>
    </row>
    <row r="547" spans="1:9" ht="15" x14ac:dyDescent="0.25">
      <c r="A547" t="str">
        <f t="shared" si="8"/>
        <v>U2025165</v>
      </c>
      <c r="B547" s="111" t="s">
        <v>582</v>
      </c>
      <c r="C547" s="112">
        <v>165</v>
      </c>
      <c r="D547" s="112">
        <v>17</v>
      </c>
      <c r="E547" s="111" t="s">
        <v>269</v>
      </c>
      <c r="F547" s="111" t="s">
        <v>203</v>
      </c>
      <c r="G547" s="111" t="s">
        <v>206</v>
      </c>
      <c r="H547" s="113">
        <v>46058.8125</v>
      </c>
      <c r="I547" s="111" t="s">
        <v>692</v>
      </c>
    </row>
    <row r="548" spans="1:9" ht="15" x14ac:dyDescent="0.25">
      <c r="A548" t="str">
        <f t="shared" si="8"/>
        <v>U2025166</v>
      </c>
      <c r="B548" s="111" t="s">
        <v>582</v>
      </c>
      <c r="C548" s="112">
        <v>166</v>
      </c>
      <c r="D548" s="112">
        <v>17</v>
      </c>
      <c r="E548" s="111" t="s">
        <v>269</v>
      </c>
      <c r="F548" s="111" t="s">
        <v>200</v>
      </c>
      <c r="G548" s="111" t="s">
        <v>208</v>
      </c>
      <c r="H548" s="113">
        <v>46057.8125</v>
      </c>
      <c r="I548" s="111" t="s">
        <v>693</v>
      </c>
    </row>
    <row r="549" spans="1:9" ht="15" x14ac:dyDescent="0.25">
      <c r="A549" t="str">
        <f t="shared" si="8"/>
        <v>U2025167</v>
      </c>
      <c r="B549" s="111" t="s">
        <v>582</v>
      </c>
      <c r="C549" s="112">
        <v>167</v>
      </c>
      <c r="D549" s="112">
        <v>17</v>
      </c>
      <c r="E549" s="111" t="s">
        <v>269</v>
      </c>
      <c r="F549" s="111" t="s">
        <v>214</v>
      </c>
      <c r="G549" s="111" t="s">
        <v>201</v>
      </c>
      <c r="H549" s="113">
        <v>46056.791666666664</v>
      </c>
      <c r="I549" s="111" t="s">
        <v>483</v>
      </c>
    </row>
    <row r="550" spans="1:9" ht="15" x14ac:dyDescent="0.25">
      <c r="A550" t="str">
        <f t="shared" si="8"/>
        <v>U2025168</v>
      </c>
      <c r="B550" s="111" t="s">
        <v>582</v>
      </c>
      <c r="C550" s="112">
        <v>168</v>
      </c>
      <c r="D550" s="112">
        <v>17</v>
      </c>
      <c r="E550" s="111" t="s">
        <v>269</v>
      </c>
      <c r="F550" s="111" t="s">
        <v>210</v>
      </c>
      <c r="G550" s="111" t="s">
        <v>212</v>
      </c>
      <c r="H550" s="113">
        <v>46057.791666666664</v>
      </c>
      <c r="I550" s="111" t="s">
        <v>694</v>
      </c>
    </row>
    <row r="551" spans="1:9" ht="15" x14ac:dyDescent="0.25">
      <c r="A551" t="str">
        <f t="shared" si="8"/>
        <v>U2025169</v>
      </c>
      <c r="B551" s="111" t="s">
        <v>582</v>
      </c>
      <c r="C551" s="112">
        <v>169</v>
      </c>
      <c r="D551" s="112">
        <v>17</v>
      </c>
      <c r="E551" s="111" t="s">
        <v>269</v>
      </c>
      <c r="F551" s="111" t="s">
        <v>199</v>
      </c>
      <c r="G551" s="111" t="s">
        <v>213</v>
      </c>
      <c r="H551" s="113">
        <v>46057.833333333336</v>
      </c>
      <c r="I551" s="111" t="s">
        <v>695</v>
      </c>
    </row>
    <row r="552" spans="1:9" ht="15" x14ac:dyDescent="0.25">
      <c r="A552" t="str">
        <f t="shared" si="8"/>
        <v>U2025170</v>
      </c>
      <c r="B552" s="111" t="s">
        <v>582</v>
      </c>
      <c r="C552" s="112">
        <v>170</v>
      </c>
      <c r="D552" s="112">
        <v>17</v>
      </c>
      <c r="E552" s="111" t="s">
        <v>269</v>
      </c>
      <c r="F552" s="111" t="s">
        <v>207</v>
      </c>
      <c r="G552" s="111" t="s">
        <v>211</v>
      </c>
      <c r="H552" s="113">
        <v>46057.791666666664</v>
      </c>
      <c r="I552" s="111" t="s">
        <v>695</v>
      </c>
    </row>
    <row r="553" spans="1:9" ht="15" x14ac:dyDescent="0.25">
      <c r="A553" t="str">
        <f t="shared" si="8"/>
        <v>U2025171</v>
      </c>
      <c r="B553" s="111" t="s">
        <v>582</v>
      </c>
      <c r="C553" s="112">
        <v>171</v>
      </c>
      <c r="D553" s="112">
        <v>18</v>
      </c>
      <c r="E553" s="111" t="s">
        <v>269</v>
      </c>
      <c r="F553" s="111" t="s">
        <v>216</v>
      </c>
      <c r="G553" s="111" t="s">
        <v>206</v>
      </c>
      <c r="H553" s="113">
        <v>46063.791666666664</v>
      </c>
      <c r="I553" s="111" t="s">
        <v>696</v>
      </c>
    </row>
    <row r="554" spans="1:9" ht="15" x14ac:dyDescent="0.25">
      <c r="A554" t="str">
        <f t="shared" si="8"/>
        <v>U2025172</v>
      </c>
      <c r="B554" s="111" t="s">
        <v>582</v>
      </c>
      <c r="C554" s="112">
        <v>172</v>
      </c>
      <c r="D554" s="112">
        <v>18</v>
      </c>
      <c r="E554" s="111" t="s">
        <v>269</v>
      </c>
      <c r="F554" s="111" t="s">
        <v>203</v>
      </c>
      <c r="G554" s="111" t="s">
        <v>209</v>
      </c>
      <c r="H554" s="113">
        <v>46064.8125</v>
      </c>
      <c r="I554" s="111" t="s">
        <v>697</v>
      </c>
    </row>
    <row r="555" spans="1:9" ht="15" x14ac:dyDescent="0.25">
      <c r="A555" t="str">
        <f t="shared" si="8"/>
        <v>U2025173</v>
      </c>
      <c r="B555" s="111" t="s">
        <v>582</v>
      </c>
      <c r="C555" s="112">
        <v>173</v>
      </c>
      <c r="D555" s="112">
        <v>18</v>
      </c>
      <c r="E555" s="111" t="s">
        <v>269</v>
      </c>
      <c r="F555" s="111" t="s">
        <v>215</v>
      </c>
      <c r="G555" s="111" t="s">
        <v>204</v>
      </c>
      <c r="H555" s="113">
        <v>46064.833333333336</v>
      </c>
      <c r="I555" s="111" t="s">
        <v>698</v>
      </c>
    </row>
    <row r="556" spans="1:9" ht="15" x14ac:dyDescent="0.25">
      <c r="A556" t="str">
        <f t="shared" si="8"/>
        <v>U2025174</v>
      </c>
      <c r="B556" s="111" t="s">
        <v>582</v>
      </c>
      <c r="C556" s="112">
        <v>174</v>
      </c>
      <c r="D556" s="112">
        <v>18</v>
      </c>
      <c r="E556" s="111" t="s">
        <v>269</v>
      </c>
      <c r="F556" s="111" t="s">
        <v>202</v>
      </c>
      <c r="G556" s="111" t="s">
        <v>197</v>
      </c>
      <c r="H556" s="113">
        <v>46064.791666666664</v>
      </c>
      <c r="I556" s="111" t="s">
        <v>699</v>
      </c>
    </row>
    <row r="557" spans="1:9" ht="15" x14ac:dyDescent="0.25">
      <c r="A557" t="str">
        <f t="shared" si="8"/>
        <v>U2025175</v>
      </c>
      <c r="B557" s="111" t="s">
        <v>582</v>
      </c>
      <c r="C557" s="112">
        <v>175</v>
      </c>
      <c r="D557" s="112">
        <v>18</v>
      </c>
      <c r="E557" s="111" t="s">
        <v>269</v>
      </c>
      <c r="F557" s="111" t="s">
        <v>205</v>
      </c>
      <c r="G557" s="111" t="s">
        <v>198</v>
      </c>
      <c r="H557" s="113">
        <v>46064.791666666664</v>
      </c>
      <c r="I557" s="111" t="s">
        <v>699</v>
      </c>
    </row>
    <row r="558" spans="1:9" ht="15" x14ac:dyDescent="0.25">
      <c r="A558" t="str">
        <f t="shared" si="8"/>
        <v>U2025176</v>
      </c>
      <c r="B558" s="111" t="s">
        <v>582</v>
      </c>
      <c r="C558" s="112">
        <v>176</v>
      </c>
      <c r="D558" s="112">
        <v>18</v>
      </c>
      <c r="E558" s="111" t="s">
        <v>269</v>
      </c>
      <c r="F558" s="111" t="s">
        <v>208</v>
      </c>
      <c r="G558" s="111" t="s">
        <v>207</v>
      </c>
      <c r="H558" s="113">
        <v>46064.8125</v>
      </c>
      <c r="I558" s="111" t="s">
        <v>700</v>
      </c>
    </row>
    <row r="559" spans="1:9" ht="15" x14ac:dyDescent="0.25">
      <c r="A559" t="str">
        <f t="shared" si="8"/>
        <v>U2025177</v>
      </c>
      <c r="B559" s="111" t="s">
        <v>582</v>
      </c>
      <c r="C559" s="112">
        <v>177</v>
      </c>
      <c r="D559" s="112">
        <v>18</v>
      </c>
      <c r="E559" s="111" t="s">
        <v>269</v>
      </c>
      <c r="F559" s="111" t="s">
        <v>211</v>
      </c>
      <c r="G559" s="111" t="s">
        <v>199</v>
      </c>
      <c r="H559" s="113">
        <v>46063.8125</v>
      </c>
      <c r="I559" s="111" t="s">
        <v>701</v>
      </c>
    </row>
    <row r="560" spans="1:9" ht="15" x14ac:dyDescent="0.25">
      <c r="A560" t="str">
        <f t="shared" si="8"/>
        <v>U2025178</v>
      </c>
      <c r="B560" s="111" t="s">
        <v>582</v>
      </c>
      <c r="C560" s="112">
        <v>178</v>
      </c>
      <c r="D560" s="112">
        <v>18</v>
      </c>
      <c r="E560" s="111" t="s">
        <v>269</v>
      </c>
      <c r="F560" s="111" t="s">
        <v>213</v>
      </c>
      <c r="G560" s="111" t="s">
        <v>210</v>
      </c>
      <c r="H560" s="113">
        <v>46064.791666666664</v>
      </c>
      <c r="I560" s="111" t="s">
        <v>702</v>
      </c>
    </row>
    <row r="561" spans="1:9" ht="15" x14ac:dyDescent="0.25">
      <c r="A561" t="str">
        <f t="shared" si="8"/>
        <v>U2025179</v>
      </c>
      <c r="B561" s="111" t="s">
        <v>582</v>
      </c>
      <c r="C561" s="112">
        <v>179</v>
      </c>
      <c r="D561" s="112">
        <v>18</v>
      </c>
      <c r="E561" s="111" t="s">
        <v>269</v>
      </c>
      <c r="F561" s="111" t="s">
        <v>212</v>
      </c>
      <c r="G561" s="111" t="s">
        <v>214</v>
      </c>
      <c r="H561" s="113">
        <v>46063.833333333336</v>
      </c>
      <c r="I561" s="111" t="s">
        <v>703</v>
      </c>
    </row>
    <row r="562" spans="1:9" ht="15" x14ac:dyDescent="0.25">
      <c r="A562" t="str">
        <f t="shared" si="8"/>
        <v>U2025180</v>
      </c>
      <c r="B562" s="111" t="s">
        <v>582</v>
      </c>
      <c r="C562" s="112">
        <v>180</v>
      </c>
      <c r="D562" s="112">
        <v>18</v>
      </c>
      <c r="E562" s="111" t="s">
        <v>269</v>
      </c>
      <c r="F562" s="111" t="s">
        <v>201</v>
      </c>
      <c r="G562" s="111" t="s">
        <v>200</v>
      </c>
      <c r="H562" s="113">
        <v>46064.791666666664</v>
      </c>
      <c r="I562" s="111" t="s">
        <v>704</v>
      </c>
    </row>
  </sheetData>
  <sheetProtection algorithmName="SHA-512" hashValue="gCSuHQ8wR993GBFLY4/u3Wmkkrt7v8XEoQ0izX1y+rh81pi5LycYD3FRsfGsbNjbOHpGQEWJaig1G1Jrpiyycw==" saltValue="GBBg7SHP5MC9XXhfU4tZ4A==" spinCount="100000" sheet="1" objects="1" scenarios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F5B0DD-4B62-4ACB-8536-16CA2A22F1F0}">
  <sheetPr codeName="Hoja4"/>
  <dimension ref="A1:XFB54"/>
  <sheetViews>
    <sheetView workbookViewId="0">
      <selection activeCell="D6" sqref="D6"/>
    </sheetView>
  </sheetViews>
  <sheetFormatPr defaultColWidth="0" defaultRowHeight="12.75" zeroHeight="1" x14ac:dyDescent="0.2"/>
  <cols>
    <col min="1" max="1" width="3.140625" style="43" customWidth="1"/>
    <col min="2" max="2" width="13.85546875" style="43" bestFit="1" customWidth="1"/>
    <col min="3" max="3" width="24.85546875" style="43" bestFit="1" customWidth="1"/>
    <col min="4" max="4" width="6.42578125" style="43" bestFit="1" customWidth="1"/>
    <col min="5" max="5" width="1.42578125" style="43" customWidth="1"/>
    <col min="6" max="6" width="34.42578125" style="43" bestFit="1" customWidth="1"/>
    <col min="7" max="7" width="1.42578125" style="43" customWidth="1"/>
    <col min="8" max="16382" width="10.85546875" style="43" hidden="1"/>
    <col min="16383" max="16384" width="52.5703125" style="43" hidden="1" customWidth="1"/>
  </cols>
  <sheetData>
    <row r="1" spans="2:6" x14ac:dyDescent="0.2">
      <c r="F1" s="44" t="str">
        <f>"REPORT_"&amp;'SCOUT &amp; LOGISTICS'!B2&amp;TEXT('SCOUT &amp; LOGISTICS'!C2,"000")</f>
        <v>REPORT_E2025294</v>
      </c>
    </row>
    <row r="2" spans="2:6" x14ac:dyDescent="0.2">
      <c r="F2" s="45" t="s">
        <v>157</v>
      </c>
    </row>
    <row r="3" spans="2:6" x14ac:dyDescent="0.2">
      <c r="B3" s="43" t="s">
        <v>156</v>
      </c>
      <c r="C3" s="43" t="str">
        <f>""""&amp;'SCOUT &amp; LOGISTICS'!B2&amp;TEXT('SCOUT &amp; LOGISTICS'!C2,"000")&amp;""""</f>
        <v>"E2025294"</v>
      </c>
      <c r="F3" s="45" t="str">
        <f t="shared" ref="F3:F16" si="0">""""&amp;B3&amp;"""" &amp; " : " &amp;C3&amp;","</f>
        <v>"name" : "E2025294",</v>
      </c>
    </row>
    <row r="4" spans="2:6" x14ac:dyDescent="0.2">
      <c r="B4" s="43" t="s">
        <v>119</v>
      </c>
      <c r="C4" s="43" t="str">
        <f>""""&amp;LEFT('SCOUT &amp; LOGISTICS'!B2,1) &amp; TEXT('SCOUT &amp; LOGISTICS'!C2,"000")&amp;""""</f>
        <v>"E294"</v>
      </c>
      <c r="F4" s="45" t="str">
        <f t="shared" si="0"/>
        <v>"cod" : "E294",</v>
      </c>
    </row>
    <row r="5" spans="2:6" x14ac:dyDescent="0.2">
      <c r="B5" s="43" t="s">
        <v>117</v>
      </c>
      <c r="C5" s="43" t="str">
        <f>""""&amp;LEFT('SCOUT &amp; LOGISTICS'!B2,1)&amp;""""</f>
        <v>"E"</v>
      </c>
      <c r="F5" s="45" t="str">
        <f t="shared" si="0"/>
        <v>"competition" : "E",</v>
      </c>
    </row>
    <row r="6" spans="2:6" x14ac:dyDescent="0.2">
      <c r="B6" s="43" t="s">
        <v>118</v>
      </c>
      <c r="C6" s="43" t="str">
        <f>TEXT('SCOUT &amp; LOGISTICS'!C2,"000")</f>
        <v>294</v>
      </c>
      <c r="F6" s="45" t="str">
        <f t="shared" si="0"/>
        <v>"number" : 294,</v>
      </c>
    </row>
    <row r="7" spans="2:6" x14ac:dyDescent="0.2">
      <c r="B7" s="43" t="s">
        <v>116</v>
      </c>
      <c r="C7" s="43" t="str">
        <f ca="1">""""&amp;TEXT('SCOUT &amp; LOGISTICS'!B3,"dd/mm/aaaa")&amp;""""</f>
        <v>"05/03/Thursday"</v>
      </c>
      <c r="F7" s="45" t="str">
        <f t="shared" ca="1" si="0"/>
        <v>"date" : "05/03/Thursday",</v>
      </c>
    </row>
    <row r="8" spans="2:6" x14ac:dyDescent="0.2">
      <c r="B8" s="43" t="s">
        <v>125</v>
      </c>
      <c r="C8" s="43" t="str">
        <f>""""&amp;'SCOUT &amp; LOGISTICS'!D4 &amp;""""</f>
        <v>"Partizan Mozzart Bet Belgrade"</v>
      </c>
      <c r="F8" s="45" t="str">
        <f t="shared" si="0"/>
        <v>"home_team" : "Partizan Mozzart Bet Belgrade",</v>
      </c>
    </row>
    <row r="9" spans="2:6" x14ac:dyDescent="0.2">
      <c r="B9" s="43" t="s">
        <v>126</v>
      </c>
      <c r="C9" s="43" t="str">
        <f>""""&amp;'SCOUT &amp; LOGISTICS'!D5&amp;""""</f>
        <v>"Dubai Basketball"</v>
      </c>
      <c r="F9" s="45" t="str">
        <f t="shared" si="0"/>
        <v>"away_team" : "Dubai Basketball",</v>
      </c>
    </row>
    <row r="10" spans="2:6" x14ac:dyDescent="0.2">
      <c r="B10" s="43" t="s">
        <v>127</v>
      </c>
      <c r="C10" s="43" t="str">
        <f>""""&amp;IF('SCOUT &amp; LOGISTICS'!D6="","",'SCOUT &amp; LOGISTICS'!D6)&amp;""""</f>
        <v>"Data entry Name"</v>
      </c>
      <c r="F10" s="45" t="str">
        <f t="shared" si="0"/>
        <v>"Data_entry" : "Data entry Name",</v>
      </c>
    </row>
    <row r="11" spans="2:6" x14ac:dyDescent="0.2">
      <c r="B11" s="43" t="s">
        <v>128</v>
      </c>
      <c r="C11" s="43" t="str">
        <f>""""&amp;IF('SCOUT &amp; LOGISTICS'!D7="","",'SCOUT &amp; LOGISTICS'!D7)&amp;""""</f>
        <v>"Caller 1 Name"</v>
      </c>
      <c r="F11" s="45" t="str">
        <f t="shared" si="0"/>
        <v>"Caller_1" : "Caller 1 Name",</v>
      </c>
    </row>
    <row r="12" spans="2:6" x14ac:dyDescent="0.2">
      <c r="B12" s="43" t="s">
        <v>129</v>
      </c>
      <c r="C12" s="43" t="str">
        <f>""""&amp;IF('SCOUT &amp; LOGISTICS'!D8="","",'SCOUT &amp; LOGISTICS'!D8)&amp;""""</f>
        <v>"Caller 2 Name"</v>
      </c>
      <c r="F12" s="45" t="str">
        <f t="shared" si="0"/>
        <v>"Caller_2" : "Caller 2 Name",</v>
      </c>
    </row>
    <row r="13" spans="2:6" x14ac:dyDescent="0.2">
      <c r="B13" s="43" t="s">
        <v>98</v>
      </c>
      <c r="C13" s="43" t="str">
        <f>""""&amp;IF('SCOUT &amp; LOGISTICS'!D9="","",'SCOUT &amp; LOGISTICS'!D9)&amp;""""</f>
        <v>"Timerkeeper Name"</v>
      </c>
      <c r="F13" s="45" t="str">
        <f t="shared" si="0"/>
        <v>"Timerkeeper" : "Timerkeeper Name",</v>
      </c>
    </row>
    <row r="14" spans="2:6" x14ac:dyDescent="0.2">
      <c r="B14" s="43" t="s">
        <v>99</v>
      </c>
      <c r="C14" s="43" t="str">
        <f>""""&amp;IF('SCOUT &amp; LOGISTICS'!D10="","",'SCOUT &amp; LOGISTICS'!D10)&amp;""""</f>
        <v>"Shotclock Name"</v>
      </c>
      <c r="F14" s="45" t="str">
        <f t="shared" si="0"/>
        <v>"Shotclock" : "Shotclock Name",</v>
      </c>
    </row>
    <row r="15" spans="2:6" x14ac:dyDescent="0.2">
      <c r="B15" s="43" t="s">
        <v>108</v>
      </c>
      <c r="C15" s="43" t="str">
        <f>""""&amp;IF('SCOUT &amp; LOGISTICS'!D11="","",'SCOUT &amp; LOGISTICS'!D11)&amp;""""</f>
        <v>"IRS"</v>
      </c>
      <c r="F15" s="45" t="str">
        <f t="shared" si="0"/>
        <v>"IRS" : "IRS",</v>
      </c>
    </row>
    <row r="16" spans="2:6" x14ac:dyDescent="0.2">
      <c r="B16" s="43" t="s">
        <v>130</v>
      </c>
      <c r="C16" s="43" t="str">
        <f>""""&amp;IF('SCOUT &amp; LOGISTICS'!D14=0,"",'SCOUT &amp; LOGISTICS'!D14)&amp;""""</f>
        <v>"MARIO ENJUANES"</v>
      </c>
      <c r="F16" s="45" t="str">
        <f t="shared" si="0"/>
        <v>"Live_Game_Manager" : "MARIO ENJUANES",</v>
      </c>
    </row>
    <row r="17" spans="2:6" x14ac:dyDescent="0.2">
      <c r="B17" s="43" t="s">
        <v>55</v>
      </c>
      <c r="C17" s="43" t="s">
        <v>157</v>
      </c>
      <c r="F17" s="45" t="str">
        <f>""""&amp;B17&amp;"""" &amp; " : " &amp;C17</f>
        <v>"logistics" : {</v>
      </c>
    </row>
    <row r="18" spans="2:6" x14ac:dyDescent="0.2">
      <c r="C18" s="43" t="s">
        <v>120</v>
      </c>
      <c r="D18" s="43" t="str">
        <f>""""&amp;IF('SCOUT &amp; LOGISTICS'!I12="","",'SCOUT &amp; LOGISTICS'!I12)&amp;""""</f>
        <v>""</v>
      </c>
      <c r="F18" s="45" t="str">
        <f>""""&amp;C18&amp;"""" &amp; " : " &amp;D18&amp;","</f>
        <v>"arrival_time" : "",</v>
      </c>
    </row>
    <row r="19" spans="2:6" x14ac:dyDescent="0.2">
      <c r="C19" s="43" t="s">
        <v>121</v>
      </c>
      <c r="D19" s="43" t="str">
        <f>""""&amp;IF('SCOUT &amp; LOGISTICS'!J12="","",'SCOUT &amp; LOGISTICS'!J12)&amp;""""</f>
        <v>""</v>
      </c>
      <c r="F19" s="45" t="str">
        <f>""""&amp;C19&amp;"""" &amp; " : " &amp;D19&amp;","</f>
        <v>"check_list_on_time" : "",</v>
      </c>
    </row>
    <row r="20" spans="2:6" x14ac:dyDescent="0.2">
      <c r="C20" s="43" t="s">
        <v>122</v>
      </c>
      <c r="D20" s="43" t="str">
        <f>""""&amp;IF('SCOUT &amp; LOGISTICS'!K12="","",'SCOUT &amp; LOGISTICS'!K12)&amp;""""</f>
        <v>""</v>
      </c>
      <c r="F20" s="45" t="str">
        <f>""""&amp;C20&amp;"""" &amp; " : " &amp;D20&amp;","</f>
        <v>"communication" : "",</v>
      </c>
    </row>
    <row r="21" spans="2:6" x14ac:dyDescent="0.2">
      <c r="C21" s="43" t="s">
        <v>123</v>
      </c>
      <c r="D21" s="43" t="str">
        <f>""""&amp;IF('SCOUT &amp; LOGISTICS'!L12="","",'SCOUT &amp; LOGISTICS'!L12)&amp;""""</f>
        <v>""</v>
      </c>
      <c r="F21" s="45" t="str">
        <f>""""&amp;C21&amp;"""" &amp; " : " &amp;D21&amp;","</f>
        <v>"corrections" : "",</v>
      </c>
    </row>
    <row r="22" spans="2:6" x14ac:dyDescent="0.2">
      <c r="C22" s="43" t="s">
        <v>124</v>
      </c>
      <c r="D22" s="43" t="str">
        <f>""""&amp;IF('SCOUT &amp; LOGISTICS'!M12="","",'SCOUT &amp; LOGISTICS'!M12)&amp;""""</f>
        <v>"NO"</v>
      </c>
      <c r="F22" s="45" t="str">
        <f>""""&amp;C22&amp;"""" &amp; " : " &amp;D22</f>
        <v>"rescouted" : "NO"</v>
      </c>
    </row>
    <row r="23" spans="2:6" x14ac:dyDescent="0.2">
      <c r="F23" s="45" t="s">
        <v>158</v>
      </c>
    </row>
    <row r="24" spans="2:6" x14ac:dyDescent="0.2">
      <c r="B24" s="43" t="s">
        <v>56</v>
      </c>
      <c r="C24" s="43" t="s">
        <v>157</v>
      </c>
      <c r="F24" s="45" t="str">
        <f>""""&amp;B24&amp;"""" &amp; " : " &amp;C24</f>
        <v>"scouting" : {</v>
      </c>
    </row>
    <row r="25" spans="2:6" x14ac:dyDescent="0.2">
      <c r="C25" s="43" t="s">
        <v>131</v>
      </c>
      <c r="D25" s="43">
        <f>'SCOUT &amp; LOGISTICS'!D3</f>
        <v>0</v>
      </c>
      <c r="F25" s="45" t="str">
        <f t="shared" ref="F25:F48" si="1">""""&amp;C25&amp;"""" &amp; " : " &amp;D25&amp;","</f>
        <v>"total_actions" : 0,</v>
      </c>
    </row>
    <row r="26" spans="2:6" x14ac:dyDescent="0.2">
      <c r="C26" s="43" t="s">
        <v>132</v>
      </c>
      <c r="D26" s="43">
        <f>'SCOUT &amp; LOGISTICS'!F3</f>
        <v>0</v>
      </c>
      <c r="F26" s="45" t="str">
        <f t="shared" si="1"/>
        <v>"total_correcions" : 0,</v>
      </c>
    </row>
    <row r="27" spans="2:6" x14ac:dyDescent="0.2">
      <c r="C27" s="43" t="s">
        <v>133</v>
      </c>
      <c r="D27" s="43" t="str">
        <f>""""&amp;IF(OR(D25="",D25=0),"",TEXT(D26/D25,"0,0%"))&amp;""""</f>
        <v>""</v>
      </c>
      <c r="F27" s="45" t="str">
        <f t="shared" si="1"/>
        <v>"%_corrections" : "",</v>
      </c>
    </row>
    <row r="28" spans="2:6" x14ac:dyDescent="0.2">
      <c r="C28" s="43" t="s">
        <v>125</v>
      </c>
      <c r="D28" s="43">
        <f>IF('SCOUT &amp; LOGISTICS'!AA17="","",'SCOUT &amp; LOGISTICS'!AA17)</f>
        <v>0</v>
      </c>
      <c r="F28" s="45" t="str">
        <f t="shared" si="1"/>
        <v>"home_team" : 0,</v>
      </c>
    </row>
    <row r="29" spans="2:6" x14ac:dyDescent="0.2">
      <c r="C29" s="43" t="s">
        <v>134</v>
      </c>
      <c r="D29" s="43">
        <f>IF('SCOUT &amp; LOGISTICS'!AA18="","",'SCOUT &amp; LOGISTICS'!AA18)</f>
        <v>0</v>
      </c>
      <c r="F29" s="45" t="str">
        <f t="shared" si="1"/>
        <v>"no_team" : 0,</v>
      </c>
    </row>
    <row r="30" spans="2:6" x14ac:dyDescent="0.2">
      <c r="C30" s="43" t="s">
        <v>126</v>
      </c>
      <c r="D30" s="43">
        <f>IF('SCOUT &amp; LOGISTICS'!AA19="","",'SCOUT &amp; LOGISTICS'!AA19)</f>
        <v>0</v>
      </c>
      <c r="F30" s="45" t="str">
        <f t="shared" si="1"/>
        <v>"away_team" : 0,</v>
      </c>
    </row>
    <row r="31" spans="2:6" x14ac:dyDescent="0.2">
      <c r="C31" s="43" t="s">
        <v>135</v>
      </c>
      <c r="D31" s="43">
        <f>'SCOUT &amp; LOGISTICS'!AG17</f>
        <v>0</v>
      </c>
      <c r="F31" s="45" t="str">
        <f t="shared" si="1"/>
        <v>"q1" : 0,</v>
      </c>
    </row>
    <row r="32" spans="2:6" x14ac:dyDescent="0.2">
      <c r="C32" s="43" t="s">
        <v>136</v>
      </c>
      <c r="D32" s="43">
        <f>'SCOUT &amp; LOGISTICS'!AG18</f>
        <v>0</v>
      </c>
      <c r="F32" s="45" t="str">
        <f t="shared" si="1"/>
        <v>"q2" : 0,</v>
      </c>
    </row>
    <row r="33" spans="3:6" x14ac:dyDescent="0.2">
      <c r="C33" s="43" t="s">
        <v>137</v>
      </c>
      <c r="D33" s="43">
        <f>'SCOUT &amp; LOGISTICS'!AG19</f>
        <v>0</v>
      </c>
      <c r="F33" s="45" t="str">
        <f t="shared" si="1"/>
        <v>"q3" : 0,</v>
      </c>
    </row>
    <row r="34" spans="3:6" x14ac:dyDescent="0.2">
      <c r="C34" s="43" t="s">
        <v>138</v>
      </c>
      <c r="D34" s="43">
        <f>'SCOUT &amp; LOGISTICS'!AG20</f>
        <v>0</v>
      </c>
      <c r="F34" s="45" t="str">
        <f t="shared" si="1"/>
        <v>"q4" : 0,</v>
      </c>
    </row>
    <row r="35" spans="3:6" x14ac:dyDescent="0.2">
      <c r="C35" s="43" t="s">
        <v>59</v>
      </c>
      <c r="D35" s="43">
        <f>'SCOUT &amp; LOGISTICS'!AG21</f>
        <v>0</v>
      </c>
      <c r="F35" s="45" t="str">
        <f t="shared" si="1"/>
        <v>"et" : 0,</v>
      </c>
    </row>
    <row r="36" spans="3:6" x14ac:dyDescent="0.2">
      <c r="C36" s="43" t="s">
        <v>139</v>
      </c>
      <c r="D36" s="43">
        <f>'SCOUT &amp; LOGISTICS'!Y18</f>
        <v>0</v>
      </c>
      <c r="F36" s="45" t="str">
        <f t="shared" si="1"/>
        <v>"boxscore_corrections" : 0,</v>
      </c>
    </row>
    <row r="37" spans="3:6" x14ac:dyDescent="0.2">
      <c r="C37" s="43" t="s">
        <v>140</v>
      </c>
      <c r="D37" s="43">
        <f>'SCOUT &amp; LOGISTICS'!Y16</f>
        <v>0</v>
      </c>
      <c r="F37" s="45" t="str">
        <f t="shared" si="1"/>
        <v>"scoresheet_corrections" : 0,</v>
      </c>
    </row>
    <row r="38" spans="3:6" x14ac:dyDescent="0.2">
      <c r="C38" s="43" t="s">
        <v>141</v>
      </c>
      <c r="D38" s="43">
        <f>'SCOUT &amp; LOGISTICS'!AC17</f>
        <v>0</v>
      </c>
      <c r="F38" s="45" t="str">
        <f t="shared" si="1"/>
        <v>"criteria" : 0,</v>
      </c>
    </row>
    <row r="39" spans="3:6" x14ac:dyDescent="0.2">
      <c r="C39" s="43" t="s">
        <v>142</v>
      </c>
      <c r="D39" s="43">
        <f>'SCOUT &amp; LOGISTICS'!AC18</f>
        <v>0</v>
      </c>
      <c r="F39" s="45" t="str">
        <f t="shared" si="1"/>
        <v>"missidentity" : 0,</v>
      </c>
    </row>
    <row r="40" spans="3:6" x14ac:dyDescent="0.2">
      <c r="C40" s="43" t="s">
        <v>143</v>
      </c>
      <c r="D40" s="43">
        <f>'SCOUT &amp; LOGISTICS'!AC19</f>
        <v>0</v>
      </c>
      <c r="F40" s="45" t="str">
        <f t="shared" si="1"/>
        <v>"missing" : 0,</v>
      </c>
    </row>
    <row r="41" spans="3:6" x14ac:dyDescent="0.2">
      <c r="C41" s="43" t="s">
        <v>144</v>
      </c>
      <c r="D41" s="43">
        <f>'SCOUT &amp; LOGISTICS'!AF26</f>
        <v>0</v>
      </c>
      <c r="F41" s="45" t="str">
        <f t="shared" si="1"/>
        <v>"irs" : 0,</v>
      </c>
    </row>
    <row r="42" spans="3:6" x14ac:dyDescent="0.2">
      <c r="C42" s="43" t="s">
        <v>145</v>
      </c>
      <c r="D42" s="43">
        <f>'SCOUT &amp; LOGISTICS'!AF46</f>
        <v>0</v>
      </c>
      <c r="F42" s="45" t="str">
        <f t="shared" si="1"/>
        <v>"substitution" : 0,</v>
      </c>
    </row>
    <row r="43" spans="3:6" x14ac:dyDescent="0.2">
      <c r="C43" s="43" t="s">
        <v>146</v>
      </c>
      <c r="D43" s="43">
        <f>'SCOUT &amp; LOGISTICS'!AF19</f>
        <v>0</v>
      </c>
      <c r="F43" s="45" t="str">
        <f t="shared" si="1"/>
        <v>"coach_challenge" : 0,</v>
      </c>
    </row>
    <row r="44" spans="3:6" x14ac:dyDescent="0.2">
      <c r="C44" s="43" t="s">
        <v>147</v>
      </c>
      <c r="D44" s="43">
        <f>'SCOUT &amp; LOGISTICS'!AC20</f>
        <v>0</v>
      </c>
      <c r="F44" s="45" t="str">
        <f t="shared" si="1"/>
        <v>"not_happened" : 0,</v>
      </c>
    </row>
    <row r="45" spans="3:6" x14ac:dyDescent="0.2">
      <c r="C45" s="43" t="s">
        <v>148</v>
      </c>
      <c r="D45" s="43">
        <f>'SCOUT &amp; LOGISTICS'!AC21</f>
        <v>0</v>
      </c>
      <c r="F45" s="45" t="str">
        <f t="shared" si="1"/>
        <v>"missplaced" : 0,</v>
      </c>
    </row>
    <row r="46" spans="3:6" x14ac:dyDescent="0.2">
      <c r="C46" s="46" t="s">
        <v>154</v>
      </c>
      <c r="D46" s="43">
        <f>'SCOUT &amp; LOGISTICS'!AC23</f>
        <v>0</v>
      </c>
      <c r="F46" s="45" t="str">
        <f t="shared" si="1"/>
        <v>"part_of_a_sequence" : 0,</v>
      </c>
    </row>
    <row r="47" spans="3:6" x14ac:dyDescent="0.2">
      <c r="C47" s="43" t="s">
        <v>149</v>
      </c>
      <c r="D47" s="43">
        <f>'SCOUT &amp; LOGISTICS'!AF39</f>
        <v>0</v>
      </c>
      <c r="F47" s="45" t="str">
        <f t="shared" si="1"/>
        <v>"time_out" : 0,</v>
      </c>
    </row>
    <row r="48" spans="3:6" x14ac:dyDescent="0.2">
      <c r="C48" s="43" t="s">
        <v>150</v>
      </c>
      <c r="D48" s="43">
        <f>'SCOUT &amp; LOGISTICS'!V16</f>
        <v>0</v>
      </c>
      <c r="F48" s="45" t="str">
        <f t="shared" si="1"/>
        <v>"fouls" : 0,</v>
      </c>
    </row>
    <row r="49" spans="2:6" x14ac:dyDescent="0.2">
      <c r="C49" s="43" t="s">
        <v>151</v>
      </c>
      <c r="D49" s="43">
        <f>'SCOUT &amp; LOGISTICS'!R16</f>
        <v>0</v>
      </c>
      <c r="F49" s="45" t="str">
        <f>""""&amp;C49&amp;"""" &amp; " : " &amp;D49</f>
        <v>"points" : 0</v>
      </c>
    </row>
    <row r="50" spans="2:6" x14ac:dyDescent="0.2">
      <c r="F50" s="45" t="s">
        <v>158</v>
      </c>
    </row>
    <row r="51" spans="2:6" x14ac:dyDescent="0.2">
      <c r="B51" s="43" t="s">
        <v>152</v>
      </c>
      <c r="C51" s="43" t="str">
        <f>""""&amp;IF('SCOUT &amp; LOGISTICS'!M4="","",'SCOUT &amp; LOGISTICS'!M4)&amp;""""</f>
        <v>"Very good job!"</v>
      </c>
      <c r="F51" s="45" t="str">
        <f>""""&amp;B51&amp;"""" &amp; " : " &amp;C51&amp;","</f>
        <v>"comments" : "Very good job!",</v>
      </c>
    </row>
    <row r="52" spans="2:6" x14ac:dyDescent="0.2">
      <c r="B52" s="43" t="s">
        <v>153</v>
      </c>
      <c r="C52" s="43" t="str">
        <f>TEXT('SCOUT &amp; LOGISTICS'!F1,"0,0")</f>
        <v>30_294_PAR_DUB_E2025</v>
      </c>
      <c r="F52" s="45" t="str">
        <f>""""&amp;B52&amp;"""" &amp; " : " &amp;C52</f>
        <v>"result" : 30_294_PAR_DUB_E2025</v>
      </c>
    </row>
    <row r="53" spans="2:6" x14ac:dyDescent="0.2">
      <c r="F53" s="45" t="s">
        <v>155</v>
      </c>
    </row>
    <row r="54" spans="2:6" x14ac:dyDescent="0.2"/>
  </sheetData>
  <sheetProtection algorithmName="SHA-512" hashValue="6JTNtk5tlvuZwcPMJ2ZF1e+75Cujpbw/Gt2AoqmCAcqVAlO00G4FP682+tN38+238NSp/RzukHfCcpkrXcGjgQ==" saltValue="8aEQkaeJnPEXfXaWuQdtcg==" spinCount="100000" sheet="1" objects="1" scenarios="1" selectLockedCells="1"/>
  <sortState xmlns:xlrd2="http://schemas.microsoft.com/office/spreadsheetml/2017/richdata2" ref="B43:B72">
    <sortCondition ref="B43:B72"/>
  </sortState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816501-3677-45C0-BEA9-29AE62AF543F}">
  <sheetPr codeName="Hoja2">
    <pageSetUpPr fitToPage="1"/>
  </sheetPr>
  <dimension ref="A1:AG36"/>
  <sheetViews>
    <sheetView zoomScale="120" zoomScaleNormal="120" workbookViewId="0">
      <selection sqref="A1:AF36"/>
    </sheetView>
  </sheetViews>
  <sheetFormatPr defaultColWidth="0" defaultRowHeight="16.5" zeroHeight="1" x14ac:dyDescent="0.35"/>
  <cols>
    <col min="1" max="1" width="5.140625" style="47" customWidth="1"/>
    <col min="2" max="2" width="2.85546875" style="47" customWidth="1"/>
    <col min="3" max="31" width="3.140625" style="47" customWidth="1"/>
    <col min="32" max="32" width="5.5703125" style="47" customWidth="1"/>
    <col min="33" max="16384" width="6.5703125" style="47" hidden="1"/>
  </cols>
  <sheetData>
    <row r="1" spans="1:33" s="48" customFormat="1" ht="11.1" customHeight="1" x14ac:dyDescent="0.35"/>
    <row r="2" spans="1:33" ht="42.6" customHeight="1" thickBot="1" x14ac:dyDescent="0.4">
      <c r="A2" s="48"/>
      <c r="B2" s="208" t="s">
        <v>708</v>
      </c>
      <c r="C2" s="208"/>
      <c r="D2" s="208"/>
      <c r="E2" s="208"/>
      <c r="F2" s="208"/>
      <c r="G2" s="208"/>
      <c r="H2" s="208"/>
      <c r="I2" s="208"/>
      <c r="J2" s="208"/>
      <c r="K2" s="208"/>
      <c r="L2" s="208"/>
      <c r="M2" s="208"/>
      <c r="N2" s="208"/>
      <c r="O2" s="208"/>
      <c r="P2" s="208"/>
      <c r="Q2" s="208"/>
      <c r="R2" s="208"/>
      <c r="S2" s="208"/>
      <c r="T2" s="208"/>
      <c r="U2" s="208"/>
      <c r="V2" s="208"/>
      <c r="W2" s="208"/>
      <c r="X2" s="208"/>
      <c r="Y2" s="208"/>
      <c r="Z2" s="208"/>
      <c r="AA2" s="208"/>
      <c r="AB2" s="208"/>
      <c r="AC2" s="208"/>
      <c r="AD2" s="208"/>
      <c r="AE2" s="208"/>
      <c r="AF2" s="48"/>
    </row>
    <row r="3" spans="1:33" ht="27" customHeight="1" thickBot="1" x14ac:dyDescent="0.4">
      <c r="A3" s="48"/>
      <c r="B3" s="202" t="str">
        <f>"GAME: "&amp; LEFT('SCOUT &amp; LOGISTICS'!B2,1) &amp; TEXT('SCOUT &amp; LOGISTICS'!C2,"000") &amp; " " &amp; IF(LEFT('SCOUT &amp; LOGISTICS'!B2,1)="U","(EUROCUP)","(EUROLEAGUE)")</f>
        <v>GAME: E294 (EUROLEAGUE)</v>
      </c>
      <c r="C3" s="202"/>
      <c r="D3" s="202"/>
      <c r="E3" s="202"/>
      <c r="F3" s="202"/>
      <c r="G3" s="202"/>
      <c r="H3" s="202"/>
      <c r="I3" s="202"/>
      <c r="J3" s="202"/>
      <c r="K3" s="202"/>
      <c r="L3" s="202"/>
      <c r="M3" s="202"/>
      <c r="N3" s="202"/>
      <c r="O3" s="202"/>
      <c r="P3" s="202"/>
      <c r="Q3" s="202"/>
      <c r="R3" s="202"/>
      <c r="S3" s="202"/>
      <c r="T3" s="202"/>
      <c r="U3" s="202"/>
      <c r="V3" s="202"/>
      <c r="W3" s="202"/>
      <c r="X3" s="202"/>
      <c r="Y3" s="202"/>
      <c r="Z3" s="202"/>
      <c r="AA3" s="202"/>
      <c r="AB3" s="202"/>
      <c r="AC3" s="202"/>
      <c r="AD3" s="202"/>
      <c r="AE3" s="202"/>
      <c r="AF3" s="48"/>
    </row>
    <row r="4" spans="1:33" ht="14.25" customHeight="1" thickBot="1" x14ac:dyDescent="0.4">
      <c r="A4" s="48"/>
      <c r="B4" s="200" t="str">
        <f ca="1">"DATE: " &amp; TEXT('SCOUT &amp; LOGISTICS'!B3,"dd/mm")</f>
        <v>DATE: 05/03</v>
      </c>
      <c r="C4" s="200"/>
      <c r="D4" s="200"/>
      <c r="E4" s="200"/>
      <c r="F4" s="200"/>
      <c r="G4" s="200"/>
      <c r="H4" s="200"/>
      <c r="I4" s="200"/>
      <c r="J4" s="200"/>
      <c r="K4" s="200"/>
      <c r="L4" s="200"/>
      <c r="M4" s="200"/>
      <c r="N4" s="200"/>
      <c r="O4" s="200"/>
      <c r="P4" s="200"/>
      <c r="Q4" s="200"/>
      <c r="R4" s="200"/>
      <c r="S4" s="200"/>
      <c r="T4" s="200"/>
      <c r="U4" s="200"/>
      <c r="V4" s="200"/>
      <c r="W4" s="200"/>
      <c r="X4" s="200"/>
      <c r="Y4" s="200"/>
      <c r="Z4" s="200"/>
      <c r="AA4" s="200"/>
      <c r="AB4" s="200"/>
      <c r="AC4" s="200"/>
      <c r="AD4" s="200"/>
      <c r="AE4" s="200"/>
      <c r="AF4" s="48"/>
    </row>
    <row r="5" spans="1:33" ht="20.100000000000001" customHeight="1" thickBot="1" x14ac:dyDescent="0.4">
      <c r="A5" s="48"/>
      <c r="B5" s="204" t="s">
        <v>62</v>
      </c>
      <c r="C5" s="204"/>
      <c r="D5" s="204"/>
      <c r="E5" s="204"/>
      <c r="F5" s="204"/>
      <c r="G5" s="204"/>
      <c r="H5" s="204"/>
      <c r="I5" s="204"/>
      <c r="J5" s="204"/>
      <c r="K5" s="204"/>
      <c r="L5" s="204"/>
      <c r="M5" s="204"/>
      <c r="N5" s="204"/>
      <c r="O5" s="204"/>
      <c r="P5" s="204"/>
      <c r="Q5" s="204" t="s">
        <v>63</v>
      </c>
      <c r="R5" s="204"/>
      <c r="S5" s="204"/>
      <c r="T5" s="204"/>
      <c r="U5" s="204"/>
      <c r="V5" s="204"/>
      <c r="W5" s="204"/>
      <c r="X5" s="204"/>
      <c r="Y5" s="204"/>
      <c r="Z5" s="204"/>
      <c r="AA5" s="204"/>
      <c r="AB5" s="204"/>
      <c r="AC5" s="204"/>
      <c r="AD5" s="204"/>
      <c r="AE5" s="204"/>
      <c r="AF5" s="48"/>
    </row>
    <row r="6" spans="1:33" ht="23.1" customHeight="1" thickBot="1" x14ac:dyDescent="0.4">
      <c r="A6" s="48"/>
      <c r="B6" s="197" t="str">
        <f>PROPER('SCOUT &amp; LOGISTICS'!D4)</f>
        <v>Partizan Mozzart Bet Belgrade</v>
      </c>
      <c r="C6" s="197"/>
      <c r="D6" s="197"/>
      <c r="E6" s="197"/>
      <c r="F6" s="197"/>
      <c r="G6" s="197"/>
      <c r="H6" s="197"/>
      <c r="I6" s="197"/>
      <c r="J6" s="197"/>
      <c r="K6" s="197"/>
      <c r="L6" s="197"/>
      <c r="M6" s="197"/>
      <c r="N6" s="197"/>
      <c r="O6" s="197"/>
      <c r="P6" s="197"/>
      <c r="Q6" s="197" t="str">
        <f>PROPER('SCOUT &amp; LOGISTICS'!D5)</f>
        <v>Dubai Basketball</v>
      </c>
      <c r="R6" s="197"/>
      <c r="S6" s="197"/>
      <c r="T6" s="197"/>
      <c r="U6" s="197"/>
      <c r="V6" s="197"/>
      <c r="W6" s="197"/>
      <c r="X6" s="197"/>
      <c r="Y6" s="197"/>
      <c r="Z6" s="197"/>
      <c r="AA6" s="197"/>
      <c r="AB6" s="197"/>
      <c r="AC6" s="197"/>
      <c r="AD6" s="197"/>
      <c r="AE6" s="197"/>
      <c r="AF6" s="48"/>
    </row>
    <row r="7" spans="1:33" ht="19.5" customHeight="1" thickBot="1" x14ac:dyDescent="0.4">
      <c r="A7" s="48"/>
      <c r="B7" s="203" t="str">
        <f>'SCOUT &amp; LOGISTICS'!B6</f>
        <v>Data entry</v>
      </c>
      <c r="C7" s="203"/>
      <c r="D7" s="203"/>
      <c r="E7" s="203"/>
      <c r="F7" s="203"/>
      <c r="G7" s="203" t="str">
        <f>'SCOUT &amp; LOGISTICS'!B7</f>
        <v>Caller 1</v>
      </c>
      <c r="H7" s="203"/>
      <c r="I7" s="203"/>
      <c r="J7" s="203"/>
      <c r="K7" s="203"/>
      <c r="L7" s="203" t="str">
        <f>'SCOUT &amp; LOGISTICS'!B8</f>
        <v>Caller 2</v>
      </c>
      <c r="M7" s="203"/>
      <c r="N7" s="203"/>
      <c r="O7" s="203"/>
      <c r="P7" s="203"/>
      <c r="Q7" s="203" t="str">
        <f>'SCOUT &amp; LOGISTICS'!B9</f>
        <v>Timerkeeper</v>
      </c>
      <c r="R7" s="203"/>
      <c r="S7" s="203"/>
      <c r="T7" s="203"/>
      <c r="U7" s="203"/>
      <c r="V7" s="203" t="str">
        <f>'SCOUT &amp; LOGISTICS'!B10</f>
        <v>Shotclock</v>
      </c>
      <c r="W7" s="203"/>
      <c r="X7" s="203"/>
      <c r="Y7" s="203"/>
      <c r="Z7" s="203"/>
      <c r="AA7" s="203" t="str">
        <f>'SCOUT &amp; LOGISTICS'!B11</f>
        <v>IRS</v>
      </c>
      <c r="AB7" s="203"/>
      <c r="AC7" s="203"/>
      <c r="AD7" s="203"/>
      <c r="AE7" s="203"/>
      <c r="AF7" s="48"/>
    </row>
    <row r="8" spans="1:33" ht="36" customHeight="1" thickBot="1" x14ac:dyDescent="0.4">
      <c r="A8" s="48"/>
      <c r="B8" s="201" t="str">
        <f>IF('SCOUT &amp; LOGISTICS'!D6="","",'SCOUT &amp; LOGISTICS'!D6)</f>
        <v>Data entry Name</v>
      </c>
      <c r="C8" s="201"/>
      <c r="D8" s="201"/>
      <c r="E8" s="201"/>
      <c r="F8" s="201"/>
      <c r="G8" s="201" t="str">
        <f>IF('SCOUT &amp; LOGISTICS'!D7="","",'SCOUT &amp; LOGISTICS'!D7)</f>
        <v>Caller 1 Name</v>
      </c>
      <c r="H8" s="201"/>
      <c r="I8" s="201"/>
      <c r="J8" s="201"/>
      <c r="K8" s="201"/>
      <c r="L8" s="201" t="str">
        <f>IF('SCOUT &amp; LOGISTICS'!D8="","",'SCOUT &amp; LOGISTICS'!D8)</f>
        <v>Caller 2 Name</v>
      </c>
      <c r="M8" s="201"/>
      <c r="N8" s="201"/>
      <c r="O8" s="201"/>
      <c r="P8" s="201"/>
      <c r="Q8" s="201" t="str">
        <f>IF('SCOUT &amp; LOGISTICS'!D9="","",'SCOUT &amp; LOGISTICS'!D9)</f>
        <v>Timerkeeper Name</v>
      </c>
      <c r="R8" s="201"/>
      <c r="S8" s="201"/>
      <c r="T8" s="201"/>
      <c r="U8" s="201"/>
      <c r="V8" s="201" t="str">
        <f>IF('SCOUT &amp; LOGISTICS'!D10="","",'SCOUT &amp; LOGISTICS'!D10)</f>
        <v>Shotclock Name</v>
      </c>
      <c r="W8" s="201"/>
      <c r="X8" s="201"/>
      <c r="Y8" s="201"/>
      <c r="Z8" s="201"/>
      <c r="AA8" s="201" t="str">
        <f>IF('SCOUT &amp; LOGISTICS'!D11="","",'SCOUT &amp; LOGISTICS'!D11)</f>
        <v>IRS</v>
      </c>
      <c r="AB8" s="201"/>
      <c r="AC8" s="201"/>
      <c r="AD8" s="201"/>
      <c r="AE8" s="201"/>
      <c r="AF8" s="48"/>
    </row>
    <row r="9" spans="1:33" ht="17.25" thickBot="1" x14ac:dyDescent="0.4">
      <c r="A9" s="48"/>
      <c r="B9" s="209" t="str">
        <f>IF(OR('SCOUT &amp; LOGISTICS'!D14="",'SCOUT &amp; LOGISTICS'!D14=0),"",'SCOUT &amp; LOGISTICS'!B14 &amp; ": " &amp; 'SCOUT &amp; LOGISTICS'!D14) &amp; "     "</f>
        <v xml:space="preserve">L G M: : MARIO ENJUANES     </v>
      </c>
      <c r="C9" s="209"/>
      <c r="D9" s="209"/>
      <c r="E9" s="209"/>
      <c r="F9" s="209"/>
      <c r="G9" s="209"/>
      <c r="H9" s="209"/>
      <c r="I9" s="209"/>
      <c r="J9" s="209"/>
      <c r="K9" s="209"/>
      <c r="L9" s="209"/>
      <c r="M9" s="209"/>
      <c r="N9" s="209"/>
      <c r="O9" s="209"/>
      <c r="P9" s="209"/>
      <c r="Q9" s="209"/>
      <c r="R9" s="209"/>
      <c r="S9" s="209"/>
      <c r="T9" s="209"/>
      <c r="U9" s="209"/>
      <c r="V9" s="209"/>
      <c r="W9" s="209"/>
      <c r="X9" s="209"/>
      <c r="Y9" s="209"/>
      <c r="Z9" s="209"/>
      <c r="AA9" s="209"/>
      <c r="AB9" s="209"/>
      <c r="AC9" s="209"/>
      <c r="AD9" s="209"/>
      <c r="AE9" s="209"/>
      <c r="AF9" s="48"/>
    </row>
    <row r="10" spans="1:33" s="48" customFormat="1" ht="17.25" thickBot="1" x14ac:dyDescent="0.4">
      <c r="B10" s="196"/>
      <c r="C10" s="196"/>
      <c r="D10" s="196"/>
      <c r="E10" s="196"/>
      <c r="F10" s="196"/>
      <c r="G10" s="196"/>
      <c r="H10" s="196"/>
      <c r="I10" s="196"/>
      <c r="J10" s="196"/>
      <c r="K10" s="196"/>
      <c r="L10" s="196"/>
      <c r="M10" s="196"/>
      <c r="N10" s="196"/>
      <c r="O10" s="196"/>
      <c r="P10" s="196"/>
      <c r="Q10" s="196"/>
      <c r="R10" s="196"/>
      <c r="S10" s="196"/>
      <c r="T10" s="196"/>
      <c r="U10" s="196"/>
      <c r="V10" s="196"/>
      <c r="W10" s="196"/>
      <c r="X10" s="196"/>
      <c r="Y10" s="196"/>
      <c r="Z10" s="196"/>
      <c r="AA10" s="196"/>
      <c r="AB10" s="196"/>
      <c r="AC10" s="196"/>
      <c r="AD10" s="196"/>
      <c r="AE10" s="196"/>
    </row>
    <row r="11" spans="1:33" ht="20.100000000000001" customHeight="1" thickBot="1" x14ac:dyDescent="0.4">
      <c r="A11" s="48"/>
      <c r="B11" s="200" t="s">
        <v>13</v>
      </c>
      <c r="C11" s="200"/>
      <c r="D11" s="200"/>
      <c r="E11" s="200"/>
      <c r="F11" s="200"/>
      <c r="G11" s="200"/>
      <c r="H11" s="200"/>
      <c r="I11" s="200"/>
      <c r="J11" s="200"/>
      <c r="K11" s="200"/>
      <c r="L11" s="200"/>
      <c r="M11" s="200"/>
      <c r="N11" s="200"/>
      <c r="O11" s="200"/>
      <c r="P11" s="200"/>
      <c r="Q11" s="200"/>
      <c r="R11" s="200"/>
      <c r="S11" s="200"/>
      <c r="T11" s="200"/>
      <c r="U11" s="200"/>
      <c r="V11" s="200"/>
      <c r="W11" s="200"/>
      <c r="X11" s="200"/>
      <c r="Y11" s="200"/>
      <c r="Z11" s="200"/>
      <c r="AA11" s="200"/>
      <c r="AB11" s="200"/>
      <c r="AC11" s="200"/>
      <c r="AD11" s="200"/>
      <c r="AE11" s="200"/>
      <c r="AF11" s="48"/>
    </row>
    <row r="12" spans="1:33" ht="21" customHeight="1" thickBot="1" x14ac:dyDescent="0.4">
      <c r="A12" s="48"/>
      <c r="B12" s="198" t="str">
        <f>'SCOUT &amp; LOGISTICS'!I11</f>
        <v>ARRIVAL TIME</v>
      </c>
      <c r="C12" s="198"/>
      <c r="D12" s="198"/>
      <c r="E12" s="198"/>
      <c r="F12" s="198"/>
      <c r="G12" s="198"/>
      <c r="H12" s="198" t="str">
        <f>'SCOUT &amp; LOGISTICS'!J11</f>
        <v>CHECK LIST ON TIME</v>
      </c>
      <c r="I12" s="198"/>
      <c r="J12" s="198"/>
      <c r="K12" s="198"/>
      <c r="L12" s="198"/>
      <c r="M12" s="198"/>
      <c r="N12" s="198" t="str">
        <f>'SCOUT &amp; LOGISTICS'!K11</f>
        <v>COMMUNICATION</v>
      </c>
      <c r="O12" s="198"/>
      <c r="P12" s="198"/>
      <c r="Q12" s="198"/>
      <c r="R12" s="198"/>
      <c r="S12" s="198"/>
      <c r="T12" s="198" t="str">
        <f>'SCOUT &amp; LOGISTICS'!L11</f>
        <v>CORRECTIONS</v>
      </c>
      <c r="U12" s="198"/>
      <c r="V12" s="198"/>
      <c r="W12" s="198"/>
      <c r="X12" s="198"/>
      <c r="Y12" s="198"/>
      <c r="Z12" s="198" t="str">
        <f>'SCOUT &amp; LOGISTICS'!M11</f>
        <v>RESCOUTED</v>
      </c>
      <c r="AA12" s="198"/>
      <c r="AB12" s="198"/>
      <c r="AC12" s="198"/>
      <c r="AD12" s="198"/>
      <c r="AE12" s="198"/>
      <c r="AF12" s="48"/>
    </row>
    <row r="13" spans="1:33" ht="20.100000000000001" customHeight="1" thickBot="1" x14ac:dyDescent="0.4">
      <c r="A13" s="48"/>
      <c r="B13" s="205" t="str">
        <f>IF('SCOUT &amp; LOGISTICS'!I12="","",'SCOUT &amp; LOGISTICS'!I12)</f>
        <v/>
      </c>
      <c r="C13" s="205"/>
      <c r="D13" s="205"/>
      <c r="E13" s="205"/>
      <c r="F13" s="205"/>
      <c r="G13" s="205"/>
      <c r="H13" s="205" t="str">
        <f>IF('SCOUT &amp; LOGISTICS'!J12="","",'SCOUT &amp; LOGISTICS'!J12)</f>
        <v/>
      </c>
      <c r="I13" s="205"/>
      <c r="J13" s="205"/>
      <c r="K13" s="205"/>
      <c r="L13" s="205"/>
      <c r="M13" s="205"/>
      <c r="N13" s="205" t="str">
        <f>IF('SCOUT &amp; LOGISTICS'!K12="","",'SCOUT &amp; LOGISTICS'!K12)</f>
        <v/>
      </c>
      <c r="O13" s="205"/>
      <c r="P13" s="205"/>
      <c r="Q13" s="205"/>
      <c r="R13" s="205"/>
      <c r="S13" s="205"/>
      <c r="T13" s="205" t="str">
        <f>IF('SCOUT &amp; LOGISTICS'!L12="","",'SCOUT &amp; LOGISTICS'!L12)</f>
        <v/>
      </c>
      <c r="U13" s="205"/>
      <c r="V13" s="205"/>
      <c r="W13" s="205"/>
      <c r="X13" s="205"/>
      <c r="Y13" s="205"/>
      <c r="Z13" s="205" t="str">
        <f>IF('SCOUT &amp; LOGISTICS'!M12="","",'SCOUT &amp; LOGISTICS'!M12)</f>
        <v>NO</v>
      </c>
      <c r="AA13" s="205"/>
      <c r="AB13" s="205"/>
      <c r="AC13" s="205"/>
      <c r="AD13" s="205"/>
      <c r="AE13" s="205"/>
      <c r="AF13" s="48"/>
    </row>
    <row r="14" spans="1:33" s="48" customFormat="1" ht="17.25" thickBot="1" x14ac:dyDescent="0.4">
      <c r="B14" s="196"/>
      <c r="C14" s="196"/>
      <c r="D14" s="196"/>
      <c r="E14" s="196"/>
      <c r="F14" s="196"/>
      <c r="G14" s="196"/>
      <c r="H14" s="196"/>
      <c r="I14" s="196"/>
      <c r="J14" s="196"/>
      <c r="K14" s="196"/>
      <c r="L14" s="196"/>
      <c r="M14" s="196"/>
      <c r="N14" s="196"/>
      <c r="O14" s="196"/>
      <c r="P14" s="196"/>
      <c r="Q14" s="196"/>
      <c r="R14" s="196"/>
      <c r="S14" s="196"/>
      <c r="T14" s="196"/>
      <c r="U14" s="196"/>
      <c r="V14" s="196"/>
      <c r="W14" s="196"/>
      <c r="X14" s="196"/>
      <c r="Y14" s="196"/>
      <c r="Z14" s="196"/>
      <c r="AA14" s="196"/>
      <c r="AB14" s="196"/>
      <c r="AC14" s="196"/>
      <c r="AD14" s="196"/>
      <c r="AE14" s="196"/>
    </row>
    <row r="15" spans="1:33" ht="20.100000000000001" customHeight="1" thickBot="1" x14ac:dyDescent="0.4">
      <c r="A15" s="48"/>
      <c r="B15" s="200" t="s">
        <v>45</v>
      </c>
      <c r="C15" s="200"/>
      <c r="D15" s="200"/>
      <c r="E15" s="200"/>
      <c r="F15" s="200"/>
      <c r="G15" s="200"/>
      <c r="H15" s="200"/>
      <c r="I15" s="200"/>
      <c r="J15" s="200"/>
      <c r="K15" s="200"/>
      <c r="L15" s="200"/>
      <c r="M15" s="200"/>
      <c r="N15" s="200"/>
      <c r="O15" s="200"/>
      <c r="P15" s="200"/>
      <c r="Q15" s="200"/>
      <c r="R15" s="200"/>
      <c r="S15" s="200"/>
      <c r="T15" s="200"/>
      <c r="U15" s="200"/>
      <c r="V15" s="200"/>
      <c r="W15" s="200"/>
      <c r="X15" s="200"/>
      <c r="Y15" s="200"/>
      <c r="Z15" s="200"/>
      <c r="AA15" s="200"/>
      <c r="AB15" s="200"/>
      <c r="AC15" s="200"/>
      <c r="AD15" s="200"/>
      <c r="AE15" s="200"/>
      <c r="AF15" s="48"/>
    </row>
    <row r="16" spans="1:33" ht="21" customHeight="1" thickBot="1" x14ac:dyDescent="0.4">
      <c r="A16" s="48"/>
      <c r="B16" s="198" t="s">
        <v>82</v>
      </c>
      <c r="C16" s="198"/>
      <c r="D16" s="198"/>
      <c r="E16" s="198"/>
      <c r="F16" s="198"/>
      <c r="G16" s="198"/>
      <c r="H16" s="198"/>
      <c r="I16" s="198"/>
      <c r="J16" s="198"/>
      <c r="K16" s="198"/>
      <c r="L16" s="198" t="s">
        <v>83</v>
      </c>
      <c r="M16" s="198"/>
      <c r="N16" s="198"/>
      <c r="O16" s="198"/>
      <c r="P16" s="198"/>
      <c r="Q16" s="198"/>
      <c r="R16" s="198"/>
      <c r="S16" s="198"/>
      <c r="T16" s="198"/>
      <c r="U16" s="198"/>
      <c r="V16" s="198" t="s">
        <v>85</v>
      </c>
      <c r="W16" s="198"/>
      <c r="X16" s="198"/>
      <c r="Y16" s="198"/>
      <c r="Z16" s="198"/>
      <c r="AA16" s="198"/>
      <c r="AB16" s="198"/>
      <c r="AC16" s="198"/>
      <c r="AD16" s="198"/>
      <c r="AE16" s="198"/>
      <c r="AF16" s="48"/>
      <c r="AG16" s="47" t="s">
        <v>84</v>
      </c>
    </row>
    <row r="17" spans="1:32" ht="20.100000000000001" customHeight="1" thickBot="1" x14ac:dyDescent="0.4">
      <c r="A17" s="48"/>
      <c r="B17" s="203">
        <f>'SCOUT &amp; LOGISTICS'!D3</f>
        <v>0</v>
      </c>
      <c r="C17" s="203"/>
      <c r="D17" s="203"/>
      <c r="E17" s="203"/>
      <c r="F17" s="203"/>
      <c r="G17" s="203"/>
      <c r="H17" s="203"/>
      <c r="I17" s="203"/>
      <c r="J17" s="203"/>
      <c r="K17" s="203"/>
      <c r="L17" s="203">
        <f>'SCOUT &amp; LOGISTICS'!F3</f>
        <v>0</v>
      </c>
      <c r="M17" s="203"/>
      <c r="N17" s="203"/>
      <c r="O17" s="203"/>
      <c r="P17" s="203"/>
      <c r="Q17" s="203"/>
      <c r="R17" s="203"/>
      <c r="S17" s="203"/>
      <c r="T17" s="203"/>
      <c r="U17" s="203"/>
      <c r="V17" s="206" t="str">
        <f>IF(OR(B17="",B17=0),"",L17/B17)</f>
        <v/>
      </c>
      <c r="W17" s="206"/>
      <c r="X17" s="206"/>
      <c r="Y17" s="206"/>
      <c r="Z17" s="206"/>
      <c r="AA17" s="206"/>
      <c r="AB17" s="206"/>
      <c r="AC17" s="206"/>
      <c r="AD17" s="206"/>
      <c r="AE17" s="206"/>
      <c r="AF17" s="48"/>
    </row>
    <row r="18" spans="1:32" s="48" customFormat="1" ht="17.25" thickBot="1" x14ac:dyDescent="0.4">
      <c r="B18" s="196"/>
      <c r="C18" s="196"/>
      <c r="D18" s="196"/>
      <c r="E18" s="196"/>
      <c r="F18" s="196"/>
      <c r="G18" s="196"/>
      <c r="H18" s="196"/>
      <c r="I18" s="196"/>
      <c r="J18" s="196"/>
      <c r="K18" s="196"/>
      <c r="L18" s="196"/>
      <c r="M18" s="196"/>
      <c r="N18" s="196"/>
      <c r="O18" s="196"/>
      <c r="P18" s="196"/>
      <c r="Q18" s="196"/>
      <c r="R18" s="196"/>
      <c r="S18" s="196"/>
      <c r="T18" s="196"/>
      <c r="U18" s="196"/>
      <c r="V18" s="196"/>
      <c r="W18" s="196"/>
      <c r="X18" s="196"/>
      <c r="Y18" s="196"/>
      <c r="Z18" s="196"/>
      <c r="AA18" s="196"/>
      <c r="AB18" s="196"/>
      <c r="AC18" s="196"/>
      <c r="AD18" s="196"/>
      <c r="AE18" s="196"/>
    </row>
    <row r="19" spans="1:32" ht="21" customHeight="1" thickBot="1" x14ac:dyDescent="0.4">
      <c r="A19" s="48"/>
      <c r="B19" s="198" t="str">
        <f>'SCOUT &amp; LOGISTICS'!Z17</f>
        <v>AWAY TEAM</v>
      </c>
      <c r="C19" s="198"/>
      <c r="D19" s="198"/>
      <c r="E19" s="198"/>
      <c r="F19" s="198"/>
      <c r="G19" s="198"/>
      <c r="H19" s="198"/>
      <c r="I19" s="198"/>
      <c r="J19" s="198"/>
      <c r="K19" s="198"/>
      <c r="L19" s="198" t="str">
        <f>'SCOUT &amp; LOGISTICS'!Z18</f>
        <v>HOME TEAM</v>
      </c>
      <c r="M19" s="198"/>
      <c r="N19" s="198"/>
      <c r="O19" s="198"/>
      <c r="P19" s="198"/>
      <c r="Q19" s="198" t="s">
        <v>63</v>
      </c>
      <c r="R19" s="198"/>
      <c r="S19" s="198"/>
      <c r="T19" s="198"/>
      <c r="U19" s="198"/>
      <c r="V19" s="198" t="str">
        <f>'SCOUT &amp; LOGISTICS'!Z19</f>
        <v>NO TEAM</v>
      </c>
      <c r="W19" s="198"/>
      <c r="X19" s="198"/>
      <c r="Y19" s="198"/>
      <c r="Z19" s="198"/>
      <c r="AA19" s="198"/>
      <c r="AB19" s="198"/>
      <c r="AC19" s="198"/>
      <c r="AD19" s="198"/>
      <c r="AE19" s="198"/>
      <c r="AF19" s="48"/>
    </row>
    <row r="20" spans="1:32" ht="20.100000000000001" customHeight="1" thickBot="1" x14ac:dyDescent="0.4">
      <c r="A20" s="48"/>
      <c r="B20" s="199">
        <f>IF('SCOUT &amp; LOGISTICS'!AA17="","",'SCOUT &amp; LOGISTICS'!AA17)</f>
        <v>0</v>
      </c>
      <c r="C20" s="199"/>
      <c r="D20" s="199"/>
      <c r="E20" s="199"/>
      <c r="F20" s="199"/>
      <c r="G20" s="199"/>
      <c r="H20" s="199"/>
      <c r="I20" s="199"/>
      <c r="J20" s="199"/>
      <c r="K20" s="199"/>
      <c r="L20" s="199">
        <f>IF('SCOUT &amp; LOGISTICS'!AA18="","",'SCOUT &amp; LOGISTICS'!AA18)</f>
        <v>0</v>
      </c>
      <c r="M20" s="199"/>
      <c r="N20" s="199"/>
      <c r="O20" s="199"/>
      <c r="P20" s="199"/>
      <c r="Q20" s="199"/>
      <c r="R20" s="199"/>
      <c r="S20" s="199"/>
      <c r="T20" s="199"/>
      <c r="U20" s="199"/>
      <c r="V20" s="199">
        <f>IF('SCOUT &amp; LOGISTICS'!AA19="","",'SCOUT &amp; LOGISTICS'!AA19)</f>
        <v>0</v>
      </c>
      <c r="W20" s="199"/>
      <c r="X20" s="199"/>
      <c r="Y20" s="199"/>
      <c r="Z20" s="199"/>
      <c r="AA20" s="199"/>
      <c r="AB20" s="199"/>
      <c r="AC20" s="199"/>
      <c r="AD20" s="199"/>
      <c r="AE20" s="199"/>
      <c r="AF20" s="48"/>
    </row>
    <row r="21" spans="1:32" ht="21" customHeight="1" thickBot="1" x14ac:dyDescent="0.4">
      <c r="A21" s="48"/>
      <c r="B21" s="198" t="s">
        <v>88</v>
      </c>
      <c r="C21" s="198"/>
      <c r="D21" s="198"/>
      <c r="E21" s="198"/>
      <c r="F21" s="198"/>
      <c r="G21" s="198"/>
      <c r="H21" s="198" t="s">
        <v>89</v>
      </c>
      <c r="I21" s="198"/>
      <c r="J21" s="198"/>
      <c r="K21" s="198"/>
      <c r="L21" s="198"/>
      <c r="M21" s="198"/>
      <c r="N21" s="198" t="s">
        <v>90</v>
      </c>
      <c r="O21" s="198"/>
      <c r="P21" s="198"/>
      <c r="Q21" s="198"/>
      <c r="R21" s="198"/>
      <c r="S21" s="198"/>
      <c r="T21" s="198" t="s">
        <v>91</v>
      </c>
      <c r="U21" s="198"/>
      <c r="V21" s="198"/>
      <c r="W21" s="198"/>
      <c r="X21" s="198"/>
      <c r="Y21" s="198"/>
      <c r="Z21" s="198" t="s">
        <v>92</v>
      </c>
      <c r="AA21" s="198"/>
      <c r="AB21" s="198"/>
      <c r="AC21" s="198"/>
      <c r="AD21" s="198"/>
      <c r="AE21" s="198"/>
      <c r="AF21" s="48"/>
    </row>
    <row r="22" spans="1:32" ht="20.100000000000001" customHeight="1" thickBot="1" x14ac:dyDescent="0.4">
      <c r="A22" s="48"/>
      <c r="B22" s="199">
        <f>'SCOUT &amp; LOGISTICS'!AG17</f>
        <v>0</v>
      </c>
      <c r="C22" s="199"/>
      <c r="D22" s="199"/>
      <c r="E22" s="199"/>
      <c r="F22" s="199"/>
      <c r="G22" s="199"/>
      <c r="H22" s="199">
        <f>'SCOUT &amp; LOGISTICS'!AG18</f>
        <v>0</v>
      </c>
      <c r="I22" s="199"/>
      <c r="J22" s="199"/>
      <c r="K22" s="199"/>
      <c r="L22" s="199"/>
      <c r="M22" s="199"/>
      <c r="N22" s="199">
        <f>'SCOUT &amp; LOGISTICS'!AG19</f>
        <v>0</v>
      </c>
      <c r="O22" s="199"/>
      <c r="P22" s="199"/>
      <c r="Q22" s="199"/>
      <c r="R22" s="199"/>
      <c r="S22" s="199"/>
      <c r="T22" s="199">
        <f>'SCOUT &amp; LOGISTICS'!AG20</f>
        <v>0</v>
      </c>
      <c r="U22" s="199"/>
      <c r="V22" s="199"/>
      <c r="W22" s="199"/>
      <c r="X22" s="199"/>
      <c r="Y22" s="199"/>
      <c r="Z22" s="199">
        <f>IF('SCOUT &amp; LOGISTICS'!AG21="","",'SCOUT &amp; LOGISTICS'!AG21)</f>
        <v>0</v>
      </c>
      <c r="AA22" s="199"/>
      <c r="AB22" s="199"/>
      <c r="AC22" s="199"/>
      <c r="AD22" s="199"/>
      <c r="AE22" s="199"/>
      <c r="AF22" s="48"/>
    </row>
    <row r="23" spans="1:32" s="48" customFormat="1" ht="17.25" thickBot="1" x14ac:dyDescent="0.4">
      <c r="B23" s="195"/>
      <c r="C23" s="195"/>
      <c r="D23" s="195"/>
      <c r="E23" s="195"/>
      <c r="F23" s="195"/>
      <c r="G23" s="195"/>
      <c r="H23" s="195"/>
      <c r="I23" s="195"/>
      <c r="J23" s="195"/>
      <c r="K23" s="195"/>
      <c r="L23" s="195"/>
      <c r="M23" s="195"/>
      <c r="N23" s="195"/>
      <c r="O23" s="195"/>
      <c r="P23" s="195"/>
      <c r="Q23" s="195"/>
      <c r="R23" s="195"/>
      <c r="S23" s="195"/>
      <c r="T23" s="195"/>
      <c r="U23" s="195"/>
      <c r="V23" s="195"/>
      <c r="W23" s="195"/>
      <c r="X23" s="195"/>
      <c r="Y23" s="195"/>
      <c r="Z23" s="195"/>
      <c r="AA23" s="195"/>
      <c r="AB23" s="195"/>
      <c r="AC23" s="195"/>
      <c r="AD23" s="195"/>
      <c r="AE23" s="195"/>
    </row>
    <row r="24" spans="1:32" ht="21" customHeight="1" thickBot="1" x14ac:dyDescent="0.4">
      <c r="A24" s="48"/>
      <c r="B24" s="198" t="s">
        <v>93</v>
      </c>
      <c r="C24" s="198"/>
      <c r="D24" s="198"/>
      <c r="E24" s="198"/>
      <c r="F24" s="198"/>
      <c r="G24" s="198"/>
      <c r="H24" s="198"/>
      <c r="I24" s="198"/>
      <c r="J24" s="198"/>
      <c r="K24" s="198"/>
      <c r="L24" s="198"/>
      <c r="M24" s="198"/>
      <c r="N24" s="198"/>
      <c r="O24" s="198"/>
      <c r="P24" s="198"/>
      <c r="Q24" s="198" t="s">
        <v>94</v>
      </c>
      <c r="R24" s="198"/>
      <c r="S24" s="198"/>
      <c r="T24" s="198"/>
      <c r="U24" s="198"/>
      <c r="V24" s="198"/>
      <c r="W24" s="198"/>
      <c r="X24" s="198"/>
      <c r="Y24" s="198"/>
      <c r="Z24" s="198"/>
      <c r="AA24" s="198"/>
      <c r="AB24" s="198"/>
      <c r="AC24" s="198"/>
      <c r="AD24" s="198"/>
      <c r="AE24" s="198"/>
      <c r="AF24" s="48"/>
    </row>
    <row r="25" spans="1:32" ht="20.100000000000001" customHeight="1" thickBot="1" x14ac:dyDescent="0.4">
      <c r="A25" s="48"/>
      <c r="B25" s="199">
        <f>'SCOUT &amp; LOGISTICS'!Y17</f>
        <v>0</v>
      </c>
      <c r="C25" s="199"/>
      <c r="D25" s="199"/>
      <c r="E25" s="199"/>
      <c r="F25" s="199"/>
      <c r="G25" s="199"/>
      <c r="H25" s="199"/>
      <c r="I25" s="199"/>
      <c r="J25" s="199"/>
      <c r="K25" s="199"/>
      <c r="L25" s="199"/>
      <c r="M25" s="199"/>
      <c r="N25" s="199"/>
      <c r="O25" s="199"/>
      <c r="P25" s="199"/>
      <c r="Q25" s="199">
        <f>'SCOUT &amp; LOGISTICS'!Y18</f>
        <v>0</v>
      </c>
      <c r="R25" s="199"/>
      <c r="S25" s="199"/>
      <c r="T25" s="199"/>
      <c r="U25" s="199"/>
      <c r="V25" s="199"/>
      <c r="W25" s="199"/>
      <c r="X25" s="199"/>
      <c r="Y25" s="199"/>
      <c r="Z25" s="199"/>
      <c r="AA25" s="199"/>
      <c r="AB25" s="199"/>
      <c r="AC25" s="199"/>
      <c r="AD25" s="199"/>
      <c r="AE25" s="199"/>
      <c r="AF25" s="48"/>
    </row>
    <row r="26" spans="1:32" ht="21" customHeight="1" thickBot="1" x14ac:dyDescent="0.4">
      <c r="A26" s="48"/>
      <c r="B26" s="198" t="s">
        <v>5</v>
      </c>
      <c r="C26" s="198"/>
      <c r="D26" s="198"/>
      <c r="E26" s="198"/>
      <c r="F26" s="198"/>
      <c r="G26" s="198" t="s">
        <v>6</v>
      </c>
      <c r="H26" s="198"/>
      <c r="I26" s="198"/>
      <c r="J26" s="198"/>
      <c r="K26" s="198"/>
      <c r="L26" s="198" t="s">
        <v>7</v>
      </c>
      <c r="M26" s="198"/>
      <c r="N26" s="198"/>
      <c r="O26" s="198"/>
      <c r="P26" s="198"/>
      <c r="Q26" s="198" t="s">
        <v>159</v>
      </c>
      <c r="R26" s="198"/>
      <c r="S26" s="198"/>
      <c r="T26" s="198"/>
      <c r="U26" s="198"/>
      <c r="V26" s="198" t="s">
        <v>109</v>
      </c>
      <c r="W26" s="198"/>
      <c r="X26" s="198"/>
      <c r="Y26" s="198"/>
      <c r="Z26" s="198"/>
      <c r="AA26" s="207" t="s">
        <v>161</v>
      </c>
      <c r="AB26" s="198"/>
      <c r="AC26" s="198"/>
      <c r="AD26" s="198"/>
      <c r="AE26" s="198"/>
      <c r="AF26" s="48"/>
    </row>
    <row r="27" spans="1:32" ht="20.100000000000001" customHeight="1" thickBot="1" x14ac:dyDescent="0.4">
      <c r="A27" s="48"/>
      <c r="B27" s="199">
        <f>'SCOUT &amp; LOGISTICS'!AC18</f>
        <v>0</v>
      </c>
      <c r="C27" s="199"/>
      <c r="D27" s="199"/>
      <c r="E27" s="199"/>
      <c r="F27" s="199"/>
      <c r="G27" s="199">
        <f>'SCOUT &amp; LOGISTICS'!AC22</f>
        <v>0</v>
      </c>
      <c r="H27" s="199"/>
      <c r="I27" s="199"/>
      <c r="J27" s="199"/>
      <c r="K27" s="199"/>
      <c r="L27" s="199">
        <f>'SCOUT &amp; LOGISTICS'!AC23</f>
        <v>0</v>
      </c>
      <c r="M27" s="199"/>
      <c r="N27" s="199"/>
      <c r="O27" s="199"/>
      <c r="P27" s="199"/>
      <c r="Q27" s="199">
        <f>'SCOUT &amp; LOGISTICS'!AC21</f>
        <v>0</v>
      </c>
      <c r="R27" s="199"/>
      <c r="S27" s="199"/>
      <c r="T27" s="199"/>
      <c r="U27" s="199"/>
      <c r="V27" s="199">
        <f>'SCOUT &amp; LOGISTICS'!AC27</f>
        <v>0</v>
      </c>
      <c r="W27" s="199"/>
      <c r="X27" s="199"/>
      <c r="Y27" s="199"/>
      <c r="Z27" s="199"/>
      <c r="AA27" s="199">
        <f>'SCOUT &amp; LOGISTICS'!AC17+'SCOUT &amp; LOGISTICS'!AC20</f>
        <v>0</v>
      </c>
      <c r="AB27" s="199"/>
      <c r="AC27" s="199"/>
      <c r="AD27" s="199"/>
      <c r="AE27" s="199"/>
      <c r="AF27" s="48"/>
    </row>
    <row r="28" spans="1:32" ht="21" customHeight="1" thickBot="1" x14ac:dyDescent="0.4">
      <c r="A28" s="48"/>
      <c r="B28" s="198" t="s">
        <v>48</v>
      </c>
      <c r="C28" s="198"/>
      <c r="D28" s="198"/>
      <c r="E28" s="198"/>
      <c r="F28" s="198"/>
      <c r="G28" s="198" t="s">
        <v>47</v>
      </c>
      <c r="H28" s="198"/>
      <c r="I28" s="198"/>
      <c r="J28" s="198"/>
      <c r="K28" s="198"/>
      <c r="L28" s="207" t="s">
        <v>75</v>
      </c>
      <c r="M28" s="198"/>
      <c r="N28" s="198"/>
      <c r="O28" s="198"/>
      <c r="P28" s="198"/>
      <c r="Q28" s="198" t="s">
        <v>36</v>
      </c>
      <c r="R28" s="198"/>
      <c r="S28" s="198"/>
      <c r="T28" s="198"/>
      <c r="U28" s="198"/>
      <c r="V28" s="198" t="s">
        <v>76</v>
      </c>
      <c r="W28" s="198"/>
      <c r="X28" s="198"/>
      <c r="Y28" s="198"/>
      <c r="Z28" s="198"/>
      <c r="AA28" s="198" t="s">
        <v>77</v>
      </c>
      <c r="AB28" s="198"/>
      <c r="AC28" s="198"/>
      <c r="AD28" s="198"/>
      <c r="AE28" s="198"/>
      <c r="AF28" s="48"/>
    </row>
    <row r="29" spans="1:32" ht="20.100000000000001" customHeight="1" thickBot="1" x14ac:dyDescent="0.4">
      <c r="A29" s="48"/>
      <c r="B29" s="199">
        <f>'SCOUT &amp; LOGISTICS'!AC25</f>
        <v>0</v>
      </c>
      <c r="C29" s="199"/>
      <c r="D29" s="199"/>
      <c r="E29" s="199"/>
      <c r="F29" s="199"/>
      <c r="G29" s="199">
        <f>'SCOUT &amp; LOGISTICS'!AC24</f>
        <v>0</v>
      </c>
      <c r="H29" s="199"/>
      <c r="I29" s="199"/>
      <c r="J29" s="199"/>
      <c r="K29" s="199"/>
      <c r="L29" s="199">
        <f>'SCOUT &amp; LOGISTICS'!$AC$29</f>
        <v>0</v>
      </c>
      <c r="M29" s="199"/>
      <c r="N29" s="199"/>
      <c r="O29" s="199"/>
      <c r="P29" s="199"/>
      <c r="Q29" s="199">
        <f>'SCOUT &amp; LOGISTICS'!AC28</f>
        <v>0</v>
      </c>
      <c r="R29" s="199"/>
      <c r="S29" s="199"/>
      <c r="T29" s="199"/>
      <c r="U29" s="199"/>
      <c r="V29" s="199">
        <f>'SCOUT &amp; LOGISTICS'!AC19</f>
        <v>0</v>
      </c>
      <c r="W29" s="199"/>
      <c r="X29" s="199"/>
      <c r="Y29" s="199"/>
      <c r="Z29" s="199"/>
      <c r="AA29" s="199">
        <f>'SCOUT &amp; LOGISTICS'!AC26</f>
        <v>0</v>
      </c>
      <c r="AB29" s="199"/>
      <c r="AC29" s="199"/>
      <c r="AD29" s="199"/>
      <c r="AE29" s="199"/>
      <c r="AF29" s="48"/>
    </row>
    <row r="30" spans="1:32" s="48" customFormat="1" ht="17.25" thickBot="1" x14ac:dyDescent="0.4">
      <c r="B30" s="196"/>
      <c r="C30" s="196"/>
      <c r="D30" s="196"/>
      <c r="E30" s="196"/>
      <c r="F30" s="196"/>
      <c r="G30" s="196"/>
      <c r="H30" s="196"/>
      <c r="I30" s="196"/>
      <c r="J30" s="196"/>
      <c r="K30" s="196"/>
      <c r="L30" s="196"/>
      <c r="M30" s="196"/>
      <c r="N30" s="196"/>
      <c r="O30" s="196"/>
      <c r="P30" s="196"/>
      <c r="Q30" s="196"/>
      <c r="R30" s="196"/>
      <c r="S30" s="196"/>
      <c r="T30" s="196"/>
      <c r="U30" s="196"/>
      <c r="V30" s="196"/>
      <c r="W30" s="196"/>
      <c r="X30" s="196"/>
      <c r="Y30" s="196"/>
      <c r="Z30" s="196"/>
      <c r="AA30" s="196"/>
      <c r="AB30" s="196"/>
      <c r="AC30" s="196"/>
      <c r="AD30" s="196"/>
      <c r="AE30" s="196"/>
    </row>
    <row r="31" spans="1:32" s="52" customFormat="1" ht="20.100000000000001" customHeight="1" thickBot="1" x14ac:dyDescent="0.4">
      <c r="A31" s="51"/>
      <c r="B31" s="200" t="s">
        <v>80</v>
      </c>
      <c r="C31" s="200"/>
      <c r="D31" s="200"/>
      <c r="E31" s="200"/>
      <c r="F31" s="200"/>
      <c r="G31" s="200"/>
      <c r="H31" s="200"/>
      <c r="I31" s="200"/>
      <c r="J31" s="200"/>
      <c r="K31" s="200"/>
      <c r="L31" s="200"/>
      <c r="M31" s="200"/>
      <c r="N31" s="200"/>
      <c r="O31" s="200"/>
      <c r="P31" s="200"/>
      <c r="Q31" s="200"/>
      <c r="R31" s="200"/>
      <c r="S31" s="200"/>
      <c r="T31" s="200"/>
      <c r="U31" s="200"/>
      <c r="V31" s="200"/>
      <c r="W31" s="200"/>
      <c r="X31" s="200"/>
      <c r="Y31" s="200"/>
      <c r="Z31" s="200"/>
      <c r="AA31" s="200"/>
      <c r="AB31" s="200"/>
      <c r="AC31" s="200"/>
      <c r="AD31" s="200"/>
      <c r="AE31" s="200"/>
      <c r="AF31" s="51"/>
    </row>
    <row r="32" spans="1:32" ht="87.6" customHeight="1" thickBot="1" x14ac:dyDescent="0.4">
      <c r="A32" s="48"/>
      <c r="B32" s="211" t="str">
        <f>IF('SCOUT &amp; LOGISTICS'!M4="","",'SCOUT &amp; LOGISTICS'!M4)</f>
        <v>Very good job!</v>
      </c>
      <c r="C32" s="211"/>
      <c r="D32" s="211"/>
      <c r="E32" s="211"/>
      <c r="F32" s="211"/>
      <c r="G32" s="211"/>
      <c r="H32" s="211"/>
      <c r="I32" s="211"/>
      <c r="J32" s="211"/>
      <c r="K32" s="211"/>
      <c r="L32" s="211"/>
      <c r="M32" s="211"/>
      <c r="N32" s="211"/>
      <c r="O32" s="211"/>
      <c r="P32" s="211"/>
      <c r="Q32" s="211"/>
      <c r="R32" s="211"/>
      <c r="S32" s="211"/>
      <c r="T32" s="211"/>
      <c r="U32" s="211"/>
      <c r="V32" s="211"/>
      <c r="W32" s="211"/>
      <c r="X32" s="211"/>
      <c r="Y32" s="211"/>
      <c r="Z32" s="211"/>
      <c r="AA32" s="211"/>
      <c r="AB32" s="211"/>
      <c r="AC32" s="211"/>
      <c r="AD32" s="211"/>
      <c r="AE32" s="211"/>
      <c r="AF32" s="48"/>
    </row>
    <row r="33" spans="1:32" ht="20.100000000000001" customHeight="1" thickBot="1" x14ac:dyDescent="0.4">
      <c r="A33" s="48"/>
      <c r="B33" s="210"/>
      <c r="C33" s="210"/>
      <c r="D33" s="210"/>
      <c r="E33" s="210"/>
      <c r="F33" s="210"/>
      <c r="G33" s="210"/>
      <c r="H33" s="210"/>
      <c r="I33" s="210"/>
      <c r="J33" s="210"/>
      <c r="K33" s="210"/>
      <c r="L33" s="210"/>
      <c r="M33" s="210"/>
      <c r="N33" s="210"/>
      <c r="O33" s="210"/>
      <c r="P33" s="210"/>
      <c r="Q33" s="210"/>
      <c r="R33" s="210"/>
      <c r="S33" s="210"/>
      <c r="T33" s="210"/>
      <c r="U33" s="210"/>
      <c r="V33" s="210"/>
      <c r="W33" s="210"/>
      <c r="X33" s="210"/>
      <c r="Y33" s="210"/>
      <c r="Z33" s="210"/>
      <c r="AA33" s="210"/>
      <c r="AB33" s="210"/>
      <c r="AC33" s="210"/>
      <c r="AD33" s="210"/>
      <c r="AE33" s="210"/>
      <c r="AF33" s="48"/>
    </row>
    <row r="34" spans="1:32" ht="20.100000000000001" customHeight="1" thickBot="1" x14ac:dyDescent="0.4">
      <c r="A34" s="48"/>
      <c r="B34" s="200" t="s">
        <v>81</v>
      </c>
      <c r="C34" s="200"/>
      <c r="D34" s="200"/>
      <c r="E34" s="200"/>
      <c r="F34" s="200"/>
      <c r="G34" s="48"/>
      <c r="H34" s="48"/>
      <c r="I34" s="48"/>
      <c r="J34" s="48"/>
      <c r="K34" s="48"/>
      <c r="L34" s="48"/>
      <c r="M34" s="48"/>
      <c r="N34" s="48"/>
      <c r="O34" s="48"/>
      <c r="P34" s="48"/>
      <c r="Q34" s="48"/>
      <c r="R34" s="48"/>
      <c r="S34" s="48"/>
      <c r="T34" s="48"/>
      <c r="U34" s="48"/>
      <c r="V34" s="48"/>
      <c r="W34" s="48"/>
      <c r="X34" s="48"/>
      <c r="Y34" s="48"/>
      <c r="Z34" s="48"/>
      <c r="AA34" s="48"/>
      <c r="AB34" s="48"/>
      <c r="AC34" s="48"/>
      <c r="AD34" s="48"/>
      <c r="AE34" s="48"/>
      <c r="AF34" s="48"/>
    </row>
    <row r="35" spans="1:32" ht="41.25" customHeight="1" thickBot="1" x14ac:dyDescent="0.4">
      <c r="A35" s="48"/>
      <c r="B35" s="212">
        <f>'SCOUT &amp; LOGISTICS'!M7</f>
        <v>0</v>
      </c>
      <c r="C35" s="212"/>
      <c r="D35" s="212"/>
      <c r="E35" s="212"/>
      <c r="F35" s="212"/>
      <c r="G35" s="48"/>
      <c r="H35" s="48"/>
      <c r="I35" s="48"/>
      <c r="J35" s="48"/>
      <c r="K35" s="48"/>
      <c r="L35" s="48"/>
      <c r="M35" s="48"/>
      <c r="N35" s="48"/>
      <c r="O35" s="48"/>
      <c r="P35" s="48"/>
      <c r="Q35" s="48"/>
      <c r="R35" s="48"/>
      <c r="S35" s="48"/>
      <c r="T35" s="48"/>
      <c r="U35" s="48"/>
      <c r="V35" s="48"/>
      <c r="W35" s="48"/>
      <c r="X35" s="48"/>
      <c r="Y35" s="48"/>
      <c r="Z35" s="48"/>
      <c r="AA35" s="48"/>
      <c r="AB35" s="48"/>
      <c r="AC35" s="48"/>
      <c r="AD35" s="48"/>
      <c r="AE35" s="48"/>
      <c r="AF35" s="48"/>
    </row>
    <row r="36" spans="1:32" ht="11.1" customHeight="1" x14ac:dyDescent="0.35">
      <c r="A36" s="48"/>
      <c r="B36" s="194"/>
      <c r="C36" s="194"/>
      <c r="D36" s="194"/>
      <c r="E36" s="194"/>
      <c r="F36" s="194"/>
      <c r="G36" s="194"/>
      <c r="H36" s="194"/>
      <c r="I36" s="194"/>
      <c r="J36" s="194"/>
      <c r="K36" s="194"/>
      <c r="L36" s="194"/>
      <c r="M36" s="194"/>
      <c r="N36" s="194"/>
      <c r="O36" s="194"/>
      <c r="P36" s="194"/>
      <c r="Q36" s="194"/>
      <c r="R36" s="194"/>
      <c r="S36" s="194"/>
      <c r="T36" s="194"/>
      <c r="U36" s="194"/>
      <c r="V36" s="194"/>
      <c r="W36" s="194"/>
      <c r="X36" s="194"/>
      <c r="Y36" s="194"/>
      <c r="Z36" s="194"/>
      <c r="AA36" s="194"/>
      <c r="AB36" s="194"/>
      <c r="AC36" s="194"/>
      <c r="AD36" s="194"/>
      <c r="AE36" s="194"/>
      <c r="AF36" s="48"/>
    </row>
  </sheetData>
  <sheetProtection algorithmName="SHA-512" hashValue="KYjs3UbCBMVzqruL4Nbq/9Q6XwH5AzfZYPonAL7uosobAsvXNgu99bNS00NA5GLTbcqrSUqQhNYh0XcTbuC+bw==" saltValue="ZJeV0uctt+VQU9866py/Ug==" spinCount="100000" sheet="1" selectLockedCells="1"/>
  <mergeCells count="93">
    <mergeCell ref="B31:AE31"/>
    <mergeCell ref="B32:AE32"/>
    <mergeCell ref="B34:F34"/>
    <mergeCell ref="B35:F35"/>
    <mergeCell ref="Z22:AE22"/>
    <mergeCell ref="B22:G22"/>
    <mergeCell ref="H22:M22"/>
    <mergeCell ref="N22:S22"/>
    <mergeCell ref="T22:Y22"/>
    <mergeCell ref="AA28:AE28"/>
    <mergeCell ref="B27:F27"/>
    <mergeCell ref="G27:K27"/>
    <mergeCell ref="L27:P27"/>
    <mergeCell ref="Q27:U27"/>
    <mergeCell ref="V27:Z27"/>
    <mergeCell ref="AA27:AE27"/>
    <mergeCell ref="B21:G21"/>
    <mergeCell ref="H21:M21"/>
    <mergeCell ref="N21:S21"/>
    <mergeCell ref="T21:Y21"/>
    <mergeCell ref="Z21:AE21"/>
    <mergeCell ref="B2:AE2"/>
    <mergeCell ref="B9:AE9"/>
    <mergeCell ref="B14:AE14"/>
    <mergeCell ref="B30:AE30"/>
    <mergeCell ref="B33:AE33"/>
    <mergeCell ref="B29:F29"/>
    <mergeCell ref="G29:K29"/>
    <mergeCell ref="L29:P29"/>
    <mergeCell ref="Q29:U29"/>
    <mergeCell ref="V29:Z29"/>
    <mergeCell ref="AA29:AE29"/>
    <mergeCell ref="B28:F28"/>
    <mergeCell ref="G28:K28"/>
    <mergeCell ref="L28:P28"/>
    <mergeCell ref="Q28:U28"/>
    <mergeCell ref="V28:Z28"/>
    <mergeCell ref="B24:P24"/>
    <mergeCell ref="Q24:AE24"/>
    <mergeCell ref="B25:P25"/>
    <mergeCell ref="Q25:AE25"/>
    <mergeCell ref="B26:F26"/>
    <mergeCell ref="G26:K26"/>
    <mergeCell ref="L26:P26"/>
    <mergeCell ref="Q26:U26"/>
    <mergeCell ref="V26:Z26"/>
    <mergeCell ref="AA26:AE26"/>
    <mergeCell ref="B17:K17"/>
    <mergeCell ref="L17:U17"/>
    <mergeCell ref="V17:AE17"/>
    <mergeCell ref="B15:AE15"/>
    <mergeCell ref="B16:K16"/>
    <mergeCell ref="L16:U16"/>
    <mergeCell ref="V16:AE16"/>
    <mergeCell ref="V8:Z8"/>
    <mergeCell ref="AA8:AE8"/>
    <mergeCell ref="B13:G13"/>
    <mergeCell ref="H13:M13"/>
    <mergeCell ref="N13:S13"/>
    <mergeCell ref="T13:Y13"/>
    <mergeCell ref="Z13:AE13"/>
    <mergeCell ref="B12:G12"/>
    <mergeCell ref="H12:M12"/>
    <mergeCell ref="N12:S12"/>
    <mergeCell ref="T12:Y12"/>
    <mergeCell ref="Z12:AE12"/>
    <mergeCell ref="B10:AE10"/>
    <mergeCell ref="B3:AE3"/>
    <mergeCell ref="B4:AE4"/>
    <mergeCell ref="B7:F7"/>
    <mergeCell ref="G7:K7"/>
    <mergeCell ref="L7:P7"/>
    <mergeCell ref="Q7:U7"/>
    <mergeCell ref="V7:Z7"/>
    <mergeCell ref="AA7:AE7"/>
    <mergeCell ref="B5:P5"/>
    <mergeCell ref="Q5:AE5"/>
    <mergeCell ref="B36:AE36"/>
    <mergeCell ref="B23:AE23"/>
    <mergeCell ref="B18:AE18"/>
    <mergeCell ref="B6:P6"/>
    <mergeCell ref="Q6:AE6"/>
    <mergeCell ref="B19:K19"/>
    <mergeCell ref="L19:U19"/>
    <mergeCell ref="V19:AE19"/>
    <mergeCell ref="B20:K20"/>
    <mergeCell ref="L20:U20"/>
    <mergeCell ref="V20:AE20"/>
    <mergeCell ref="B11:AE11"/>
    <mergeCell ref="B8:F8"/>
    <mergeCell ref="G8:K8"/>
    <mergeCell ref="L8:P8"/>
    <mergeCell ref="Q8:U8"/>
  </mergeCells>
  <printOptions horizontalCentered="1" verticalCentered="1"/>
  <pageMargins left="1E-3" right="1E-3" top="1E-3" bottom="1E-3" header="1E-3" footer="1E-3"/>
  <pageSetup paperSize="9" scale="98" orientation="portrait" cellComments="atEnd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" id="{B84F9546-563F-4CC4-A609-52BA7ECB400E}">
            <xm:f>LEFT('SCOUT &amp; LOGISTICS'!$B$2,1)="E"</xm:f>
            <x14:dxf>
              <fill>
                <patternFill>
                  <bgColor rgb="FF0C2D53"/>
                </patternFill>
              </fill>
            </x14:dxf>
          </x14:cfRule>
          <x14:cfRule type="expression" priority="2" id="{D9E11156-7316-4063-9AB9-BB34D48A2959}">
            <xm:f>LEFT('SCOUT &amp; LOGISTICS'!$B$2,1)="U"</xm:f>
            <x14:dxf>
              <fill>
                <patternFill>
                  <bgColor rgb="FF0C2D53"/>
                </patternFill>
              </fill>
            </x14:dxf>
          </x14:cfRule>
          <xm:sqref>B3:AE3</xm:sqref>
        </x14:conditionalFormatting>
      </x14:conditionalFormattings>
    </ext>
  </extLs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54eaeb27-407e-4594-8513-05236ac1c663" xsi:nil="true"/>
    <lcf76f155ced4ddcb4097134ff3c332f xmlns="1694b618-8e81-416b-aa01-0d9b54a17456">
      <Terms xmlns="http://schemas.microsoft.com/office/infopath/2007/PartnerControls"/>
    </lcf76f155ced4ddcb4097134ff3c332f>
  </documentManagement>
</p:properti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o" ma:contentTypeID="0x0101008E90A9502D2DBE448A9AAF14207EB784" ma:contentTypeVersion="13" ma:contentTypeDescription="Crear nuevo documento." ma:contentTypeScope="" ma:versionID="852fe9ee1a3e76b961a3a564b5cab3cd">
  <xsd:schema xmlns:xsd="http://www.w3.org/2001/XMLSchema" xmlns:xs="http://www.w3.org/2001/XMLSchema" xmlns:p="http://schemas.microsoft.com/office/2006/metadata/properties" xmlns:ns2="1694b618-8e81-416b-aa01-0d9b54a17456" xmlns:ns3="54eaeb27-407e-4594-8513-05236ac1c663" targetNamespace="http://schemas.microsoft.com/office/2006/metadata/properties" ma:root="true" ma:fieldsID="954069cb0d0ad98d6bfaa71528164d31" ns2:_="" ns3:_="">
    <xsd:import namespace="1694b618-8e81-416b-aa01-0d9b54a17456"/>
    <xsd:import namespace="54eaeb27-407e-4594-8513-05236ac1c663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  <xsd:element ref="ns2:MediaServiceDateTaken" minOccurs="0"/>
                <xsd:element ref="ns2:MediaServiceGenerationTime" minOccurs="0"/>
                <xsd:element ref="ns2:MediaServiceEventHashCode" minOccurs="0"/>
                <xsd:element ref="ns2:MediaLengthInSeconds" minOccurs="0"/>
                <xsd:element ref="ns2:MediaServiceLocation" minOccurs="0"/>
                <xsd:element ref="ns2:lcf76f155ced4ddcb4097134ff3c332f" minOccurs="0"/>
                <xsd:element ref="ns3:TaxCatchAll" minOccurs="0"/>
                <xsd:element ref="ns2:MediaServiceOCR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1694b618-8e81-416b-aa01-0d9b54a17456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DateTaken" ma:index="12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GenerationTime" ma:index="13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4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5" nillable="true" ma:displayName="MediaLengthInSeconds" ma:hidden="true" ma:internalName="MediaLengthInSeconds" ma:readOnly="true">
      <xsd:simpleType>
        <xsd:restriction base="dms:Unknown"/>
      </xsd:simpleType>
    </xsd:element>
    <xsd:element name="MediaServiceLocation" ma:index="16" nillable="true" ma:displayName="Location" ma:indexed="true" ma:internalName="MediaServiceLocation" ma:readOnly="true">
      <xsd:simpleType>
        <xsd:restriction base="dms:Text"/>
      </xsd:simpleType>
    </xsd:element>
    <xsd:element name="lcf76f155ced4ddcb4097134ff3c332f" ma:index="18" nillable="true" ma:taxonomy="true" ma:internalName="lcf76f155ced4ddcb4097134ff3c332f" ma:taxonomyFieldName="MediaServiceImageTags" ma:displayName="Etiquetas de imagen" ma:readOnly="false" ma:fieldId="{5cf76f15-5ced-4ddc-b409-7134ff3c332f}" ma:taxonomyMulti="true" ma:sspId="0d88c1d5-428c-4adc-b7fe-e86a3fdedba2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CR" ma:index="20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54eaeb27-407e-4594-8513-05236ac1c663" elementFormDefault="qualified">
    <xsd:import namespace="http://schemas.microsoft.com/office/2006/documentManagement/types"/>
    <xsd:import namespace="http://schemas.microsoft.com/office/infopath/2007/PartnerControls"/>
    <xsd:element name="TaxCatchAll" ma:index="19" nillable="true" ma:displayName="Taxonomy Catch All Column" ma:hidden="true" ma:list="{c1162470-e87c-4419-af35-9dd6436f391e}" ma:internalName="TaxCatchAll" ma:showField="CatchAllData" ma:web="54eaeb27-407e-4594-8513-05236ac1c663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ipo de contenido"/>
        <xsd:element ref="dc:title" minOccurs="0" maxOccurs="1" ma:index="4" ma:displayName="Título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8CBCB53B-A858-427C-A591-1423614CB686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0790215B-771B-41AB-9700-2DC78BADF038}">
  <ds:schemaRefs>
    <ds:schemaRef ds:uri="http://schemas.microsoft.com/office/2006/metadata/properties"/>
    <ds:schemaRef ds:uri="http://schemas.microsoft.com/office/infopath/2007/PartnerControls"/>
  </ds:schemaRefs>
</ds:datastoreItem>
</file>

<file path=customXml/itemProps3.xml><?xml version="1.0" encoding="utf-8"?>
<ds:datastoreItem xmlns:ds="http://schemas.openxmlformats.org/officeDocument/2006/customXml" ds:itemID="{5DBDE390-47F0-4946-906F-CAA8D07598D5}"/>
</file>

<file path=docMetadata/LabelInfo.xml><?xml version="1.0" encoding="utf-8"?>
<clbl:labelList xmlns:clbl="http://schemas.microsoft.com/office/2020/mipLabelMetadata">
  <clbl:label id="{2b3d64f0-3295-4297-9f15-28435f0a62ce}" enabled="0" method="" siteId="{2b3d64f0-3295-4297-9f15-28435f0a62ce}" removed="1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SCOUT &amp; LOGISTICS</vt:lpstr>
      <vt:lpstr>Teams</vt:lpstr>
      <vt:lpstr>GAMES</vt:lpstr>
      <vt:lpstr>json</vt:lpstr>
      <vt:lpstr>Report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Propietario</dc:creator>
  <cp:lastModifiedBy>Mario Enjuanes</cp:lastModifiedBy>
  <cp:lastPrinted>2025-10-09T17:11:09Z</cp:lastPrinted>
  <dcterms:created xsi:type="dcterms:W3CDTF">2023-09-19T19:50:35Z</dcterms:created>
  <dcterms:modified xsi:type="dcterms:W3CDTF">2025-10-09T17:19:42Z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0x0101008E90A9502D2DBE448A9AAF14207EB784</vt:lpwstr>
  </property>
</Properties>
</file>