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BD901197-4FA6-4C99-9000-3A2D09D7F69E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<sst xmlns="http://schemas.openxmlformats.org/spreadsheetml/2006/main" count="3245" uniqueCount="756">
  <si>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</si>
  <si>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</si>
  <si>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</si>
  <si>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</si>
  <si>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</si>
  <si>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</si>
  <si>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</si>
  <si>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</si>
  <si>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</si>
  <si>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</si>
  <si>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</si>
  <si>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</si>
  <si>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</si>
  <si>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</si>
  <si>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</si>
  <si>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</si>
  <si>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</si>
  <si>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</si>
  <si>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</si>
  <si>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</si>
  <si>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</si>
  <si>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</si>
  <si>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</si>
  <si>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</si>
  <si>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</si>
  <si>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</si>
  <si>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</si>
  <si>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</si>
  <si>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</si>
  <si>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</si>
  <si>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</si>
  <si>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</si>
  <si>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</si>
  <si>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</si>
  <si>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</si>
  <si>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</si>
  <si>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</si>
  <si>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</si>
  <si>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</si>
  <si>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</si>
  <si>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</si>
  <si>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</si>
  <si>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</si>
  <si>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</si>
  <si>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</si>
  <si>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</si>
  <si>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</si>
  <si>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</si>
  <si>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</si>
  <si>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</si>
  <si>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</si>
  <si>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</si>
  <si>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</si>
  <si>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</si>
  <si>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</si>
  <si>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</si>
  <si>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</si>
  <si>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</si>
  <si>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</si>
  <si>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</si>
  <si>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</si>
  <si>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</si>
  <si>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</si>
  <si>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</si>
  <si>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</si>
  <si>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</si>
  <si>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</si>
  <si>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</si>
  <si>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</si>
  <si>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</si>
  <si>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</si>
  <si>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</si>
  <si>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</si>
  <si>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</si>
  <si>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</si>
  <si>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</si>
  <si>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</si>
  <si>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</si>
  <si>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</si>
  <si>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</si>
  <si>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</si>
  <si>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</si>
  <si>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</si>
  <si>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</si>
  <si>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</si>
  <si>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</si>
  <si>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</si>
  <si>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</si>
  <si>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</si>
  <si>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</si>
  <si>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</si>
  <si>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</si>
  <si>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</si>
  <si>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</si>
  <si>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</si>
  <si>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</si>
  <si>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</si>
  <si>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</si>
  <si>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</si>
  <si>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</si>
  <si>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</si>
  <si>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</si>
  <si>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</si>
  <si>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</si>
  <si>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</si>
  <si>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</si>
  <si>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</si>
  <si>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</si>
  <si>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</si>
  <si>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</si>
  <si>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</si>
  <si>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</si>
  <si>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</si>
  <si>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</si>
  <si>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</si>
  <si>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</si>
  <si>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</si>
  <si>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</si>
  <si>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</si>
  <si>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</si>
  <si>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</si>
  <si>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</si>
  <si>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</si>
  <si>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</si>
  <si>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</si>
  <si>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</si>
  <si>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</si>
  <si>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</si>
  <si>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</si>
  <si>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</si>
  <si>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</si>
  <si>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</si>
  <si>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</si>
  <si>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</si>
  <si>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</si>
  <si>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</si>
  <si>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</si>
  <si>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</si>
  <si>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</si>
  <si>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</si>
  <si>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</si>
  <si>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</si>
  <si>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</si>
  <si>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</si>
  <si>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</si>
  <si>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</si>
  <si>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</si>
  <si>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</si>
  <si>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</si>
  <si>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</si>
  <si>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</si>
  <si>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</si>
  <si>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</si>
  <si>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</si>
  <si>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</si>
  <si>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</si>
  <si>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</si>
  <si>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</si>
  <si>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</si>
  <si>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</si>
  <si>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</si>
  <si>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</si>
  <si>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</si>
  <si>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</si>
  <si>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</si>
  <si>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</si>
  <si>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</si>
  <si>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</si>
  <si>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</si>
  <si>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</si>
  <si>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</si>
  <si>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</si>
  <si>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</si>
  <si>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</si>
  <si>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</si>
  <si>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</si>
  <si>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</si>
  <si>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</si>
  <si>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</si>
  <si>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</si>
  <si>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</si>
  <si>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</si>
  <si>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</si>
  <si>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</si>
  <si>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</si>
  <si>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</si>
  <si>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</si>
  <si>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</si>
  <si>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</si>
  <si>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</si>
  <si>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</si>
  <si>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</si>
  <si>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</si>
  <si>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</si>
  <si>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</si>
  <si>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</si>
  <si>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</si>
  <si>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</si>
  <si>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</si>
  <si>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</si>
  <si>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</si>
  <si>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</si>
  <si>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</si>
  <si>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</si>
  <si>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</si>
  <si>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</si>
  <si>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</si>
  <si>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</si>
  <si>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</si>
  <si>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</si>
  <si>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</si>
  <si>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</si>
  <si>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</si>
  <si>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</si>
  <si>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</si>
  <si>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</si>
  <si>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</si>
  <si>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</si>
  <si>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</si>
  <si>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</si>
  <si>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</si>
  <si>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</si>
  <si>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</si>
  <si>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</si>
  <si>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</si>
  <si>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</si>
  <si>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</si>
  <si>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</si>
  <si>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</si>
  <si>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</si>
  <si>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</si>
  <si>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</si>
  <si>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</si>
  <si>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</si>
  <si>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</si>
  <si>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</si>
  <si>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</si>
  <si>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</si>
  <si>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</si>
  <si>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</si>
  <si>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</si>
  <si>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</si>
  <si>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</si>
  <si>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</si>
  <si>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</si>
  <si>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</si>
  <si>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</si>
  <si>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</si>
  <si>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</si>
  <si>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</si>
  <si>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</si>
  <si>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</si>
  <si>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</si>
  <si>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</si>
  <si>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</si>
  <si>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</si>
  <si>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</si>
  <si>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</si>
  <si>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</si>
  <si>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</si>
  <si>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</si>
  <si>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</si>
  <si>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</si>
  <si>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</si>
  <si>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</si>
  <si>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</si>
  <si>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</si>
  <si>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</si>
  <si>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</si>
  <si>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</si>
  <si>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</si>
  <si>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</si>
  <si>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</si>
  <si>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</si>
  <si>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</si>
  <si>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</si>
  <si>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</si>
  <si>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</si>
  <si>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</si>
  <si>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</si>
  <si>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</si>
  <si>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</si>
  <si>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</si>
  <si>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</si>
  <si>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</si>
  <si>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</si>
  <si>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</si>
  <si>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</si>
  <si>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</si>
  <si>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</si>
  <si>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</si>
  <si>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</si>
  <si>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</si>
  <si>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</si>
  <si>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</si>
  <si>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</si>
  <si>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</si>
  <si>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</si>
  <si>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</si>
  <si>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</si>
  <si>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</si>
  <si>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</si>
  <si>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</si>
  <si>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</si>
  <si>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</si>
  <si>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</si>
  <si>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</si>
  <si>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</si>
  <si>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</si>
  <si>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</si>
  <si>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</si>
  <si>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</si>
  <si>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</si>
  <si>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</si>
  <si>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</si>
  <si>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</si>
  <si>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</si>
  <si>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</si>
  <si>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</si>
  <si>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</si>
  <si>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</si>
  <si>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</si>
  <si>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</si>
  <si>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</si>
  <si>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</si>
  <si>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</si>
  <si>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</si>
  <si>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</si>
  <si>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</si>
  <si>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</si>
  <si>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</si>
  <si>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</si>
  <si>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</si>
  <si>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</si>
  <si>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</si>
  <si>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</si>
  <si>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</si>
  <si>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</si>
  <si>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</si>
  <si>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</si>
  <si>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</si>
  <si>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</si>
  <si>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</si>
  <si>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</si>
  <si>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</si>
  <si>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</si>
  <si>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</si>
  <si>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</si>
  <si>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</si>
  <si>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</si>
  <si>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</si>
  <si>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</si>
  <si>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</si>
  <si>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</si>
  <si>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</si>
  <si>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</si>
  <si>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</si>
  <si>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</si>
  <si>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</si>
  <si>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</si>
  <si>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</si>
  <si>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</si>
  <si>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</si>
  <si>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</si>
  <si>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</si>
  <si>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</si>
  <si>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</si>
  <si>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</si>
  <si>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</si>
  <si>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</si>
  <si>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</si>
  <si>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</si>
  <si>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</si>
  <si>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</si>
  <si>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</si>
  <si>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</si>
  <si>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</si>
  <si>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</si>
  <si>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</si>
  <si>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</si>
  <si>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</si>
  <si>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</si>
  <si>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</si>
  <si>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</si>
  <si>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</si>
  <si>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</si>
  <si>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</si>
  <si>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</si>
  <si>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</si>
  <si>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</si>
  <si>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</si>
  <si>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</si>
  <si>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</si>
  <si>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</si>
  <si>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</si>
  <si>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</si>
  <si>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</si>
  <si>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</si>
  <si>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</si>
  <si>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</si>
  <si>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</si>
  <si>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</si>
  <si>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</si>
  <si>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</si>
  <si>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</si>
  <si>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</si>
  <si>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</si>
  <si>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</si>
  <si>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</si>
  <si>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</si>
  <si>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</si>
  <si>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</si>
  <si>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</si>
  <si>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</si>
  <si>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</si>
  <si>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</si>
  <si>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</si>
  <si>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</si>
  <si>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</si>
  <si>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</si>
  <si>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</si>
  <si>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</si>
  <si>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</si>
  <si>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</si>
  <si>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</si>
  <si>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</si>
  <si>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</si>
  <si>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</si>
  <si>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</si>
  <si>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</si>
  <si>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</si>
  <si>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</si>
  <si>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</si>
  <si>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</si>
  <si>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</si>
  <si>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</si>
  <si>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</si>
  <si>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</si>
  <si>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</si>
  <si>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</si>
  <si>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</si>
  <si>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</si>
  <si>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</si>
  <si>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</si>
  <si>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</si>
  <si>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</si>
  <si>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</si>
  <si>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</si>
  <si>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</si>
  <si>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</si>
  <si>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</si>
  <si>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</si>
  <si>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</si>
  <si>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</si>
  <si>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</si>
  <si>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</si>
  <si>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</si>
  <si>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</si>
  <si>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</si>
  <si>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</si>
  <si>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</si>
  <si>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</si>
  <si>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</si>
  <si>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</si>
  <si>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</si>
  <si>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</si>
  <si>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</si>
  <si>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</si>
  <si>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</si>
  <si>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</si>
  <si>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</si>
  <si>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</si>
  <si>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</si>
  <si>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</si>
  <si>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</si>
  <si>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</si>
  <si>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</si>
  <si>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</si>
  <si>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</si>
  <si>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</si>
  <si>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</si>
  <si>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</si>
  <si>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</si>
  <si>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</si>
  <si>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</si>
  <si>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</si>
  <si>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</si>
  <si>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</si>
  <si>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</si>
  <si>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</si>
  <si>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</si>
  <si>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</si>
  <si>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</si>
  <si>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</si>
  <si>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</si>
  <si>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</si>
  <si>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</si>
  <si>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</si>
  <si>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</si>
  <si>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</si>
  <si>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</si>
  <si>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</si>
  <si>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</si>
  <si>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</si>
  <si>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</si>
  <si>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</si>
  <si>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</si>
  <si>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</si>
  <si>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</si>
  <si>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</si>
  <si>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</si>
  <si>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</si>
  <si>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</si>
  <si>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</si>
  <si>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</si>
  <si>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</si>
  <si>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</si>
  <si>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</si>
  <si>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</si>
  <si>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</si>
  <si>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</si>
  <si>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</si>
  <si>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</si>
  <si>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</si>
  <si>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</si>
  <si>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</si>
  <si>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</si>
  <si>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</si>
  <si>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</si>
  <si>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</si>
  <si>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</si>
  <si>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</si>
  <si>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</si>
  <si>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</si>
  <si>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</si>
  <si>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</si>
  <si>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</si>
  <si>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</si>
  <si>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</si>
  <si>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</si>
  <si>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</si>
  <si>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</si>
  <si>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</si>
  <si>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</si>
  <si>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</si>
  <si>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</si>
  <si>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</si>
  <si>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</si>
  <si>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</si>
  <si>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</si>
  <si>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</si>
  <si>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</si>
  <si>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</si>
  <si>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</si>
  <si>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</si>
  <si>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</si>
  <si>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</si>
  <si>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</si>
  <si>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</si>
  <si>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</si>
  <si>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</si>
  <si>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</si>
  <si>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</si>
  <si>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</si>
  <si>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</si>
  <si>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</si>
  <si>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</si>
  <si>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</si>
  <si>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</si>
  <si>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</si>
  <si>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</si>
  <si>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</si>
  <si>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</si>
  <si>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</si>
  <si>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</si>
  <si>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</si>
  <si>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</si>
  <si>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</si>
  <si>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</si>
  <si>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</si>
  <si>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</si>
  <si>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</si>
  <si>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</si>
  <si>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</si>
  <si>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</si>
  <si>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</si>
  <si>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</si>
  <si>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</si>
  <si>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</si>
  <si>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</si>
  <si>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</si>
  <si>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</si>
  <si>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</si>
  <si>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</si>
  <si>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</si>
  <si>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</si>
  <si>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</si>
  <si>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</si>
  <si>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</si>
  <si>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</si>
  <si>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</si>
  <si>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</si>
  <si>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</si>
  <si>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</si>
  <si>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</si>
  <si>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</si>
  <si>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</si>
  <si>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</si>
  <si>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</si>
  <si>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</si>
  <si>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</si>
  <si>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</si>
  <si>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</si>
  <si>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</si>
  <si>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</si>
  <si>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</si>
  <si>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</si>
  <si>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</si>
  <si>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</si>
  <si>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</si>
  <si>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</si>
  <si>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</si>
  <si>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</si>
  <si>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</si>
  <si>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</si>
  <si>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</si>
  <si>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</si>
  <si>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</si>
  <si>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</si>
  <si>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</si>
  <si>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</si>
  <si>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</si>
  <si>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</si>
  <si>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</si>
  <si>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</si>
  <si>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</si>
  <si>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</si>
  <si>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</si>
  <si>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</si>
  <si>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</si>
  <si>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</si>
  <si>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</si>
  <si>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</si>
  <si>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</si>
  <si>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</si>
  <si>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</si>
  <si>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</si>
  <si>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</si>
  <si>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</si>
  <si>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</si>
  <si>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</si>
  <si>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</si>
  <si>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</si>
  <si>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</si>
  <si>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</si>
  <si>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</si>
  <si>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</si>
  <si>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</si>
  <si>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</si>
  <si>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</si>
  <si>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</si>
  <si>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</si>
  <si>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</si>
  <si>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</si>
  <si>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</si>
  <si>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</si>
  <si>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</si>
  <si>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</si>
  <si>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</si>
  <si>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</si>
  <si>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</si>
  <si>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</si>
  <si>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</si>
  <si>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</si>
  <si>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</si>
  <si>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</si>
  <si>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</si>
  <si>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</si>
  <si>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</si>
  <si>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</si>
  <si>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</si>
  <si>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</si>
  <si>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</si>
  <si>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</si>
  <si>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</si>
  <si>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</si>
  <si>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</si>
  <si>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</si>
  <si>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</si>
  <si>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</si>
  <si>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</si>
  <si>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</si>
  <si>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</si>
  <si>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</si>
  <si>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</si>
  <si>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</si>
  <si>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</si>
  <si>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</si>
  <si>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</si>
  <si>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</si>
  <si>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</si>
  <si>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</si>
  <si>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</si>
  <si>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</si>
  <si>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</si>
  <si>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</si>
  <si>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</si>
  <si>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</si>
  <si>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</si>
  <si>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</si>
  <si>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</si>
  <si>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</si>
  <si>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</si>
  <si>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</si>
  <si>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</si>
  <si>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</si>
  <si>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</si>
  <si>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</si>
  <si>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</si>
  <si>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</si>
  <si>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</si>
  <si>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</si>
  <si>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</si>
  <si>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</si>
  <si>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</si>
  <si>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</si>
  <si>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</si>
  <si>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</si>
  <si>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</si>
  <si>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</si>
  <si>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</si>
  <si>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</si>
  <si>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</si>
  <si>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</si>
  <si>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</si>
  <si>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</si>
  <si>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</si>
  <si>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</si>
  <si>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</si>
  <si>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</si>
  <si>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</si>
  <si>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</si>
  <si>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</si>
  <si>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</si>
  <si>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</si>
  <si>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</si>
  <si>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</si>
  <si>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</si>
  <si>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</si>
  <si>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</si>
  <si>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MILOS ANTONIJEVIC</t>
  </si>
  <si>
    <t>SONJA STANKOVIC</t>
  </si>
  <si>
    <t>JELENA RASINAC</t>
  </si>
  <si>
    <t>JOVANA KRIVOKUCA-MILOVANOVIC</t>
  </si>
  <si>
    <t>OSCAR CUESTA</t>
  </si>
  <si>
    <t>Perfect, guys! Hvala, and great to see you 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</si>
</sst>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30_294_PAR_DUB_E2025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294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46086.854166666664</v>
      </c>
      <c r="C3" s="157"/>
      <c r="D3" s="39">
        <v>552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747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746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294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REPORT_E2025294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"E2025294"</v>
      </c>
      <c r="F3" s="45" t="str">
        <f t="shared" ref="F3:F16" si="0">""""&amp;B3&amp;"""" &amp; " : " &amp;C3&amp;","</f>
        <v>"name" : "E2025294",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"E294"</v>
      </c>
      <c r="F4" s="45" t="str">
        <f t="shared" si="0"/>
        <v>"cod" : "E294",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294</v>
      </c>
      <c r="F6" s="45" t="str">
        <f t="shared" si="0"/>
        <v>"number" : 294,</v>
      </c>
    </row>
    <row r="7" spans="2:6" x14ac:dyDescent="0.25">
      <c r="B7" s="43" t="s">
        <v>116</v>
      </c>
      <c r="C7" s="43" t="str">
        <f ca="1">""""&amp;TEXT('SCOUT &amp; LOGISTICS'!B3,"dd/mm/aaaa")&amp;""""</f>
        <v>"05/03/2026"</v>
      </c>
      <c r="F7" s="45" t="str">
        <f t="shared" ca="1" si="0"/>
        <v>"date" : "05/03/2026",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"MILOS ANTONIJEVIC"</v>
      </c>
      <c r="F11" s="45" t="str">
        <f t="shared" si="0"/>
        <v>"Caller_1" : "MILOS ANTONIJEVIC",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"IVANA VASILJEVIC"</v>
      </c>
      <c r="F12" s="45" t="str">
        <f t="shared" si="0"/>
        <v>"Caller_2" : "IVANA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552</v>
      </c>
      <c r="F25" s="45" t="str">
        <f t="shared" ref="F25:F48" si="1">""""&amp;C25&amp;"""" &amp; " : " &amp;D25&amp;","</f>
        <v>"total_actions" : 552,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"0,0%"</v>
      </c>
      <c r="F27" s="45" t="str">
        <f t="shared" si="1"/>
        <v>"%_corrections" : "0,0%",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"Perfect, guys! Hvala, and great to see you back"</v>
      </c>
      <c r="F51" s="45" t="str">
        <f>""""&amp;B51&amp;"""" &amp; " : " &amp;C51&amp;","</f>
        <v>"comments" : "Perfect, guys! Hvala, and great to see you back",</v>
      </c>
    </row>
    <row r="52" spans="2:6" x14ac:dyDescent="0.25">
      <c r="B52" s="43" t="s">
        <v>153</v>
      </c>
      <c r="C52" s="43" t="str">
        <f>TEXT('SCOUT &amp; LOGISTICS'!F1,"0,0")</f>
        <v>30_294_PAR_DUB_E2025</v>
      </c>
      <c r="F52" s="45" t="str">
        <f>""""&amp;B52&amp;"""" &amp; " : " &amp;C52</f>
        <v>"result" : 30_294_PAR_DUB_E2025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E294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05/03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MILOS ANTONIJEVIC</v>
      </c>
      <c r="H8" s="206"/>
      <c r="I8" s="206"/>
      <c r="J8" s="206"/>
      <c r="K8" s="206"/>
      <c r="L8" s="206" t="str">
        <f>IF('SCOUT &amp; LOGISTICS'!D8="","",'SCOUT &amp; LOGISTICS'!D8)</f>
        <v>IVANA VASILJEVIC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552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Perfect, guys! Hvala, and great to see you back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DBDE390-47F0-4946-906F-CAA8D07598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2026-03-17T21:12:37Z</cp:lastPrinted>
  <dcterms:created xsi:type="dcterms:W3CDTF">2023-09-19T19:50:35Z</dcterms:created>
  <dcterms:modified xsi:type="dcterms:W3CDTF">2026-03-17T21:12:41Z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