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EF144564-BCD8-4B03-BBE1-D20EFA25ACF0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<sst xmlns="http://schemas.openxmlformats.org/spreadsheetml/2006/main" count="3267" uniqueCount="764">
  <si>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</si>
  <si>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</si>
  <si>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</si>
  <si>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</si>
  <si>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</si>
  <si>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</si>
  <si>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</si>
  <si>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</si>
  <si>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</si>
  <si>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</si>
  <si>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</si>
  <si>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</si>
  <si>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</si>
  <si>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</si>
  <si>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</si>
  <si>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</si>
  <si>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</si>
  <si>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</si>
  <si>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</si>
  <si>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</si>
  <si>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</si>
  <si>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</si>
  <si>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</si>
  <si>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</si>
  <si>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</si>
  <si>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</si>
  <si>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</si>
  <si>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</si>
  <si>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</si>
  <si>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</si>
  <si>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</si>
  <si>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</si>
  <si>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</si>
  <si>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</si>
  <si>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</si>
  <si>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</si>
  <si>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</si>
  <si>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</si>
  <si>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</si>
  <si>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</si>
  <si>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</si>
  <si>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</si>
  <si>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</si>
  <si>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</si>
  <si>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</si>
  <si>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</si>
  <si>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</si>
  <si>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</si>
  <si>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</si>
  <si>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</si>
  <si>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</si>
  <si>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</si>
  <si>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</si>
  <si>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</si>
  <si>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</si>
  <si>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</si>
  <si>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</si>
  <si>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</si>
  <si>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</si>
  <si>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</si>
  <si>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</si>
  <si>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</si>
  <si>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</si>
  <si>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</si>
  <si>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</si>
  <si>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</si>
  <si>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</si>
  <si>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</si>
  <si>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</si>
  <si>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</si>
  <si>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</si>
  <si>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</si>
  <si>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</si>
  <si>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</si>
  <si>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</si>
  <si>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</si>
  <si>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</si>
  <si>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</si>
  <si>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</si>
  <si>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</si>
  <si>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</si>
  <si>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</si>
  <si>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</si>
  <si>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</si>
  <si>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</si>
  <si>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</si>
  <si>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</si>
  <si>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</si>
  <si>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</si>
  <si>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</si>
  <si>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</si>
  <si>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</si>
  <si>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</si>
  <si>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</si>
  <si>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</si>
  <si>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</si>
  <si>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</si>
  <si>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</si>
  <si>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</si>
  <si>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</si>
  <si>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</si>
  <si>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</si>
  <si>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</si>
  <si>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</si>
  <si>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</si>
  <si>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</si>
  <si>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</si>
  <si>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</si>
  <si>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</si>
  <si>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</si>
  <si>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</si>
  <si>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</si>
  <si>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</si>
  <si>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</si>
  <si>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</si>
  <si>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</si>
  <si>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</si>
  <si>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</si>
  <si>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</si>
  <si>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</si>
  <si>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</si>
  <si>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</si>
  <si>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</si>
  <si>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</si>
  <si>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</si>
  <si>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</si>
  <si>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</si>
  <si>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</si>
  <si>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</si>
  <si>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</si>
  <si>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</si>
  <si>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</si>
  <si>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</si>
  <si>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</si>
  <si>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</si>
  <si>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</si>
  <si>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</si>
  <si>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</si>
  <si>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</si>
  <si>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</si>
  <si>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</si>
  <si>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</si>
  <si>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</si>
  <si>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</si>
  <si>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</si>
  <si>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</si>
  <si>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</si>
  <si>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</si>
  <si>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</si>
  <si>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</si>
  <si>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</si>
  <si>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</si>
  <si>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</si>
  <si>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</si>
  <si>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</si>
  <si>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</si>
  <si>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</si>
  <si>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</si>
  <si>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</si>
  <si>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</si>
  <si>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</si>
  <si>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</si>
  <si>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</si>
  <si>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</si>
  <si>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</si>
  <si>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</si>
  <si>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</si>
  <si>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</si>
  <si>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</si>
  <si>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</si>
  <si>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</si>
  <si>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</si>
  <si>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</si>
  <si>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</si>
  <si>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</si>
  <si>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</si>
  <si>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</si>
  <si>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</si>
  <si>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</si>
  <si>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</si>
  <si>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</si>
  <si>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</si>
  <si>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</si>
  <si>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</si>
  <si>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</si>
  <si>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</si>
  <si>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</si>
  <si>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</si>
  <si>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</si>
  <si>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</si>
  <si>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</si>
  <si>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</si>
  <si>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</si>
  <si>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</si>
  <si>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</si>
  <si>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</si>
  <si>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</si>
  <si>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</si>
  <si>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</si>
  <si>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</si>
  <si>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</si>
  <si>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</si>
  <si>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</si>
  <si>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</si>
  <si>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</si>
  <si>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</si>
  <si>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</si>
  <si>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</si>
  <si>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</si>
  <si>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</si>
  <si>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</si>
  <si>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</si>
  <si>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</si>
  <si>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</si>
  <si>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</si>
  <si>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</si>
  <si>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</si>
  <si>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</si>
  <si>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</si>
  <si>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</si>
  <si>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</si>
  <si>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</si>
  <si>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</si>
  <si>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</si>
  <si>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</si>
  <si>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</si>
  <si>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</si>
  <si>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</si>
  <si>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</si>
  <si>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</si>
  <si>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</si>
  <si>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</si>
  <si>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</si>
  <si>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</si>
  <si>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</si>
  <si>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</si>
  <si>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</si>
  <si>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</si>
  <si>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</si>
  <si>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</si>
  <si>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</si>
  <si>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</si>
  <si>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</si>
  <si>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</si>
  <si>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</si>
  <si>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</si>
  <si>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</si>
  <si>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</si>
  <si>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</si>
  <si>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</si>
  <si>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</si>
  <si>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</si>
  <si>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</si>
  <si>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</si>
  <si>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</si>
  <si>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</si>
  <si>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</si>
  <si>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</si>
  <si>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</si>
  <si>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</si>
  <si>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</si>
  <si>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</si>
  <si>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</si>
  <si>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</si>
  <si>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</si>
  <si>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</si>
  <si>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</si>
  <si>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</si>
  <si>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</si>
  <si>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</si>
  <si>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</si>
  <si>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</si>
  <si>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</si>
  <si>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</si>
  <si>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</si>
  <si>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</si>
  <si>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</si>
  <si>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</si>
  <si>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</si>
  <si>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</si>
  <si>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</si>
  <si>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</si>
  <si>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</si>
  <si>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</si>
  <si>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</si>
  <si>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</si>
  <si>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</si>
  <si>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</si>
  <si>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</si>
  <si>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</si>
  <si>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</si>
  <si>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</si>
  <si>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</si>
  <si>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</si>
  <si>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</si>
  <si>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</si>
  <si>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</si>
  <si>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</si>
  <si>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</si>
  <si>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</si>
  <si>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</si>
  <si>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</si>
  <si>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</si>
  <si>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</si>
  <si>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</si>
  <si>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</si>
  <si>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</si>
  <si>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</si>
  <si>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</si>
  <si>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</si>
  <si>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</si>
  <si>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</si>
  <si>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</si>
  <si>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</si>
  <si>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</si>
  <si>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</si>
  <si>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</si>
  <si>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</si>
  <si>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</si>
  <si>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</si>
  <si>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</si>
  <si>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</si>
  <si>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</si>
  <si>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</si>
  <si>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</si>
  <si>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</si>
  <si>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</si>
  <si>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</si>
  <si>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</si>
  <si>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</si>
  <si>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</si>
  <si>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</si>
  <si>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</si>
  <si>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</si>
  <si>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</si>
  <si>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</si>
  <si>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</si>
  <si>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</si>
  <si>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</si>
  <si>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</si>
  <si>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</si>
  <si>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</si>
  <si>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</si>
  <si>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</si>
  <si>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</si>
  <si>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</si>
  <si>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</si>
  <si>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</si>
  <si>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</si>
  <si>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</si>
  <si>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</si>
  <si>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</si>
  <si>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</si>
  <si>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</si>
  <si>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</si>
  <si>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</si>
  <si>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</si>
  <si>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</si>
  <si>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</si>
  <si>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</si>
  <si>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</si>
  <si>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</si>
  <si>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</si>
  <si>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</si>
  <si>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</si>
  <si>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</si>
  <si>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</si>
  <si>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</si>
  <si>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</si>
  <si>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</si>
  <si>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</si>
  <si>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</si>
  <si>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</si>
  <si>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</si>
  <si>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</si>
  <si>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</si>
  <si>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</si>
  <si>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</si>
  <si>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</si>
  <si>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</si>
  <si>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</si>
  <si>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</si>
  <si>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</si>
  <si>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</si>
  <si>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</si>
  <si>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</si>
  <si>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</si>
  <si>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</si>
  <si>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</si>
  <si>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</si>
  <si>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</si>
  <si>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</si>
  <si>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</si>
  <si>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</si>
  <si>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</si>
  <si>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</si>
  <si>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</si>
  <si>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</si>
  <si>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</si>
  <si>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</si>
  <si>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</si>
  <si>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</si>
  <si>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</si>
  <si>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</si>
  <si>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</si>
  <si>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</si>
  <si>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</si>
  <si>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</si>
  <si>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</si>
  <si>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</si>
  <si>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</si>
  <si>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</si>
  <si>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</si>
  <si>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</si>
  <si>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</si>
  <si>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</si>
  <si>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</si>
  <si>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</si>
  <si>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</si>
  <si>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</si>
  <si>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</si>
  <si>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</si>
  <si>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</si>
  <si>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</si>
  <si>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</si>
  <si>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</si>
  <si>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</si>
  <si>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</si>
  <si>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</si>
  <si>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</si>
  <si>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</si>
  <si>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</si>
  <si>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</si>
  <si>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</si>
  <si>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</si>
  <si>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</si>
  <si>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</si>
  <si>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</si>
  <si>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</si>
  <si>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</si>
  <si>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</si>
  <si>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</si>
  <si>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</si>
  <si>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</si>
  <si>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</si>
  <si>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</si>
  <si>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</si>
  <si>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</si>
  <si>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</si>
  <si>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</si>
  <si>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</si>
  <si>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</si>
  <si>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</si>
  <si>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</si>
  <si>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</si>
  <si>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</si>
  <si>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</si>
  <si>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</si>
  <si>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</si>
  <si>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</si>
  <si>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</si>
  <si>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</si>
  <si>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</si>
  <si>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</si>
  <si>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</si>
  <si>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</si>
  <si>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</si>
  <si>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</si>
  <si>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</si>
  <si>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</si>
  <si>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</si>
  <si>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</si>
  <si>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</si>
  <si>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</si>
  <si>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</si>
  <si>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</si>
  <si>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</si>
  <si>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</si>
  <si>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</si>
  <si>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</si>
  <si>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</si>
  <si>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</si>
  <si>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</si>
  <si>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</si>
  <si>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</si>
  <si>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</si>
  <si>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</si>
  <si>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</si>
  <si>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</si>
  <si>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</si>
  <si>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</si>
  <si>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</si>
  <si>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</si>
  <si>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</si>
  <si>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</si>
  <si>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</si>
  <si>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</si>
  <si>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</si>
  <si>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</si>
  <si>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</si>
  <si>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</si>
  <si>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</si>
  <si>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</si>
  <si>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</si>
  <si>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</si>
  <si>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</si>
  <si>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</si>
  <si>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</si>
  <si>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</si>
  <si>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</si>
  <si>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</si>
  <si>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</si>
  <si>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</si>
  <si>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</si>
  <si>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</si>
  <si>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</si>
  <si>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</si>
  <si>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</si>
  <si>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</si>
  <si>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</si>
  <si>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</si>
  <si>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</si>
  <si>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</si>
  <si>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</si>
  <si>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</si>
  <si>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</si>
  <si>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</si>
  <si>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</si>
  <si>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</si>
  <si>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</si>
  <si>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</si>
  <si>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</si>
  <si>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</si>
  <si>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</si>
  <si>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</si>
  <si>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</si>
  <si>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</si>
  <si>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</si>
  <si>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</si>
  <si>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</si>
  <si>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</si>
  <si>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</si>
  <si>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</si>
  <si>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</si>
  <si>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</si>
  <si>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</si>
  <si>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</si>
  <si>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</si>
  <si>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</si>
  <si>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</si>
  <si>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</si>
  <si>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</si>
  <si>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</si>
  <si>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</si>
  <si>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</si>
  <si>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</si>
  <si>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</si>
  <si>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</si>
  <si>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</si>
  <si>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</si>
  <si>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</si>
  <si>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</si>
  <si>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</si>
  <si>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</si>
  <si>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</si>
  <si>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</si>
  <si>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</si>
  <si>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</si>
  <si>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</si>
  <si>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</si>
  <si>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</si>
  <si>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</si>
  <si>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</si>
  <si>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</si>
  <si>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</si>
  <si>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</si>
  <si>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</si>
  <si>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</si>
  <si>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</si>
  <si>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</si>
  <si>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</si>
  <si>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</si>
  <si>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</si>
  <si>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</si>
  <si>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</si>
  <si>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</si>
  <si>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</si>
  <si>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</si>
  <si>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</si>
  <si>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</si>
  <si>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</si>
  <si>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</si>
  <si>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</si>
  <si>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</si>
  <si>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</si>
  <si>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</si>
  <si>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</si>
  <si>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</si>
  <si>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</si>
  <si>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</si>
  <si>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</si>
  <si>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</si>
  <si>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</si>
  <si>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</si>
  <si>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</si>
  <si>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</si>
  <si>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</si>
  <si>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</si>
  <si>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</si>
  <si>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</si>
  <si>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</si>
  <si>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</si>
  <si>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</si>
  <si>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</si>
  <si>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</si>
  <si>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</si>
  <si>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</si>
  <si>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</si>
  <si>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</si>
  <si>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</si>
  <si>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</si>
  <si>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</si>
  <si>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</si>
  <si>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</si>
  <si>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</si>
  <si>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</si>
  <si>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</si>
  <si>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</si>
  <si>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</si>
  <si>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</si>
  <si>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</si>
  <si>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</si>
  <si>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</si>
  <si>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</si>
  <si>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</si>
  <si>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</si>
  <si>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</si>
  <si>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</si>
  <si>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</si>
  <si>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</si>
  <si>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</si>
  <si>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</si>
  <si>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</si>
  <si>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</si>
  <si>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</si>
  <si>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</si>
  <si>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</si>
  <si>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</si>
  <si>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</si>
  <si>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</si>
  <si>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</si>
  <si>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</si>
  <si>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</si>
  <si>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</si>
  <si>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</si>
  <si>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</si>
  <si>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</si>
  <si>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</si>
  <si>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</si>
  <si>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</si>
  <si>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</si>
  <si>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</si>
  <si>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</si>
  <si>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</si>
  <si>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</si>
  <si>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</si>
  <si>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</si>
  <si>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</si>
  <si>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</si>
  <si>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</si>
  <si>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</si>
  <si>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</si>
  <si>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</si>
  <si>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</si>
  <si>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</si>
  <si>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</si>
  <si>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</si>
  <si>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</si>
  <si>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</si>
  <si>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</si>
  <si>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</si>
  <si>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</si>
  <si>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</si>
  <si>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</si>
  <si>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</si>
  <si>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</si>
  <si>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</si>
  <si>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</si>
  <si>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</si>
  <si>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</si>
  <si>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</si>
  <si>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</si>
  <si>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</si>
  <si>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</si>
  <si>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</si>
  <si>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</si>
  <si>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</si>
  <si>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</si>
  <si>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</si>
  <si>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</si>
  <si>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</si>
  <si>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</si>
  <si>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</si>
  <si>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</si>
  <si>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</si>
  <si>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</si>
  <si>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</si>
  <si>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</si>
  <si>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</si>
  <si>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</si>
  <si>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</si>
  <si>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</si>
  <si>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</si>
  <si>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</si>
  <si>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</si>
  <si>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</si>
  <si>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</si>
  <si>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</si>
  <si>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</si>
  <si>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</si>
  <si>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</si>
  <si>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</si>
  <si>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</si>
  <si>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</si>
  <si>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</si>
  <si>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</si>
  <si>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</si>
  <si>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</si>
  <si>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</si>
  <si>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</si>
  <si>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</si>
  <si>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</si>
  <si>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</si>
  <si>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</si>
  <si>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</si>
  <si>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</si>
  <si>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</si>
  <si>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</si>
  <si>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</si>
  <si>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</si>
  <si>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</si>
  <si>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</si>
  <si>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</si>
  <si>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</si>
  <si>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</si>
  <si>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</si>
  <si>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</si>
  <si>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</si>
  <si>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</si>
  <si>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</si>
  <si>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</si>
  <si>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8:14</t>
  </si>
  <si>
    <t>0:49</t>
  </si>
  <si>
    <t>2:45</t>
  </si>
  <si>
    <t>24" esgotats. Compten com un reb def</t>
  </si>
  <si>
    <t>5:59</t>
  </si>
  <si>
    <t>Compten com a passada</t>
  </si>
  <si>
    <t>JAIME LAQUIDAIN</t>
  </si>
  <si>
    <t>ALEX CORNET</t>
  </si>
  <si>
    <t>VICTOR LAQUIDAIN</t>
  </si>
  <si>
    <t>DANIEL MARTIN</t>
  </si>
  <si>
    <t>ANA MARTIN</t>
  </si>
  <si>
    <t>ALBERTO GONZALEZ</t>
  </si>
  <si>
    <t>Buen partido, chicos, Excelente el ojo para los steals y situaciones muy de detalle. A seguir por aquí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</si>
</sst>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30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30_295_MAD_VIR_E2025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295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46086.864583333336</v>
      </c>
      <c r="C3" s="157"/>
      <c r="D3" s="39">
        <v>585</v>
      </c>
      <c r="E3" s="29"/>
      <c r="F3" s="26">
        <f>SUBTOTAL(3,I17:I106)</f>
        <v>4</v>
      </c>
      <c r="G3" s="27">
        <f>IF(OR(D3="",D3=0),"",F3/D3)</f>
        <v>6.8376068376068376E-3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Real Madrid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67" t="s">
        <v>763</v>
      </c>
      <c r="N4" s="168"/>
      <c r="O4" s="2"/>
      <c r="P4" s="2"/>
      <c r="Q4" s="84" t="s">
        <v>175</v>
      </c>
      <c r="R4" s="94">
        <f>(IF(G3="",0,G3))</f>
        <v>6.8376068376068376E-3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Virtus Bologna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0.68376068376068377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5.183760683760684</v>
      </c>
      <c r="N7" s="58"/>
      <c r="O7" s="2"/>
      <c r="P7" s="2"/>
      <c r="Q7" s="86">
        <f>SUM(R5,S5,AC16)</f>
        <v>5.183760683760684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759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5.183760683760684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760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761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762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295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295</v>
      </c>
      <c r="D17" s="32" t="s">
        <v>751</v>
      </c>
      <c r="E17" s="33">
        <v>1</v>
      </c>
      <c r="F17" s="36">
        <v>2</v>
      </c>
      <c r="G17" s="36">
        <v>5</v>
      </c>
      <c r="H17" s="38" t="str">
        <f>IF(I17="","",$I$14)</f>
        <v>SCOUTING</v>
      </c>
      <c r="I17" s="34">
        <v>15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295</v>
      </c>
      <c r="D18" s="32" t="s">
        <v>752</v>
      </c>
      <c r="E18" s="33">
        <v>1</v>
      </c>
      <c r="F18" s="36">
        <v>20</v>
      </c>
      <c r="G18" s="36">
        <v>23</v>
      </c>
      <c r="H18" s="38" t="str">
        <f t="shared" ref="H18:H81" si="8">IF(I18="","",$I$14)</f>
        <v>SCOUTING</v>
      </c>
      <c r="I18" s="34">
        <v>113</v>
      </c>
      <c r="J18" s="13" t="s">
        <v>4</v>
      </c>
      <c r="K18" s="13" t="s">
        <v>63</v>
      </c>
      <c r="L18" s="13" t="s">
        <v>7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295</v>
      </c>
      <c r="D19" s="32" t="s">
        <v>753</v>
      </c>
      <c r="E19" s="33">
        <v>3</v>
      </c>
      <c r="F19" s="36">
        <v>58</v>
      </c>
      <c r="G19" s="36">
        <v>52</v>
      </c>
      <c r="H19" s="38" t="str">
        <f t="shared" si="8"/>
        <v>SCOUTING</v>
      </c>
      <c r="I19" s="34">
        <v>396</v>
      </c>
      <c r="J19" s="13" t="s">
        <v>4</v>
      </c>
      <c r="K19" s="13" t="s">
        <v>63</v>
      </c>
      <c r="L19" s="13" t="s">
        <v>5</v>
      </c>
      <c r="M19" s="13" t="s">
        <v>9</v>
      </c>
      <c r="N19" s="35" t="s">
        <v>754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295</v>
      </c>
      <c r="D20" s="32" t="s">
        <v>755</v>
      </c>
      <c r="E20" s="33">
        <v>4</v>
      </c>
      <c r="F20" s="36">
        <v>75</v>
      </c>
      <c r="G20" s="36">
        <v>72</v>
      </c>
      <c r="H20" s="38" t="str">
        <f t="shared" si="8"/>
        <v>SCOUTING</v>
      </c>
      <c r="I20" s="34">
        <v>497</v>
      </c>
      <c r="J20" s="13" t="s">
        <v>4</v>
      </c>
      <c r="K20" s="13" t="s">
        <v>63</v>
      </c>
      <c r="L20" s="13" t="s">
        <v>5</v>
      </c>
      <c r="M20" s="13" t="s">
        <v>27</v>
      </c>
      <c r="N20" s="35" t="s">
        <v>756</v>
      </c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REPORT_E2025295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"E2025295"</v>
      </c>
      <c r="F3" s="45" t="str">
        <f t="shared" ref="F3:F16" si="0">""""&amp;B3&amp;"""" &amp; " : " &amp;C3&amp;","</f>
        <v>"name" : "E2025295",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"E295"</v>
      </c>
      <c r="F4" s="45" t="str">
        <f t="shared" si="0"/>
        <v>"cod" : "E295",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295</v>
      </c>
      <c r="F6" s="45" t="str">
        <f t="shared" si="0"/>
        <v>"number" : 295,</v>
      </c>
    </row>
    <row r="7" spans="2:6" x14ac:dyDescent="0.25">
      <c r="B7" s="43" t="s">
        <v>116</v>
      </c>
      <c r="C7" s="43" t="str">
        <f ca="1">""""&amp;TEXT('SCOUT &amp; LOGISTICS'!B3,"dd/mm/aaaa")&amp;""""</f>
        <v>"05/03/2026"</v>
      </c>
      <c r="F7" s="45" t="str">
        <f t="shared" ca="1" si="0"/>
        <v>"date" : "05/03/2026",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"JAIME LAQUIDAIN"</v>
      </c>
      <c r="F10" s="45" t="str">
        <f t="shared" si="0"/>
        <v>"Data_entry" : "JAIME LAQUIDAIN",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"ALEX CORNET"</v>
      </c>
      <c r="F11" s="45" t="str">
        <f t="shared" si="0"/>
        <v>"Caller_1" : "ALEX CORNET",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"VICTOR LAQUIDAIN"</v>
      </c>
      <c r="F12" s="45" t="str">
        <f t="shared" si="0"/>
        <v>"Caller_2" : "VICTOR LAQUIDAIN",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"DANIEL MARTIN"</v>
      </c>
      <c r="F13" s="45" t="str">
        <f t="shared" si="0"/>
        <v>"Timerkeeper" : "DANIEL MARTIN",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"ANA MARTIN"</v>
      </c>
      <c r="F14" s="45" t="str">
        <f t="shared" si="0"/>
        <v>"Shotclock" : "ANA MARTIN",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"ALBERTO GONZALEZ"</v>
      </c>
      <c r="F15" s="45" t="str">
        <f t="shared" si="0"/>
        <v>"IRS" : "ALBERTO GONZALEZ",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585</v>
      </c>
      <c r="F25" s="45" t="str">
        <f t="shared" ref="F25:F48" si="1">""""&amp;C25&amp;"""" &amp; " : " &amp;D25&amp;","</f>
        <v>"total_actions" : 585,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"0,7%"</v>
      </c>
      <c r="F27" s="45" t="str">
        <f t="shared" si="1"/>
        <v>"%_corrections" : "0,7%",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"Buen partido, chicos, Excelente el ojo para los steals y situaciones muy de detalle. A seguir por aquí"</v>
      </c>
      <c r="F51" s="45" t="str">
        <f>""""&amp;B51&amp;"""" &amp; " : " &amp;C51&amp;","</f>
        <v>"comments" : "Buen partido, chicos, Excelente el ojo para los steals y situaciones muy de detalle. A seguir por aquí",</v>
      </c>
    </row>
    <row r="52" spans="2:6" x14ac:dyDescent="0.25">
      <c r="B52" s="43" t="s">
        <v>153</v>
      </c>
      <c r="C52" s="43" t="str">
        <f>TEXT('SCOUT &amp; LOGISTICS'!F1,"0,0")</f>
        <v>30_295_MAD_VIR_E2025</v>
      </c>
      <c r="F52" s="45" t="str">
        <f>""""&amp;B52&amp;"""" &amp; " : " &amp;C52</f>
        <v>"result" : 30_295_MAD_VIR_E2025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E295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05/03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Real Madrid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Virtus Bologna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JAIME LAQUIDAIN</v>
      </c>
      <c r="C8" s="206"/>
      <c r="D8" s="206"/>
      <c r="E8" s="206"/>
      <c r="F8" s="206"/>
      <c r="G8" s="206" t="str">
        <f>IF('SCOUT &amp; LOGISTICS'!D7="","",'SCOUT &amp; LOGISTICS'!D7)</f>
        <v>ALEX CORNET</v>
      </c>
      <c r="H8" s="206"/>
      <c r="I8" s="206"/>
      <c r="J8" s="206"/>
      <c r="K8" s="206"/>
      <c r="L8" s="206" t="str">
        <f>IF('SCOUT &amp; LOGISTICS'!D8="","",'SCOUT &amp; LOGISTICS'!D8)</f>
        <v>VICTOR LAQUIDAIN</v>
      </c>
      <c r="M8" s="206"/>
      <c r="N8" s="206"/>
      <c r="O8" s="206"/>
      <c r="P8" s="206"/>
      <c r="Q8" s="206" t="str">
        <f>IF('SCOUT &amp; LOGISTICS'!D9="","",'SCOUT &amp; LOGISTICS'!D9)</f>
        <v>DANIEL MARTIN</v>
      </c>
      <c r="R8" s="206"/>
      <c r="S8" s="206"/>
      <c r="T8" s="206"/>
      <c r="U8" s="206"/>
      <c r="V8" s="206" t="str">
        <f>IF('SCOUT &amp; LOGISTICS'!D10="","",'SCOUT &amp; LOGISTICS'!D10)</f>
        <v>ANA MARTIN</v>
      </c>
      <c r="W8" s="206"/>
      <c r="X8" s="206"/>
      <c r="Y8" s="206"/>
      <c r="Z8" s="206"/>
      <c r="AA8" s="206" t="str">
        <f>IF('SCOUT &amp; LOGISTICS'!D11="","",'SCOUT &amp; LOGISTICS'!D11)</f>
        <v>ALBERTO GONZALEZ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585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6.8376068376068376E-3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Buen partido, chicos, Excelente el ojo para los steals y situaciones muy de detalle. A seguir por aquí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5.183760683760684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15CDF43-BC6D-48A5-9AC6-D74116C00F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2026-03-05T21:52:25Z</cp:lastPrinted>
  <dcterms:created xsi:type="dcterms:W3CDTF">2023-09-19T19:50:35Z</dcterms:created>
  <dcterms:modified xsi:type="dcterms:W3CDTF">2026-03-05T21:52:29Z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