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36432670-2343-45A1-A539-5AA1DD0A5FDE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<sst xmlns="http://schemas.openxmlformats.org/spreadsheetml/2006/main" count="3255" uniqueCount="758">
  <si>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</si>
  <si>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</si>
  <si>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</si>
  <si>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</si>
  <si>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</si>
  <si>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</si>
  <si>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</si>
  <si>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</si>
  <si>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</si>
  <si>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</si>
  <si>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</si>
  <si>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</si>
  <si>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</si>
  <si>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</si>
  <si>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</si>
  <si>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</si>
  <si>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</si>
  <si>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</si>
  <si>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</si>
  <si>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</si>
  <si>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</si>
  <si>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</si>
  <si>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</si>
  <si>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</si>
  <si>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</si>
  <si>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</si>
  <si>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</si>
  <si>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</si>
  <si>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</si>
  <si>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</si>
  <si>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</si>
  <si>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</si>
  <si>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</si>
  <si>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</si>
  <si>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</si>
  <si>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</si>
  <si>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</si>
  <si>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</si>
  <si>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</si>
  <si>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</si>
  <si>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</si>
  <si>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</si>
  <si>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</si>
  <si>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</si>
  <si>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</si>
  <si>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</si>
  <si>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</si>
  <si>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</si>
  <si>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</si>
  <si>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</si>
  <si>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</si>
  <si>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</si>
  <si>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</si>
  <si>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</si>
  <si>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</si>
  <si>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</si>
  <si>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</si>
  <si>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</si>
  <si>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</si>
  <si>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</si>
  <si>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</si>
  <si>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</si>
  <si>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</si>
  <si>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</si>
  <si>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</si>
  <si>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</si>
  <si>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</si>
  <si>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</si>
  <si>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</si>
  <si>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</si>
  <si>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</si>
  <si>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</si>
  <si>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</si>
  <si>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</si>
  <si>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</si>
  <si>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</si>
  <si>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</si>
  <si>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</si>
  <si>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</si>
  <si>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</si>
  <si>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</si>
  <si>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</si>
  <si>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</si>
  <si>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</si>
  <si>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</si>
  <si>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</si>
  <si>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</si>
  <si>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</si>
  <si>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</si>
  <si>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</si>
  <si>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</si>
  <si>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</si>
  <si>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</si>
  <si>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</si>
  <si>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</si>
  <si>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</si>
  <si>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</si>
  <si>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</si>
  <si>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</si>
  <si>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</si>
  <si>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</si>
  <si>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</si>
  <si>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</si>
  <si>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</si>
  <si>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</si>
  <si>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</si>
  <si>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</si>
  <si>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</si>
  <si>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</si>
  <si>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</si>
  <si>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</si>
  <si>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</si>
  <si>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</si>
  <si>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</si>
  <si>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</si>
  <si>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</si>
  <si>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</si>
  <si>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</si>
  <si>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</si>
  <si>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</si>
  <si>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</si>
  <si>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</si>
  <si>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</si>
  <si>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</si>
  <si>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</si>
  <si>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</si>
  <si>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</si>
  <si>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</si>
  <si>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</si>
  <si>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</si>
  <si>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</si>
  <si>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</si>
  <si>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</si>
  <si>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</si>
  <si>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</si>
  <si>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</si>
  <si>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</si>
  <si>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</si>
  <si>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</si>
  <si>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</si>
  <si>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</si>
  <si>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</si>
  <si>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</si>
  <si>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</si>
  <si>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</si>
  <si>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</si>
  <si>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</si>
  <si>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</si>
  <si>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</si>
  <si>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</si>
  <si>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</si>
  <si>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</si>
  <si>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</si>
  <si>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</si>
  <si>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</si>
  <si>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</si>
  <si>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</si>
  <si>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</si>
  <si>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</si>
  <si>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</si>
  <si>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</si>
  <si>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</si>
  <si>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</si>
  <si>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</si>
  <si>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</si>
  <si>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</si>
  <si>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</si>
  <si>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</si>
  <si>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</si>
  <si>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</si>
  <si>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</si>
  <si>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</si>
  <si>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</si>
  <si>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</si>
  <si>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</si>
  <si>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</si>
  <si>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</si>
  <si>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</si>
  <si>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</si>
  <si>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</si>
  <si>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</si>
  <si>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</si>
  <si>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</si>
  <si>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</si>
  <si>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</si>
  <si>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</si>
  <si>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</si>
  <si>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</si>
  <si>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</si>
  <si>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</si>
  <si>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</si>
  <si>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</si>
  <si>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</si>
  <si>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</si>
  <si>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</si>
  <si>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</si>
  <si>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</si>
  <si>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</si>
  <si>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</si>
  <si>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</si>
  <si>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</si>
  <si>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</si>
  <si>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</si>
  <si>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</si>
  <si>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</si>
  <si>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</si>
  <si>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</si>
  <si>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</si>
  <si>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</si>
  <si>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</si>
  <si>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</si>
  <si>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</si>
  <si>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</si>
  <si>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</si>
  <si>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</si>
  <si>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</si>
  <si>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</si>
  <si>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</si>
  <si>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</si>
  <si>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</si>
  <si>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</si>
  <si>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</si>
  <si>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</si>
  <si>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</si>
  <si>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</si>
  <si>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</si>
  <si>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</si>
  <si>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</si>
  <si>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</si>
  <si>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</si>
  <si>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</si>
  <si>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</si>
  <si>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</si>
  <si>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</si>
  <si>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</si>
  <si>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</si>
  <si>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</si>
  <si>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</si>
  <si>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</si>
  <si>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</si>
  <si>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</si>
  <si>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</si>
  <si>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</si>
  <si>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</si>
  <si>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</si>
  <si>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</si>
  <si>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</si>
  <si>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</si>
  <si>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</si>
  <si>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</si>
  <si>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</si>
  <si>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</si>
  <si>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</si>
  <si>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</si>
  <si>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</si>
  <si>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</si>
  <si>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</si>
  <si>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</si>
  <si>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</si>
  <si>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</si>
  <si>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</si>
  <si>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</si>
  <si>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</si>
  <si>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</si>
  <si>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</si>
  <si>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</si>
  <si>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</si>
  <si>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</si>
  <si>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</si>
  <si>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</si>
  <si>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</si>
  <si>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</si>
  <si>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</si>
  <si>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</si>
  <si>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</si>
  <si>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</si>
  <si>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</si>
  <si>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</si>
  <si>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</si>
  <si>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</si>
  <si>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</si>
  <si>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</si>
  <si>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</si>
  <si>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</si>
  <si>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</si>
  <si>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</si>
  <si>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</si>
  <si>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</si>
  <si>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</si>
  <si>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</si>
  <si>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</si>
  <si>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</si>
  <si>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</si>
  <si>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</si>
  <si>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</si>
  <si>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</si>
  <si>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</si>
  <si>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</si>
  <si>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</si>
  <si>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</si>
  <si>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</si>
  <si>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</si>
  <si>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</si>
  <si>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</si>
  <si>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</si>
  <si>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</si>
  <si>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</si>
  <si>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</si>
  <si>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</si>
  <si>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</si>
  <si>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</si>
  <si>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</si>
  <si>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</si>
  <si>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</si>
  <si>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</si>
  <si>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</si>
  <si>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</si>
  <si>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</si>
  <si>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</si>
  <si>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</si>
  <si>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</si>
  <si>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</si>
  <si>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</si>
  <si>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</si>
  <si>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</si>
  <si>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</si>
  <si>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</si>
  <si>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</si>
  <si>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</si>
  <si>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</si>
  <si>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</si>
  <si>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</si>
  <si>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</si>
  <si>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</si>
  <si>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</si>
  <si>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</si>
  <si>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</si>
  <si>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</si>
  <si>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</si>
  <si>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</si>
  <si>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</si>
  <si>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</si>
  <si>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</si>
  <si>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</si>
  <si>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</si>
  <si>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</si>
  <si>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</si>
  <si>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</si>
  <si>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</si>
  <si>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</si>
  <si>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</si>
  <si>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</si>
  <si>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</si>
  <si>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</si>
  <si>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</si>
  <si>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</si>
  <si>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</si>
  <si>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</si>
  <si>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</si>
  <si>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</si>
  <si>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</si>
  <si>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</si>
  <si>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</si>
  <si>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</si>
  <si>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</si>
  <si>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</si>
  <si>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</si>
  <si>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</si>
  <si>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</si>
  <si>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</si>
  <si>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</si>
  <si>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</si>
  <si>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</si>
  <si>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</si>
  <si>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</si>
  <si>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</si>
  <si>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</si>
  <si>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</si>
  <si>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</si>
  <si>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</si>
  <si>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</si>
  <si>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</si>
  <si>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</si>
  <si>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</si>
  <si>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</si>
  <si>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</si>
  <si>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</si>
  <si>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</si>
  <si>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</si>
  <si>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</si>
  <si>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</si>
  <si>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</si>
  <si>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</si>
  <si>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</si>
  <si>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</si>
  <si>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</si>
  <si>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</si>
  <si>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</si>
  <si>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</si>
  <si>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</si>
  <si>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</si>
  <si>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</si>
  <si>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</si>
  <si>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</si>
  <si>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</si>
  <si>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</si>
  <si>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</si>
  <si>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</si>
  <si>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</si>
  <si>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</si>
  <si>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</si>
  <si>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</si>
  <si>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</si>
  <si>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</si>
  <si>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</si>
  <si>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</si>
  <si>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</si>
  <si>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</si>
  <si>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</si>
  <si>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</si>
  <si>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</si>
  <si>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</si>
  <si>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</si>
  <si>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</si>
  <si>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</si>
  <si>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</si>
  <si>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</si>
  <si>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</si>
  <si>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</si>
  <si>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</si>
  <si>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</si>
  <si>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</si>
  <si>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</si>
  <si>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</si>
  <si>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</si>
  <si>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</si>
  <si>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</si>
  <si>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</si>
  <si>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</si>
  <si>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</si>
  <si>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</si>
  <si>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</si>
  <si>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</si>
  <si>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</si>
  <si>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</si>
  <si>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</si>
  <si>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</si>
  <si>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</si>
  <si>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</si>
  <si>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</si>
  <si>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</si>
  <si>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</si>
  <si>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</si>
  <si>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</si>
  <si>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</si>
  <si>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</si>
  <si>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</si>
  <si>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</si>
  <si>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</si>
  <si>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</si>
  <si>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</si>
  <si>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</si>
  <si>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</si>
  <si>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</si>
  <si>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</si>
  <si>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</si>
  <si>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</si>
  <si>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</si>
  <si>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</si>
  <si>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</si>
  <si>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</si>
  <si>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</si>
  <si>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</si>
  <si>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</si>
  <si>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</si>
  <si>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</si>
  <si>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</si>
  <si>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</si>
  <si>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</si>
  <si>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</si>
  <si>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</si>
  <si>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</si>
  <si>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</si>
  <si>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</si>
  <si>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</si>
  <si>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</si>
  <si>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</si>
  <si>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</si>
  <si>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</si>
  <si>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</si>
  <si>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</si>
  <si>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</si>
  <si>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</si>
  <si>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</si>
  <si>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</si>
  <si>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</si>
  <si>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</si>
  <si>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</si>
  <si>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</si>
  <si>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</si>
  <si>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</si>
  <si>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</si>
  <si>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</si>
  <si>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</si>
  <si>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</si>
  <si>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</si>
  <si>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</si>
  <si>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</si>
  <si>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</si>
  <si>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</si>
  <si>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</si>
  <si>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</si>
  <si>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</si>
  <si>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</si>
  <si>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</si>
  <si>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</si>
  <si>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</si>
  <si>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</si>
  <si>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</si>
  <si>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</si>
  <si>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</si>
  <si>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</si>
  <si>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</si>
  <si>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</si>
  <si>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</si>
  <si>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</si>
  <si>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</si>
  <si>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</si>
  <si>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</si>
  <si>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</si>
  <si>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</si>
  <si>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</si>
  <si>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</si>
  <si>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</si>
  <si>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</si>
  <si>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</si>
  <si>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</si>
  <si>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</si>
  <si>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</si>
  <si>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</si>
  <si>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</si>
  <si>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</si>
  <si>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</si>
  <si>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</si>
  <si>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</si>
  <si>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</si>
  <si>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</si>
  <si>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</si>
  <si>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</si>
  <si>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</si>
  <si>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</si>
  <si>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</si>
  <si>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</si>
  <si>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</si>
  <si>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</si>
  <si>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</si>
  <si>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</si>
  <si>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</si>
  <si>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</si>
  <si>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</si>
  <si>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</si>
  <si>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</si>
  <si>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</si>
  <si>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</si>
  <si>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</si>
  <si>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</si>
  <si>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</si>
  <si>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</si>
  <si>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</si>
  <si>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</si>
  <si>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</si>
  <si>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</si>
  <si>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</si>
  <si>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</si>
  <si>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</si>
  <si>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</si>
  <si>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</si>
  <si>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</si>
  <si>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</si>
  <si>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</si>
  <si>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</si>
  <si>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</si>
  <si>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</si>
  <si>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</si>
  <si>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</si>
  <si>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</si>
  <si>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</si>
  <si>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</si>
  <si>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</si>
  <si>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</si>
  <si>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</si>
  <si>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</si>
  <si>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</si>
  <si>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</si>
  <si>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</si>
  <si>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</si>
  <si>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</si>
  <si>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</si>
  <si>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</si>
  <si>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</si>
  <si>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</si>
  <si>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</si>
  <si>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</si>
  <si>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</si>
  <si>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</si>
  <si>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</si>
  <si>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</si>
  <si>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</si>
  <si>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</si>
  <si>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</si>
  <si>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</si>
  <si>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</si>
  <si>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</si>
  <si>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</si>
  <si>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</si>
  <si>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</si>
  <si>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</si>
  <si>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</si>
  <si>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</si>
  <si>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</si>
  <si>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</si>
  <si>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</si>
  <si>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</si>
  <si>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</si>
  <si>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</si>
  <si>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</si>
  <si>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</si>
  <si>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</si>
  <si>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</si>
  <si>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</si>
  <si>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</si>
  <si>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</si>
  <si>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</si>
  <si>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</si>
  <si>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</si>
  <si>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</si>
  <si>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</si>
  <si>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</si>
  <si>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</si>
  <si>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</si>
  <si>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</si>
  <si>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</si>
  <si>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</si>
  <si>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</si>
  <si>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</si>
  <si>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</si>
  <si>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</si>
  <si>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</si>
  <si>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</si>
  <si>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</si>
  <si>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</si>
  <si>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</si>
  <si>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</si>
  <si>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</si>
  <si>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</si>
  <si>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</si>
  <si>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</si>
  <si>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</si>
  <si>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</si>
  <si>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</si>
  <si>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</si>
  <si>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</si>
  <si>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</si>
  <si>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</si>
  <si>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</si>
  <si>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</si>
  <si>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</si>
  <si>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</si>
  <si>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</si>
  <si>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</si>
  <si>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</si>
  <si>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</si>
  <si>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</si>
  <si>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</si>
  <si>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</si>
  <si>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</si>
  <si>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</si>
  <si>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</si>
  <si>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</si>
  <si>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</si>
  <si>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</si>
  <si>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</si>
  <si>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</si>
  <si>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</si>
  <si>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</si>
  <si>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</si>
  <si>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</si>
  <si>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</si>
  <si>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</si>
  <si>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</si>
  <si>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</si>
  <si>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</si>
  <si>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</si>
  <si>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</si>
  <si>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</si>
  <si>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</si>
  <si>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</si>
  <si>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</si>
  <si>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</si>
  <si>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</si>
  <si>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</si>
  <si>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</si>
  <si>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</si>
  <si>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</si>
  <si>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</si>
  <si>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</si>
  <si>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</si>
  <si>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</si>
  <si>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</si>
  <si>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</si>
  <si>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</si>
  <si>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</si>
  <si>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</si>
  <si>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</si>
  <si>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</si>
  <si>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</si>
  <si>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</si>
  <si>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</si>
  <si>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</si>
  <si>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</si>
  <si>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</si>
  <si>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</si>
  <si>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</si>
  <si>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</si>
  <si>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</si>
  <si>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</si>
  <si>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</si>
  <si>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</si>
  <si>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</si>
  <si>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</si>
  <si>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</si>
  <si>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</si>
  <si>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</si>
  <si>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</si>
  <si>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</si>
  <si>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</si>
  <si>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</si>
  <si>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</si>
  <si>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</si>
  <si>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</si>
  <si>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</si>
  <si>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</si>
  <si>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</si>
  <si>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</si>
  <si>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</si>
  <si>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</si>
  <si>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</si>
  <si>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</si>
  <si>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</si>
  <si>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</si>
  <si>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SERTAC DOSTEL</t>
  </si>
  <si>
    <t>ORHAN YENIHAYAT</t>
  </si>
  <si>
    <t>AHMET YILDIZ</t>
  </si>
  <si>
    <t>KEREM SIRMAGIL</t>
  </si>
  <si>
    <t>OSCAR CUESTA</t>
  </si>
  <si>
    <t>9:12</t>
  </si>
  <si>
    <t>0:11</t>
  </si>
  <si>
    <t>Good game, as usual. We know you'll be aware for next matches 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</si>
</sst>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30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30_297_IST_ASV_E2025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297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46087.854166666664</v>
      </c>
      <c r="C3" s="157"/>
      <c r="D3" s="39">
        <v>592</v>
      </c>
      <c r="E3" s="29"/>
      <c r="F3" s="26">
        <f>SUBTOTAL(3,I17:I106)</f>
        <v>2</v>
      </c>
      <c r="G3" s="27">
        <f>IF(OR(D3="",D3=0),"",F3/D3)</f>
        <v>3.3783783783783786E-3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Anadolu Efes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3.3783783783783786E-3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LDLC ASVEL Villeurbanne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0.33783783783783783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750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3.3378378378378377</v>
      </c>
      <c r="N7" s="58"/>
      <c r="O7" s="2"/>
      <c r="P7" s="2"/>
      <c r="Q7" s="86">
        <f>SUM(R5,S5,AC16)</f>
        <v>3.3378378378378377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751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3.3378378378378377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740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297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1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297</v>
      </c>
      <c r="D17" s="32" t="s">
        <v>755</v>
      </c>
      <c r="E17" s="33">
        <v>1</v>
      </c>
      <c r="F17" s="36">
        <v>3</v>
      </c>
      <c r="G17" s="36">
        <v>0</v>
      </c>
      <c r="H17" s="38" t="str">
        <f>IF(I17="","",$I$14)</f>
        <v>SCOUTING</v>
      </c>
      <c r="I17" s="34">
        <v>8</v>
      </c>
      <c r="J17" s="13" t="s">
        <v>4</v>
      </c>
      <c r="K17" s="13" t="s">
        <v>62</v>
      </c>
      <c r="L17" s="13" t="s">
        <v>5</v>
      </c>
      <c r="M17" s="13" t="s">
        <v>29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297</v>
      </c>
      <c r="D18" s="32" t="s">
        <v>756</v>
      </c>
      <c r="E18" s="33">
        <v>4</v>
      </c>
      <c r="F18" s="36">
        <v>88</v>
      </c>
      <c r="G18" s="36">
        <v>89</v>
      </c>
      <c r="H18" s="38" t="str">
        <f t="shared" ref="H18:H81" si="8">IF(I18="","",$I$14)</f>
        <v>SCOUTING</v>
      </c>
      <c r="I18" s="34">
        <v>589</v>
      </c>
      <c r="J18" s="13" t="s">
        <v>3</v>
      </c>
      <c r="K18" s="13" t="s">
        <v>63</v>
      </c>
      <c r="L18" s="13" t="s">
        <v>7</v>
      </c>
      <c r="M18" s="13" t="s">
        <v>23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1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1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REPORT_E2025297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"E2025297"</v>
      </c>
      <c r="F3" s="45" t="str">
        <f t="shared" ref="F3:F16" si="0">""""&amp;B3&amp;"""" &amp; " : " &amp;C3&amp;","</f>
        <v>"name" : "E2025297",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"E297"</v>
      </c>
      <c r="F4" s="45" t="str">
        <f t="shared" si="0"/>
        <v>"cod" : "E297",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297</v>
      </c>
      <c r="F6" s="45" t="str">
        <f t="shared" si="0"/>
        <v>"number" : 297,</v>
      </c>
    </row>
    <row r="7" spans="2:6" x14ac:dyDescent="0.25">
      <c r="B7" s="43" t="s">
        <v>116</v>
      </c>
      <c r="C7" s="43" t="str">
        <f ca="1">""""&amp;TEXT('SCOUT &amp; LOGISTICS'!B3,"dd/mm/aaaa")&amp;""""</f>
        <v>"06/03/2026"</v>
      </c>
      <c r="F7" s="45" t="str">
        <f t="shared" ca="1" si="0"/>
        <v>"date" : "06/03/2026",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"SERTAC DOSTEL"</v>
      </c>
      <c r="F11" s="45" t="str">
        <f t="shared" si="0"/>
        <v>"Caller_1" : "SERTAC DOSTEL",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"ORHAN YENIHAYAT"</v>
      </c>
      <c r="F12" s="45" t="str">
        <f t="shared" si="0"/>
        <v>"Caller_2" : "ORHAN YENIHAYAT",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"AHMET YILDIZ"</v>
      </c>
      <c r="F13" s="45" t="str">
        <f t="shared" si="0"/>
        <v>"Timerkeeper" : "AHMET YILDIZ",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"KEREM SIRMAGIL"</v>
      </c>
      <c r="F14" s="45" t="str">
        <f t="shared" si="0"/>
        <v>"Shotclock" : "KEREM SIRMAGIL",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"MURAT KUS"</v>
      </c>
      <c r="F15" s="45" t="str">
        <f t="shared" si="0"/>
        <v>"IRS" : "MURAT KUS",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592</v>
      </c>
      <c r="F25" s="45" t="str">
        <f t="shared" ref="F25:F48" si="1">""""&amp;C25&amp;"""" &amp; " : " &amp;D25&amp;","</f>
        <v>"total_actions" : 592,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1</v>
      </c>
      <c r="F41" s="45" t="str">
        <f t="shared" si="1"/>
        <v>"irs" : 1,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game, as usual. We know you'll be aware for next matches ;)"</v>
      </c>
      <c r="F51" s="45" t="str">
        <f>""""&amp;B51&amp;"""" &amp; " : " &amp;C51&amp;","</f>
        <v>"comments" : "Good game, as usual. We know you'll be aware for next matches ;)",</v>
      </c>
    </row>
    <row r="52" spans="2:6" x14ac:dyDescent="0.25">
      <c r="B52" s="43" t="s">
        <v>153</v>
      </c>
      <c r="C52" s="43" t="str">
        <f>TEXT('SCOUT &amp; LOGISTICS'!F1,"0,0")</f>
        <v>30_297_IST_ASV_E2025</v>
      </c>
      <c r="F52" s="45" t="str">
        <f>""""&amp;B52&amp;"""" &amp; " : " &amp;C52</f>
        <v>"result" : 30_297_IST_ASV_E2025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E297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06/03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Anadolu Efes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Ldlc Asvel Villeurbanne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SERTAC DOSTEL</v>
      </c>
      <c r="H8" s="206"/>
      <c r="I8" s="206"/>
      <c r="J8" s="206"/>
      <c r="K8" s="206"/>
      <c r="L8" s="206" t="str">
        <f>IF('SCOUT &amp; LOGISTICS'!D8="","",'SCOUT &amp; LOGISTICS'!D8)</f>
        <v>ORHAN YENIHAYAT</v>
      </c>
      <c r="M8" s="206"/>
      <c r="N8" s="206"/>
      <c r="O8" s="206"/>
      <c r="P8" s="206"/>
      <c r="Q8" s="206" t="str">
        <f>IF('SCOUT &amp; LOGISTICS'!D9="","",'SCOUT &amp; LOGISTICS'!D9)</f>
        <v>AHMET YILDIZ</v>
      </c>
      <c r="R8" s="206"/>
      <c r="S8" s="206"/>
      <c r="T8" s="206"/>
      <c r="U8" s="206"/>
      <c r="V8" s="206" t="str">
        <f>IF('SCOUT &amp; LOGISTICS'!D10="","",'SCOUT &amp; LOGISTICS'!D10)</f>
        <v>KEREM SIRMAGIL</v>
      </c>
      <c r="W8" s="206"/>
      <c r="X8" s="206"/>
      <c r="Y8" s="206"/>
      <c r="Z8" s="206"/>
      <c r="AA8" s="206" t="str">
        <f>IF('SCOUT &amp; LOGISTICS'!D11="","",'SCOUT &amp; LOGISTICS'!D11)</f>
        <v>MURAT KUS</v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592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3.3783783783783786E-3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Good game, as usual. We know you'll be aware for next matches ;)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3.3378378378378377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A907F5E-30F5-450F-9B6F-B3073402E4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2026-03-06T19:53:36Z</cp:lastPrinted>
  <dcterms:created xsi:type="dcterms:W3CDTF">2023-09-19T19:50:35Z</dcterms:created>
  <dcterms:modified xsi:type="dcterms:W3CDTF">2026-03-06T19:53:48Z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