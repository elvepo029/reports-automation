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1" documentId="8_{AAC4E590-2F6A-40B6-950E-506561AB8A53}" xr6:coauthVersionLast="47" xr6:coauthVersionMax="47" xr10:uidLastSave="{02727E46-0338-44F7-B790-C518DA790683}"/>
  <bookViews>
    <workbookView xWindow="720" yWindow="-15675" windowWidth="19740" windowHeight="1225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<sst xmlns="http://schemas.openxmlformats.org/spreadsheetml/2006/main" count="3261" uniqueCount="763">
  <si>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</si>
  <si>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</si>
  <si>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</si>
  <si>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</si>
  <si>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</si>
  <si>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</si>
  <si>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</si>
  <si>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</si>
  <si>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</si>
  <si>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</si>
  <si>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</si>
  <si>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</si>
  <si>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</si>
  <si>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</si>
  <si>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</si>
  <si>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</si>
  <si>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</si>
  <si>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</si>
  <si>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</si>
  <si>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</si>
  <si>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</si>
  <si>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</si>
  <si>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</si>
  <si>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</si>
  <si>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</si>
  <si>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</si>
  <si>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</si>
  <si>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</si>
  <si>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</si>
  <si>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</si>
  <si>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</si>
  <si>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</si>
  <si>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</si>
  <si>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</si>
  <si>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</si>
  <si>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</si>
  <si>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</si>
  <si>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</si>
  <si>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</si>
  <si>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</si>
  <si>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</si>
  <si>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</si>
  <si>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</si>
  <si>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</si>
  <si>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</si>
  <si>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</si>
  <si>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</si>
  <si>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</si>
  <si>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</si>
  <si>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</si>
  <si>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</si>
  <si>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</si>
  <si>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</si>
  <si>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</si>
  <si>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</si>
  <si>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</si>
  <si>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</si>
  <si>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</si>
  <si>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</si>
  <si>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</si>
  <si>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</si>
  <si>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</si>
  <si>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</si>
  <si>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</si>
  <si>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</si>
  <si>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</si>
  <si>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</si>
  <si>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</si>
  <si>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</si>
  <si>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</si>
  <si>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</si>
  <si>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</si>
  <si>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</si>
  <si>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</si>
  <si>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</si>
  <si>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</si>
  <si>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</si>
  <si>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</si>
  <si>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</si>
  <si>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</si>
  <si>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</si>
  <si>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</si>
  <si>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</si>
  <si>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</si>
  <si>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</si>
  <si>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</si>
  <si>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</si>
  <si>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</si>
  <si>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</si>
  <si>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</si>
  <si>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</si>
  <si>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</si>
  <si>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</si>
  <si>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</si>
  <si>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</si>
  <si>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</si>
  <si>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</si>
  <si>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</si>
  <si>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</si>
  <si>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</si>
  <si>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</si>
  <si>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</si>
  <si>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</si>
  <si>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</si>
  <si>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</si>
  <si>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</si>
  <si>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</si>
  <si>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</si>
  <si>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</si>
  <si>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</si>
  <si>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</si>
  <si>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</si>
  <si>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</si>
  <si>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</si>
  <si>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</si>
  <si>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</si>
  <si>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</si>
  <si>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</si>
  <si>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</si>
  <si>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</si>
  <si>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</si>
  <si>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</si>
  <si>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</si>
  <si>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</si>
  <si>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</si>
  <si>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</si>
  <si>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</si>
  <si>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</si>
  <si>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</si>
  <si>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</si>
  <si>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</si>
  <si>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</si>
  <si>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</si>
  <si>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</si>
  <si>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</si>
  <si>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</si>
  <si>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</si>
  <si>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</si>
  <si>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</si>
  <si>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</si>
  <si>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</si>
  <si>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</si>
  <si>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</si>
  <si>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</si>
  <si>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</si>
  <si>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</si>
  <si>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</si>
  <si>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</si>
  <si>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</si>
  <si>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</si>
  <si>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</si>
  <si>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</si>
  <si>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</si>
  <si>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</si>
  <si>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</si>
  <si>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</si>
  <si>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</si>
  <si>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</si>
  <si>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</si>
  <si>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</si>
  <si>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</si>
  <si>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</si>
  <si>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</si>
  <si>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</si>
  <si>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</si>
  <si>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</si>
  <si>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</si>
  <si>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</si>
  <si>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</si>
  <si>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</si>
  <si>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</si>
  <si>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</si>
  <si>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</si>
  <si>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</si>
  <si>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</si>
  <si>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</si>
  <si>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</si>
  <si>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</si>
  <si>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</si>
  <si>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</si>
  <si>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</si>
  <si>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</si>
  <si>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</si>
  <si>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</si>
  <si>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</si>
  <si>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</si>
  <si>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</si>
  <si>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</si>
  <si>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</si>
  <si>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</si>
  <si>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</si>
  <si>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</si>
  <si>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</si>
  <si>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</si>
  <si>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</si>
  <si>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</si>
  <si>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</si>
  <si>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</si>
  <si>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</si>
  <si>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</si>
  <si>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</si>
  <si>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</si>
  <si>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</si>
  <si>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</si>
  <si>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</si>
  <si>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</si>
  <si>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</si>
  <si>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</si>
  <si>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</si>
  <si>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</si>
  <si>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</si>
  <si>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</si>
  <si>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</si>
  <si>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</si>
  <si>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</si>
  <si>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</si>
  <si>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</si>
  <si>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</si>
  <si>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</si>
  <si>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</si>
  <si>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</si>
  <si>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</si>
  <si>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</si>
  <si>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</si>
  <si>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</si>
  <si>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</si>
  <si>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</si>
  <si>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</si>
  <si>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</si>
  <si>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</si>
  <si>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</si>
  <si>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</si>
  <si>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</si>
  <si>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</si>
  <si>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</si>
  <si>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</si>
  <si>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</si>
  <si>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</si>
  <si>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</si>
  <si>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</si>
  <si>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</si>
  <si>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</si>
  <si>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</si>
  <si>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</si>
  <si>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</si>
  <si>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</si>
  <si>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</si>
  <si>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</si>
  <si>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</si>
  <si>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</si>
  <si>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</si>
  <si>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</si>
  <si>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</si>
  <si>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</si>
  <si>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</si>
  <si>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</si>
  <si>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</si>
  <si>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</si>
  <si>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</si>
  <si>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</si>
  <si>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</si>
  <si>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</si>
  <si>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</si>
  <si>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</si>
  <si>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</si>
  <si>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</si>
  <si>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</si>
  <si>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</si>
  <si>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</si>
  <si>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</si>
  <si>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</si>
  <si>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</si>
  <si>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</si>
  <si>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</si>
  <si>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</si>
  <si>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</si>
  <si>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</si>
  <si>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</si>
  <si>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</si>
  <si>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</si>
  <si>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</si>
  <si>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</si>
  <si>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</si>
  <si>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</si>
  <si>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</si>
  <si>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</si>
  <si>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</si>
  <si>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</si>
  <si>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</si>
  <si>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</si>
  <si>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</si>
  <si>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</si>
  <si>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</si>
  <si>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</si>
  <si>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</si>
  <si>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</si>
  <si>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</si>
  <si>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</si>
  <si>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</si>
  <si>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</si>
  <si>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</si>
  <si>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</si>
  <si>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</si>
  <si>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</si>
  <si>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</si>
  <si>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</si>
  <si>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</si>
  <si>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</si>
  <si>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</si>
  <si>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</si>
  <si>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</si>
  <si>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</si>
  <si>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</si>
  <si>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</si>
  <si>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</si>
  <si>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</si>
  <si>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</si>
  <si>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</si>
  <si>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</si>
  <si>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</si>
  <si>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</si>
  <si>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</si>
  <si>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</si>
  <si>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</si>
  <si>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</si>
  <si>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</si>
  <si>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</si>
  <si>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</si>
  <si>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</si>
  <si>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</si>
  <si>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</si>
  <si>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</si>
  <si>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</si>
  <si>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</si>
  <si>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</si>
  <si>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</si>
  <si>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</si>
  <si>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</si>
  <si>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</si>
  <si>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</si>
  <si>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</si>
  <si>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</si>
  <si>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</si>
  <si>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</si>
  <si>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</si>
  <si>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</si>
  <si>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</si>
  <si>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</si>
  <si>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</si>
  <si>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</si>
  <si>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</si>
  <si>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</si>
  <si>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</si>
  <si>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</si>
  <si>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</si>
  <si>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</si>
  <si>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</si>
  <si>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</si>
  <si>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</si>
  <si>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</si>
  <si>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</si>
  <si>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</si>
  <si>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</si>
  <si>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</si>
  <si>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</si>
  <si>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</si>
  <si>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</si>
  <si>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</si>
  <si>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</si>
  <si>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</si>
  <si>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</si>
  <si>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</si>
  <si>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</si>
  <si>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</si>
  <si>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</si>
  <si>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</si>
  <si>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</si>
  <si>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</si>
  <si>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</si>
  <si>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</si>
  <si>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</si>
  <si>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</si>
  <si>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</si>
  <si>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</si>
  <si>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</si>
  <si>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</si>
  <si>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</si>
  <si>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</si>
  <si>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</si>
  <si>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</si>
  <si>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</si>
  <si>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</si>
  <si>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</si>
  <si>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</si>
  <si>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</si>
  <si>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</si>
  <si>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</si>
  <si>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</si>
  <si>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</si>
  <si>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</si>
  <si>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</si>
  <si>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</si>
  <si>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</si>
  <si>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</si>
  <si>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</si>
  <si>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</si>
  <si>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</si>
  <si>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</si>
  <si>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</si>
  <si>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</si>
  <si>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</si>
  <si>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</si>
  <si>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</si>
  <si>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</si>
  <si>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</si>
  <si>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</si>
  <si>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</si>
  <si>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</si>
  <si>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</si>
  <si>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</si>
  <si>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</si>
  <si>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</si>
  <si>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</si>
  <si>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</si>
  <si>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</si>
  <si>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</si>
  <si>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</si>
  <si>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</si>
  <si>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</si>
  <si>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</si>
  <si>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</si>
  <si>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</si>
  <si>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</si>
  <si>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</si>
  <si>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</si>
  <si>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</si>
  <si>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</si>
  <si>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</si>
  <si>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</si>
  <si>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</si>
  <si>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</si>
  <si>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</si>
  <si>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</si>
  <si>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</si>
  <si>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</si>
  <si>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</si>
  <si>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</si>
  <si>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</si>
  <si>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</si>
  <si>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</si>
  <si>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</si>
  <si>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</si>
  <si>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</si>
  <si>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</si>
  <si>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</si>
  <si>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</si>
  <si>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</si>
  <si>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</si>
  <si>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</si>
  <si>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</si>
  <si>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</si>
  <si>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</si>
  <si>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</si>
  <si>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</si>
  <si>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</si>
  <si>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</si>
  <si>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</si>
  <si>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</si>
  <si>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</si>
  <si>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</si>
  <si>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</si>
  <si>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</si>
  <si>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</si>
  <si>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</si>
  <si>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</si>
  <si>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</si>
  <si>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</si>
  <si>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</si>
  <si>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</si>
  <si>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</si>
  <si>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</si>
  <si>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</si>
  <si>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</si>
  <si>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</si>
  <si>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</si>
  <si>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</si>
  <si>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</si>
  <si>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</si>
  <si>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</si>
  <si>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</si>
  <si>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</si>
  <si>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</si>
  <si>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</si>
  <si>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</si>
  <si>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</si>
  <si>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</si>
  <si>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</si>
  <si>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</si>
  <si>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</si>
  <si>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</si>
  <si>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</si>
  <si>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</si>
  <si>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</si>
  <si>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</si>
  <si>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</si>
  <si>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</si>
  <si>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</si>
  <si>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</si>
  <si>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</si>
  <si>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</si>
  <si>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</si>
  <si>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</si>
  <si>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</si>
  <si>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</si>
  <si>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</si>
  <si>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</si>
  <si>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</si>
  <si>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</si>
  <si>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</si>
  <si>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</si>
  <si>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</si>
  <si>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</si>
  <si>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</si>
  <si>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</si>
  <si>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</si>
  <si>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</si>
  <si>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</si>
  <si>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</si>
  <si>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</si>
  <si>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</si>
  <si>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</si>
  <si>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</si>
  <si>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</si>
  <si>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</si>
  <si>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</si>
  <si>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</si>
  <si>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</si>
  <si>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</si>
  <si>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</si>
  <si>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</si>
  <si>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</si>
  <si>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</si>
  <si>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</si>
  <si>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</si>
  <si>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</si>
  <si>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</si>
  <si>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</si>
  <si>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</si>
  <si>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</si>
  <si>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</si>
  <si>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</si>
  <si>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</si>
  <si>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</si>
  <si>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</si>
  <si>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</si>
  <si>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</si>
  <si>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</si>
  <si>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</si>
  <si>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</si>
  <si>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</si>
  <si>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</si>
  <si>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</si>
  <si>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</si>
  <si>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</si>
  <si>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</si>
  <si>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</si>
  <si>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</si>
  <si>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</si>
  <si>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</si>
  <si>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</si>
  <si>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</si>
  <si>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</si>
  <si>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</si>
  <si>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</si>
  <si>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</si>
  <si>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</si>
  <si>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</si>
  <si>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</si>
  <si>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</si>
  <si>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</si>
  <si>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</si>
  <si>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</si>
  <si>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</si>
  <si>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</si>
  <si>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</si>
  <si>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</si>
  <si>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</si>
  <si>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</si>
  <si>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</si>
  <si>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</si>
  <si>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</si>
  <si>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</si>
  <si>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</si>
  <si>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</si>
  <si>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</si>
  <si>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</si>
  <si>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</si>
  <si>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</si>
  <si>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</si>
  <si>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</si>
  <si>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</si>
  <si>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</si>
  <si>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</si>
  <si>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</si>
  <si>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</si>
  <si>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</si>
  <si>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</si>
  <si>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</si>
  <si>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</si>
  <si>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</si>
  <si>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</si>
  <si>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</si>
  <si>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</si>
  <si>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</si>
  <si>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</si>
  <si>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</si>
  <si>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</si>
  <si>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</si>
  <si>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</si>
  <si>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</si>
  <si>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</si>
  <si>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</si>
  <si>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</si>
  <si>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</si>
  <si>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</si>
  <si>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</si>
  <si>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</si>
  <si>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</si>
  <si>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</si>
  <si>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</si>
  <si>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</si>
  <si>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</si>
  <si>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</si>
  <si>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</si>
  <si>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</si>
  <si>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</si>
  <si>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</si>
  <si>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</si>
  <si>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</si>
  <si>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</si>
  <si>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</si>
  <si>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</si>
  <si>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</si>
  <si>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</si>
  <si>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</si>
  <si>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</si>
  <si>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</si>
  <si>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</si>
  <si>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</si>
  <si>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</si>
  <si>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</si>
  <si>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</si>
  <si>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</si>
  <si>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</si>
  <si>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</si>
  <si>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</si>
  <si>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</si>
  <si>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</si>
  <si>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</si>
  <si>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</si>
  <si>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</si>
  <si>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</si>
  <si>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</si>
  <si>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</si>
  <si>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</si>
  <si>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</si>
  <si>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</si>
  <si>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</si>
  <si>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</si>
  <si>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</si>
  <si>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</si>
  <si>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</si>
  <si>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</si>
  <si>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</si>
  <si>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</si>
  <si>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</si>
  <si>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</si>
  <si>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</si>
  <si>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</si>
  <si>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</si>
  <si>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</si>
  <si>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</si>
  <si>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</si>
  <si>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</si>
  <si>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</si>
  <si>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</si>
  <si>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</si>
  <si>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</si>
  <si>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</si>
  <si>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</si>
  <si>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</si>
  <si>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</si>
  <si>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</si>
  <si>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</si>
  <si>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</si>
  <si>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</si>
  <si>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</si>
  <si>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</si>
  <si>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</si>
  <si>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</si>
  <si>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</si>
  <si>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</si>
  <si>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</si>
  <si>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</si>
  <si>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</si>
  <si>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</si>
  <si>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</si>
  <si>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</si>
  <si>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</si>
  <si>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</si>
  <si>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</si>
  <si>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</si>
  <si>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</si>
  <si>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</si>
  <si>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</si>
  <si>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</si>
  <si>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</si>
  <si>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</si>
  <si>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</si>
  <si>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</si>
  <si>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</si>
  <si>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</si>
  <si>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</si>
  <si>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</si>
  <si>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</si>
  <si>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</si>
  <si>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</si>
  <si>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</si>
  <si>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</si>
  <si>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</si>
  <si>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</si>
  <si>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</si>
  <si>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</si>
  <si>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</si>
  <si>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</si>
  <si>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</si>
  <si>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</si>
  <si>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</si>
  <si>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</si>
  <si>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</si>
  <si>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</si>
  <si>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</si>
  <si>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</si>
  <si>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</si>
  <si>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</si>
  <si>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</si>
  <si>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</si>
  <si>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</si>
  <si>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</si>
  <si>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</si>
  <si>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CATHERINE RICARD</t>
  </si>
  <si>
    <t>VANESSA CAUCHIE</t>
  </si>
  <si>
    <t>CLAUDINE CARADONNA</t>
  </si>
  <si>
    <t>ISABELLE GUITTI</t>
  </si>
  <si>
    <t>THIERRY GACHE</t>
  </si>
  <si>
    <t>DAVID MARTINOTTI</t>
  </si>
  <si>
    <t>C:\Users\nerea.fraile\EUROLEAGUE\EB STATS - Documents\General\SEASON 2025-26\Reports\Euroleague\PDF</t>
  </si>
  <si>
    <t>C:\Users\nerea.fraile\EUROLEAGUE\EB STATS - Documents\General\SEASON 2025-26\Reports\Euroleague</t>
  </si>
  <si>
    <t>05:12</t>
  </si>
  <si>
    <t>08:55</t>
  </si>
  <si>
    <t>00:42</t>
  </si>
  <si>
    <t>The steal was by the player of the opposite team</t>
  </si>
  <si>
    <t>Very good job, it wasn't an easy match. Congratulations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</si>
</sst>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31_306_MCO_OLY_E2025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306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46094.8125</v>
      </c>
      <c r="C3" s="178"/>
      <c r="D3" s="39">
        <v>547</v>
      </c>
      <c r="E3" s="29"/>
      <c r="F3" s="26">
        <f>SUBTOTAL(3,I17:I106)</f>
        <v>3</v>
      </c>
      <c r="G3" s="27">
        <f>IF(OR(D3="",D3=0),"",F3/D3)</f>
        <v>5.4844606946983544E-3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742</v>
      </c>
      <c r="L4" s="5"/>
      <c r="M4" s="185" t="s">
        <v>762</v>
      </c>
      <c r="N4" s="186"/>
      <c r="O4" s="2"/>
      <c r="P4" s="2"/>
      <c r="Q4" s="84" t="s">
        <v>175</v>
      </c>
      <c r="R4" s="94">
        <f>(IF(G3="",0,G3))</f>
        <v>5.4844606946983544E-3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0.54844606946983543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4.0484460694698354</v>
      </c>
      <c r="N7" s="58"/>
      <c r="O7" s="2"/>
      <c r="P7" s="2"/>
      <c r="Q7" s="86">
        <f>SUM(R5,S5,AC16)</f>
        <v>4.0484460694698354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4.0484460694698354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306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306</v>
      </c>
      <c r="D17" s="32" t="s">
        <v>758</v>
      </c>
      <c r="E17" s="33">
        <v>1</v>
      </c>
      <c r="F17" s="36">
        <v>14</v>
      </c>
      <c r="G17" s="36">
        <v>7</v>
      </c>
      <c r="H17" s="38" t="str">
        <f>IF(I17="","",$I$14)</f>
        <v>SCOUTING</v>
      </c>
      <c r="I17" s="34">
        <v>58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306</v>
      </c>
      <c r="D18" s="32" t="s">
        <v>759</v>
      </c>
      <c r="E18" s="33">
        <v>2</v>
      </c>
      <c r="F18" s="36">
        <v>26</v>
      </c>
      <c r="G18" s="36">
        <v>14</v>
      </c>
      <c r="H18" s="38" t="str">
        <f t="shared" ref="H18:H81" si="8">IF(I18="","",$I$14)</f>
        <v>SCOUTING</v>
      </c>
      <c r="I18" s="34">
        <v>142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306</v>
      </c>
      <c r="D19" s="32" t="s">
        <v>760</v>
      </c>
      <c r="E19" s="33">
        <v>3</v>
      </c>
      <c r="F19" s="36">
        <v>59</v>
      </c>
      <c r="G19" s="36">
        <v>62</v>
      </c>
      <c r="H19" s="38" t="str">
        <f t="shared" si="8"/>
        <v>SCOUTING</v>
      </c>
      <c r="I19" s="34">
        <v>394</v>
      </c>
      <c r="J19" s="13" t="s">
        <v>4</v>
      </c>
      <c r="K19" s="13" t="s">
        <v>62</v>
      </c>
      <c r="L19" s="13" t="s">
        <v>48</v>
      </c>
      <c r="M19" s="13" t="s">
        <v>10</v>
      </c>
      <c r="N19" s="35" t="s">
        <v>761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REPORT_E2025306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"E2025306"</v>
      </c>
      <c r="F3" s="45" t="str">
        <f t="shared" ref="F3:F16" si="0">""""&amp;B3&amp;"""" &amp; " : " &amp;C3&amp;","</f>
        <v>"name" : "E2025306",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"E306"</v>
      </c>
      <c r="F4" s="45" t="str">
        <f t="shared" si="0"/>
        <v>"cod" : "E306",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306</v>
      </c>
      <c r="F6" s="45" t="str">
        <f t="shared" si="0"/>
        <v>"number" : 306,</v>
      </c>
    </row>
    <row r="7" spans="2:6" x14ac:dyDescent="0.25">
      <c r="B7" s="43" t="s">
        <v>116</v>
      </c>
      <c r="C7" s="43" t="str">
        <f ca="1">""""&amp;TEXT('SCOUT &amp; LOGISTICS'!B3,"dd/mm/aaaa")&amp;""""</f>
        <v>"13/03/Friday"</v>
      </c>
      <c r="F7" s="45" t="str">
        <f t="shared" ca="1" si="0"/>
        <v>"date" : "13/03/Friday",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"ISABELLE GUITTI"</v>
      </c>
      <c r="F13" s="45" t="str">
        <f t="shared" si="0"/>
        <v>"Timerkeeper" : "ISABELLE GUITTI",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"THIERRY GACHE"</v>
      </c>
      <c r="F14" s="45" t="str">
        <f t="shared" si="0"/>
        <v>"Shotclock" : "THIERRY GACHE",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 MARTINOTTI"</v>
      </c>
      <c r="F15" s="45" t="str">
        <f t="shared" si="0"/>
        <v>"IRS" : "DAVID MARTINOTTI",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547</v>
      </c>
      <c r="F25" s="45" t="str">
        <f t="shared" ref="F25:F48" si="1">""""&amp;C25&amp;"""" &amp; " : " &amp;D25&amp;","</f>
        <v>"total_actions" : 547,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job, it wasn't an easy match. Congratulations"</v>
      </c>
      <c r="F51" s="45" t="str">
        <f>""""&amp;B51&amp;"""" &amp; " : " &amp;C51&amp;","</f>
        <v>"comments" : "Very good job, it wasn't an easy match. Congratulations",</v>
      </c>
    </row>
    <row r="52" spans="2:6" x14ac:dyDescent="0.25">
      <c r="B52" s="43" t="s">
        <v>153</v>
      </c>
      <c r="C52" s="43" t="str">
        <f>TEXT('SCOUT &amp; LOGISTICS'!F1,"0,0")</f>
        <v>31_306_MCO_OLY_E2025</v>
      </c>
      <c r="F52" s="45" t="str">
        <f>""""&amp;B52&amp;"""" &amp; " : " &amp;C52</f>
        <v>"result" : 31_306_MCO_OLY_E2025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E306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13/03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CATHERINE RICARD</v>
      </c>
      <c r="C8" s="201"/>
      <c r="D8" s="201"/>
      <c r="E8" s="201"/>
      <c r="F8" s="201"/>
      <c r="G8" s="201" t="str">
        <f>IF('SCOUT &amp; LOGISTICS'!D7="","",'SCOUT &amp; LOGISTICS'!D7)</f>
        <v>VANESSA CAUCHIE</v>
      </c>
      <c r="H8" s="201"/>
      <c r="I8" s="201"/>
      <c r="J8" s="201"/>
      <c r="K8" s="201"/>
      <c r="L8" s="201" t="str">
        <f>IF('SCOUT &amp; LOGISTICS'!D8="","",'SCOUT &amp; LOGISTICS'!D8)</f>
        <v>CLAUDINE CARADONNA</v>
      </c>
      <c r="M8" s="201"/>
      <c r="N8" s="201"/>
      <c r="O8" s="201"/>
      <c r="P8" s="201"/>
      <c r="Q8" s="201" t="str">
        <f>IF('SCOUT &amp; LOGISTICS'!D9="","",'SCOUT &amp; LOGISTICS'!D9)</f>
        <v>ISABELLE GUITTI</v>
      </c>
      <c r="R8" s="201"/>
      <c r="S8" s="201"/>
      <c r="T8" s="201"/>
      <c r="U8" s="201"/>
      <c r="V8" s="201" t="str">
        <f>IF('SCOUT &amp; LOGISTICS'!D10="","",'SCOUT &amp; LOGISTICS'!D10)</f>
        <v>THIERRY GACHE</v>
      </c>
      <c r="W8" s="201"/>
      <c r="X8" s="201"/>
      <c r="Y8" s="201"/>
      <c r="Z8" s="201"/>
      <c r="AA8" s="201" t="str">
        <f>IF('SCOUT &amp; LOGISTICS'!D11="","",'SCOUT &amp; LOGISTICS'!D11)</f>
        <v>DAVID MARTINOTTI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547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5.4844606946983544E-3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Very good job, it wasn't an easy match. Congratulations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4.0484460694698354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purl.org/dc/dcmitype/"/>
    <ds:schemaRef ds:uri="http://purl.org/dc/terms/"/>
    <ds:schemaRef ds:uri="http://www.w3.org/XML/1998/namespace"/>
    <ds:schemaRef ds:uri="54eaeb27-407e-4594-8513-05236ac1c663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1694b618-8e81-416b-aa01-0d9b54a17456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FBFD292-783E-45A2-98F5-C527A29631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2026-03-12T20:42:36Z</cp:lastPrinted>
  <dcterms:created xsi:type="dcterms:W3CDTF">2023-09-19T19:50:35Z</dcterms:created>
  <dcterms:modified xsi:type="dcterms:W3CDTF">2026-03-12T20:42:39Z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