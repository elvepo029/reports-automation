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F4F4615-20CF-47A2-8EBF-16F4A6BC8DE4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<sst xmlns="http://schemas.openxmlformats.org/spreadsheetml/2006/main" count="3250" uniqueCount="759">
  <si>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</si>
  <si>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</si>
  <si>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</si>
  <si>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</si>
  <si>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</si>
  <si>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</si>
  <si>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</si>
  <si>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</si>
  <si>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</si>
  <si>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</si>
  <si>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</si>
  <si>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</si>
  <si>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</si>
  <si>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</si>
  <si>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</si>
  <si>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</si>
  <si>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</si>
  <si>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</si>
  <si>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</si>
  <si>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</si>
  <si>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</si>
  <si>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</si>
  <si>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</si>
  <si>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</si>
  <si>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</si>
  <si>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</si>
  <si>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</si>
  <si>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</si>
  <si>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</si>
  <si>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</si>
  <si>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</si>
  <si>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</si>
  <si>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</si>
  <si>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</si>
  <si>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</si>
  <si>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</si>
  <si>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</si>
  <si>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</si>
  <si>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</si>
  <si>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</si>
  <si>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</si>
  <si>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</si>
  <si>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</si>
  <si>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</si>
  <si>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</si>
  <si>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</si>
  <si>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</si>
  <si>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</si>
  <si>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</si>
  <si>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</si>
  <si>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</si>
  <si>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</si>
  <si>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</si>
  <si>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</si>
  <si>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</si>
  <si>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</si>
  <si>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</si>
  <si>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</si>
  <si>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</si>
  <si>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</si>
  <si>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</si>
  <si>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</si>
  <si>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</si>
  <si>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</si>
  <si>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</si>
  <si>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</si>
  <si>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</si>
  <si>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</si>
  <si>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</si>
  <si>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</si>
  <si>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</si>
  <si>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</si>
  <si>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</si>
  <si>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</si>
  <si>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</si>
  <si>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</si>
  <si>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</si>
  <si>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</si>
  <si>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</si>
  <si>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</si>
  <si>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</si>
  <si>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</si>
  <si>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</si>
  <si>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</si>
  <si>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</si>
  <si>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</si>
  <si>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</si>
  <si>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</si>
  <si>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</si>
  <si>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</si>
  <si>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</si>
  <si>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</si>
  <si>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</si>
  <si>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</si>
  <si>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</si>
  <si>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</si>
  <si>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</si>
  <si>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</si>
  <si>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</si>
  <si>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</si>
  <si>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</si>
  <si>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</si>
  <si>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</si>
  <si>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</si>
  <si>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</si>
  <si>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</si>
  <si>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</si>
  <si>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</si>
  <si>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</si>
  <si>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</si>
  <si>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</si>
  <si>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</si>
  <si>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</si>
  <si>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</si>
  <si>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</si>
  <si>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</si>
  <si>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</si>
  <si>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</si>
  <si>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</si>
  <si>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</si>
  <si>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</si>
  <si>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</si>
  <si>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</si>
  <si>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</si>
  <si>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</si>
  <si>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</si>
  <si>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</si>
  <si>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</si>
  <si>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</si>
  <si>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</si>
  <si>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</si>
  <si>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</si>
  <si>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</si>
  <si>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</si>
  <si>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</si>
  <si>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</si>
  <si>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</si>
  <si>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</si>
  <si>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</si>
  <si>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</si>
  <si>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</si>
  <si>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</si>
  <si>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</si>
  <si>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</si>
  <si>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</si>
  <si>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</si>
  <si>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</si>
  <si>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</si>
  <si>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</si>
  <si>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</si>
  <si>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</si>
  <si>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</si>
  <si>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</si>
  <si>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</si>
  <si>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</si>
  <si>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</si>
  <si>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</si>
  <si>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</si>
  <si>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</si>
  <si>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</si>
  <si>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</si>
  <si>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</si>
  <si>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</si>
  <si>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</si>
  <si>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</si>
  <si>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</si>
  <si>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</si>
  <si>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</si>
  <si>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</si>
  <si>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</si>
  <si>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</si>
  <si>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</si>
  <si>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</si>
  <si>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</si>
  <si>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</si>
  <si>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</si>
  <si>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</si>
  <si>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</si>
  <si>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</si>
  <si>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</si>
  <si>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</si>
  <si>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</si>
  <si>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</si>
  <si>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</si>
  <si>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</si>
  <si>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</si>
  <si>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</si>
  <si>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</si>
  <si>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</si>
  <si>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</si>
  <si>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</si>
  <si>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</si>
  <si>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</si>
  <si>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</si>
  <si>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</si>
  <si>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</si>
  <si>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</si>
  <si>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</si>
  <si>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</si>
  <si>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</si>
  <si>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</si>
  <si>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</si>
  <si>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</si>
  <si>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</si>
  <si>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</si>
  <si>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</si>
  <si>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</si>
  <si>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</si>
  <si>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</si>
  <si>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</si>
  <si>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</si>
  <si>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</si>
  <si>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</si>
  <si>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</si>
  <si>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</si>
  <si>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</si>
  <si>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</si>
  <si>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</si>
  <si>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</si>
  <si>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</si>
  <si>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</si>
  <si>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</si>
  <si>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</si>
  <si>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</si>
  <si>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</si>
  <si>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</si>
  <si>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</si>
  <si>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</si>
  <si>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</si>
  <si>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</si>
  <si>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</si>
  <si>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</si>
  <si>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</si>
  <si>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</si>
  <si>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</si>
  <si>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</si>
  <si>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</si>
  <si>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</si>
  <si>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</si>
  <si>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</si>
  <si>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</si>
  <si>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</si>
  <si>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</si>
  <si>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</si>
  <si>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</si>
  <si>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</si>
  <si>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</si>
  <si>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</si>
  <si>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</si>
  <si>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</si>
  <si>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</si>
  <si>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</si>
  <si>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</si>
  <si>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</si>
  <si>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</si>
  <si>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</si>
  <si>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</si>
  <si>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</si>
  <si>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</si>
  <si>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</si>
  <si>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</si>
  <si>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</si>
  <si>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</si>
  <si>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</si>
  <si>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</si>
  <si>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</si>
  <si>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</si>
  <si>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</si>
  <si>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</si>
  <si>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</si>
  <si>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</si>
  <si>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</si>
  <si>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</si>
  <si>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</si>
  <si>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</si>
  <si>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</si>
  <si>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</si>
  <si>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</si>
  <si>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</si>
  <si>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</si>
  <si>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</si>
  <si>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</si>
  <si>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</si>
  <si>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</si>
  <si>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</si>
  <si>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</si>
  <si>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</si>
  <si>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</si>
  <si>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</si>
  <si>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</si>
  <si>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</si>
  <si>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</si>
  <si>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</si>
  <si>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</si>
  <si>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</si>
  <si>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</si>
  <si>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</si>
  <si>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</si>
  <si>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</si>
  <si>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</si>
  <si>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</si>
  <si>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</si>
  <si>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</si>
  <si>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</si>
  <si>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</si>
  <si>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</si>
  <si>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</si>
  <si>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</si>
  <si>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</si>
  <si>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</si>
  <si>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</si>
  <si>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</si>
  <si>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</si>
  <si>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</si>
  <si>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</si>
  <si>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</si>
  <si>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</si>
  <si>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</si>
  <si>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</si>
  <si>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</si>
  <si>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</si>
  <si>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</si>
  <si>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</si>
  <si>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</si>
  <si>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</si>
  <si>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</si>
  <si>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</si>
  <si>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</si>
  <si>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</si>
  <si>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</si>
  <si>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</si>
  <si>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</si>
  <si>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</si>
  <si>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</si>
  <si>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</si>
  <si>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</si>
  <si>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</si>
  <si>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</si>
  <si>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</si>
  <si>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</si>
  <si>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</si>
  <si>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</si>
  <si>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</si>
  <si>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</si>
  <si>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</si>
  <si>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</si>
  <si>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</si>
  <si>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</si>
  <si>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</si>
  <si>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</si>
  <si>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</si>
  <si>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</si>
  <si>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</si>
  <si>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</si>
  <si>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</si>
  <si>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</si>
  <si>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</si>
  <si>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</si>
  <si>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</si>
  <si>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</si>
  <si>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</si>
  <si>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</si>
  <si>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</si>
  <si>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</si>
  <si>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</si>
  <si>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</si>
  <si>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</si>
  <si>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</si>
  <si>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</si>
  <si>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</si>
  <si>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</si>
  <si>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</si>
  <si>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</si>
  <si>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</si>
  <si>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</si>
  <si>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</si>
  <si>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</si>
  <si>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</si>
  <si>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</si>
  <si>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</si>
  <si>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</si>
  <si>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</si>
  <si>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</si>
  <si>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</si>
  <si>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</si>
  <si>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</si>
  <si>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</si>
  <si>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</si>
  <si>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</si>
  <si>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</si>
  <si>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</si>
  <si>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</si>
  <si>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</si>
  <si>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</si>
  <si>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</si>
  <si>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</si>
  <si>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</si>
  <si>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</si>
  <si>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</si>
  <si>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</si>
  <si>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</si>
  <si>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</si>
  <si>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</si>
  <si>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</si>
  <si>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</si>
  <si>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</si>
  <si>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</si>
  <si>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</si>
  <si>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</si>
  <si>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</si>
  <si>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</si>
  <si>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</si>
  <si>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</si>
  <si>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</si>
  <si>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</si>
  <si>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</si>
  <si>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</si>
  <si>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</si>
  <si>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</si>
  <si>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</si>
  <si>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</si>
  <si>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</si>
  <si>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</si>
  <si>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</si>
  <si>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</si>
  <si>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</si>
  <si>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</si>
  <si>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</si>
  <si>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</si>
  <si>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</si>
  <si>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</si>
  <si>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</si>
  <si>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</si>
  <si>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</si>
  <si>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</si>
  <si>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</si>
  <si>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</si>
  <si>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</si>
  <si>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</si>
  <si>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</si>
  <si>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</si>
  <si>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</si>
  <si>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</si>
  <si>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</si>
  <si>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</si>
  <si>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</si>
  <si>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</si>
  <si>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</si>
  <si>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</si>
  <si>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</si>
  <si>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</si>
  <si>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</si>
  <si>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</si>
  <si>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</si>
  <si>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</si>
  <si>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</si>
  <si>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</si>
  <si>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</si>
  <si>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</si>
  <si>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</si>
  <si>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</si>
  <si>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</si>
  <si>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</si>
  <si>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</si>
  <si>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</si>
  <si>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</si>
  <si>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</si>
  <si>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</si>
  <si>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</si>
  <si>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</si>
  <si>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</si>
  <si>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</si>
  <si>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</si>
  <si>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</si>
  <si>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</si>
  <si>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</si>
  <si>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</si>
  <si>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</si>
  <si>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</si>
  <si>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</si>
  <si>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</si>
  <si>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</si>
  <si>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</si>
  <si>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</si>
  <si>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</si>
  <si>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</si>
  <si>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</si>
  <si>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</si>
  <si>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</si>
  <si>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</si>
  <si>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</si>
  <si>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</si>
  <si>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</si>
  <si>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</si>
  <si>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</si>
  <si>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</si>
  <si>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</si>
  <si>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</si>
  <si>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</si>
  <si>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</si>
  <si>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</si>
  <si>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</si>
  <si>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</si>
  <si>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</si>
  <si>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</si>
  <si>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</si>
  <si>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</si>
  <si>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</si>
  <si>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</si>
  <si>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</si>
  <si>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</si>
  <si>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</si>
  <si>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</si>
  <si>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</si>
  <si>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</si>
  <si>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</si>
  <si>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</si>
  <si>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</si>
  <si>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</si>
  <si>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</si>
  <si>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</si>
  <si>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</si>
  <si>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</si>
  <si>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</si>
  <si>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</si>
  <si>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</si>
  <si>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</si>
  <si>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</si>
  <si>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</si>
  <si>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</si>
  <si>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</si>
  <si>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</si>
  <si>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</si>
  <si>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</si>
  <si>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</si>
  <si>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</si>
  <si>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</si>
  <si>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</si>
  <si>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</si>
  <si>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</si>
  <si>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</si>
  <si>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</si>
  <si>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</si>
  <si>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</si>
  <si>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</si>
  <si>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</si>
  <si>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</si>
  <si>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</si>
  <si>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</si>
  <si>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</si>
  <si>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</si>
  <si>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</si>
  <si>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</si>
  <si>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</si>
  <si>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</si>
  <si>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</si>
  <si>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</si>
  <si>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</si>
  <si>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</si>
  <si>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</si>
  <si>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</si>
  <si>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</si>
  <si>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</si>
  <si>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</si>
  <si>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</si>
  <si>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</si>
  <si>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</si>
  <si>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</si>
  <si>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</si>
  <si>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</si>
  <si>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</si>
  <si>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</si>
  <si>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</si>
  <si>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</si>
  <si>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</si>
  <si>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</si>
  <si>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</si>
  <si>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</si>
  <si>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</si>
  <si>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</si>
  <si>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</si>
  <si>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</si>
  <si>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</si>
  <si>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</si>
  <si>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</si>
  <si>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</si>
  <si>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</si>
  <si>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</si>
  <si>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</si>
  <si>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</si>
  <si>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</si>
  <si>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</si>
  <si>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</si>
  <si>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</si>
  <si>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</si>
  <si>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</si>
  <si>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</si>
  <si>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</si>
  <si>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</si>
  <si>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</si>
  <si>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</si>
  <si>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</si>
  <si>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</si>
  <si>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</si>
  <si>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</si>
  <si>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</si>
  <si>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</si>
  <si>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</si>
  <si>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</si>
  <si>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</si>
  <si>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</si>
  <si>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</si>
  <si>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</si>
  <si>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</si>
  <si>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</si>
  <si>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</si>
  <si>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</si>
  <si>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</si>
  <si>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</si>
  <si>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</si>
  <si>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</si>
  <si>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</si>
  <si>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</si>
  <si>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</si>
  <si>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</si>
  <si>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</si>
  <si>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</si>
  <si>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</si>
  <si>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</si>
  <si>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</si>
  <si>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</si>
  <si>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</si>
  <si>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</si>
  <si>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</si>
  <si>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</si>
  <si>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</si>
  <si>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</si>
  <si>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</si>
  <si>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</si>
  <si>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</si>
  <si>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</si>
  <si>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</si>
  <si>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</si>
  <si>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</si>
  <si>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</si>
  <si>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</si>
  <si>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</si>
  <si>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</si>
  <si>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</si>
  <si>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</si>
  <si>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</si>
  <si>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</si>
  <si>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</si>
  <si>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</si>
  <si>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</si>
  <si>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</si>
  <si>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</si>
  <si>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</si>
  <si>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</si>
  <si>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</si>
  <si>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</si>
  <si>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</si>
  <si>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</si>
  <si>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</si>
  <si>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</si>
  <si>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</si>
  <si>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</si>
  <si>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</si>
  <si>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</si>
  <si>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</si>
  <si>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</si>
  <si>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</si>
  <si>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</si>
  <si>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</si>
  <si>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</si>
  <si>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</si>
  <si>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</si>
  <si>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</si>
  <si>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</si>
  <si>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</si>
  <si>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</si>
  <si>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</si>
  <si>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</si>
  <si>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</si>
  <si>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</si>
  <si>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</si>
  <si>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</si>
  <si>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</si>
  <si>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</si>
  <si>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</si>
  <si>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</si>
  <si>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</si>
  <si>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</si>
  <si>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</si>
  <si>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</si>
  <si>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</si>
  <si>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</si>
  <si>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</si>
  <si>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</si>
  <si>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</si>
  <si>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</si>
  <si>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</si>
  <si>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</si>
  <si>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</si>
  <si>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</si>
  <si>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</si>
  <si>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</si>
  <si>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</si>
  <si>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</si>
  <si>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</si>
  <si>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</si>
  <si>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</si>
  <si>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</si>
  <si>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</si>
  <si>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</si>
  <si>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</si>
  <si>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</si>
  <si>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</si>
  <si>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</si>
  <si>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</si>
  <si>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</si>
  <si>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</si>
  <si>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</si>
  <si>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</si>
  <si>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</si>
  <si>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</si>
  <si>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</si>
  <si>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</si>
  <si>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</si>
  <si>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</si>
  <si>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</si>
  <si>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</si>
  <si>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</si>
  <si>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</si>
  <si>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</si>
  <si>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</si>
  <si>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</si>
  <si>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</si>
  <si>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</si>
  <si>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</si>
  <si>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</si>
  <si>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</si>
  <si>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</si>
  <si>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</si>
  <si>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</si>
  <si>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</si>
  <si>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</si>
  <si>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</si>
  <si>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</si>
  <si>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</si>
  <si>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</si>
  <si>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DANILO VESOVIC</t>
  </si>
  <si>
    <t>MARKO LEPOVIC</t>
  </si>
  <si>
    <t>BOGDAN VESOVIC</t>
  </si>
  <si>
    <t>BOJANA RUZICIC</t>
  </si>
  <si>
    <t>JELENA RASINAC</t>
  </si>
  <si>
    <t>JOVANA KRIVOKUCA-MILOVANOVIC</t>
  </si>
  <si>
    <t>Congrats for this huge match ;)</t>
  </si>
  <si>
    <t>5:02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</si>
</sst>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31_308_DUB_BAS_E2025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308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46093.833333333336</v>
      </c>
      <c r="C3" s="157"/>
      <c r="D3" s="39">
        <v>672</v>
      </c>
      <c r="E3" s="29"/>
      <c r="F3" s="26">
        <f>SUBTOTAL(3,I17:I106)</f>
        <v>1</v>
      </c>
      <c r="G3" s="27">
        <f>IF(OR(D3="",D3=0),"",F3/D3)</f>
        <v>1.488095238095238E-3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1.488095238095238E-3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0.14880952380952381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0.64880952380952384</v>
      </c>
      <c r="N7" s="58"/>
      <c r="O7" s="2"/>
      <c r="P7" s="2"/>
      <c r="Q7" s="86">
        <f>SUM(R5,S5,AC16)</f>
        <v>0.64880952380952384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0.64880952380952384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308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308</v>
      </c>
      <c r="D17" s="32" t="s">
        <v>758</v>
      </c>
      <c r="E17" s="33">
        <v>2</v>
      </c>
      <c r="F17" s="36">
        <v>40</v>
      </c>
      <c r="G17" s="36">
        <v>34</v>
      </c>
      <c r="H17" s="38" t="str">
        <f>IF(I17="","",$I$14)</f>
        <v>SCOUTING</v>
      </c>
      <c r="I17" s="34">
        <v>220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REPORT_E2025308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"E2025308"</v>
      </c>
      <c r="F3" s="45" t="str">
        <f t="shared" ref="F3:F16" si="0">""""&amp;B3&amp;"""" &amp; " : " &amp;C3&amp;","</f>
        <v>"name" : "E2025308",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"E308"</v>
      </c>
      <c r="F4" s="45" t="str">
        <f t="shared" si="0"/>
        <v>"cod" : "E308",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308</v>
      </c>
      <c r="F6" s="45" t="str">
        <f t="shared" si="0"/>
        <v>"number" : 308,</v>
      </c>
    </row>
    <row r="7" spans="2:6" x14ac:dyDescent="0.25">
      <c r="B7" s="43" t="s">
        <v>116</v>
      </c>
      <c r="C7" s="43" t="str">
        <f ca="1">""""&amp;TEXT('SCOUT &amp; LOGISTICS'!B3,"dd/mm/aaaa")&amp;""""</f>
        <v>"12/03/2026"</v>
      </c>
      <c r="F7" s="45" t="str">
        <f t="shared" ca="1" si="0"/>
        <v>"date" : "12/03/2026",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"BOGDAN VESOVIC"</v>
      </c>
      <c r="F12" s="45" t="str">
        <f t="shared" si="0"/>
        <v>"Caller_2" : "BOGDAN VESOVIC",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"BOJANA RUZICIC"</v>
      </c>
      <c r="F13" s="45" t="str">
        <f t="shared" si="0"/>
        <v>"Timerkeeper" : "BOJANA RUZICIC",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672</v>
      </c>
      <c r="F25" s="45" t="str">
        <f t="shared" ref="F25:F48" si="1">""""&amp;C25&amp;"""" &amp; " : " &amp;D25&amp;","</f>
        <v>"total_actions" : 672,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"0,1%"</v>
      </c>
      <c r="F27" s="45" t="str">
        <f t="shared" si="1"/>
        <v>"%_corrections" : "0,1%",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"Congrats for this huge match ;)"</v>
      </c>
      <c r="F51" s="45" t="str">
        <f>""""&amp;B51&amp;"""" &amp; " : " &amp;C51&amp;","</f>
        <v>"comments" : "Congrats for this huge match ;)",</v>
      </c>
    </row>
    <row r="52" spans="2:6" x14ac:dyDescent="0.25">
      <c r="B52" s="43" t="s">
        <v>153</v>
      </c>
      <c r="C52" s="43" t="str">
        <f>TEXT('SCOUT &amp; LOGISTICS'!F1,"0,0")</f>
        <v>31_308_DUB_BAS_E2025</v>
      </c>
      <c r="F52" s="45" t="str">
        <f>""""&amp;B52&amp;"""" &amp; " : " &amp;C52</f>
        <v>"result" : 31_308_DUB_BAS_E2025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E308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12/03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BOGDAN VESOVIC</v>
      </c>
      <c r="M8" s="206"/>
      <c r="N8" s="206"/>
      <c r="O8" s="206"/>
      <c r="P8" s="206"/>
      <c r="Q8" s="206" t="str">
        <f>IF('SCOUT &amp; LOGISTICS'!D9="","",'SCOUT &amp; LOGISTICS'!D9)</f>
        <v>BOJANA RUZICIC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672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1.488095238095238E-3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Congrats for this huge match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0.64880952380952384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CD215D-035A-4487-BBBE-BF37C709A0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2026-03-12T21:59:41Z</cp:lastPrinted>
  <dcterms:created xsi:type="dcterms:W3CDTF">2023-09-19T19:50:35Z</dcterms:created>
  <dcterms:modified xsi:type="dcterms:W3CDTF">2026-03-12T21:59:44Z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