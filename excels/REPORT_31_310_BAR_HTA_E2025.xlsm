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71" documentId="8_{696802C9-D4B2-4F94-BFB8-3BB4F6DC5835}" xr6:coauthVersionLast="47" xr6:coauthVersionMax="47" xr10:uidLastSave="{783A2488-3AB9-49D6-A0ED-A2C73B21EB53}"/>
  <bookViews>
    <workbookView minimized="1" xWindow="9405" yWindow="-11790" windowWidth="14400" windowHeight="727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<sst xmlns="http://schemas.openxmlformats.org/spreadsheetml/2006/main" count="3270" uniqueCount="764">
  <si>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</si>
  <si>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</si>
  <si>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</si>
  <si>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</si>
  <si>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</si>
  <si>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</si>
  <si>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</si>
  <si>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</si>
  <si>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</si>
  <si>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</si>
  <si>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</si>
  <si>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</si>
  <si>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</si>
  <si>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</si>
  <si>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</si>
  <si>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</si>
  <si>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</si>
  <si>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</si>
  <si>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</si>
  <si>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</si>
  <si>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</si>
  <si>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</si>
  <si>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</si>
  <si>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</si>
  <si>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</si>
  <si>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</si>
  <si>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</si>
  <si>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</si>
  <si>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</si>
  <si>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</si>
  <si>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</si>
  <si>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</si>
  <si>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</si>
  <si>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</si>
  <si>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</si>
  <si>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</si>
  <si>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</si>
  <si>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</si>
  <si>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</si>
  <si>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</si>
  <si>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</si>
  <si>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</si>
  <si>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</si>
  <si>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</si>
  <si>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</si>
  <si>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</si>
  <si>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</si>
  <si>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</si>
  <si>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</si>
  <si>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</si>
  <si>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</si>
  <si>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</si>
  <si>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</si>
  <si>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</si>
  <si>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</si>
  <si>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</si>
  <si>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</si>
  <si>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</si>
  <si>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</si>
  <si>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</si>
  <si>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</si>
  <si>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</si>
  <si>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</si>
  <si>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</si>
  <si>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</si>
  <si>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</si>
  <si>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</si>
  <si>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</si>
  <si>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</si>
  <si>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</si>
  <si>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</si>
  <si>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</si>
  <si>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</si>
  <si>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</si>
  <si>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</si>
  <si>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</si>
  <si>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</si>
  <si>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</si>
  <si>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</si>
  <si>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</si>
  <si>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</si>
  <si>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</si>
  <si>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</si>
  <si>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</si>
  <si>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</si>
  <si>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</si>
  <si>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</si>
  <si>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</si>
  <si>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</si>
  <si>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</si>
  <si>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</si>
  <si>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</si>
  <si>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</si>
  <si>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</si>
  <si>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</si>
  <si>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</si>
  <si>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</si>
  <si>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</si>
  <si>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</si>
  <si>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</si>
  <si>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</si>
  <si>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</si>
  <si>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</si>
  <si>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</si>
  <si>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</si>
  <si>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</si>
  <si>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</si>
  <si>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</si>
  <si>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</si>
  <si>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</si>
  <si>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</si>
  <si>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</si>
  <si>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</si>
  <si>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</si>
  <si>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</si>
  <si>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</si>
  <si>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</si>
  <si>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</si>
  <si>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</si>
  <si>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</si>
  <si>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</si>
  <si>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</si>
  <si>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</si>
  <si>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</si>
  <si>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</si>
  <si>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</si>
  <si>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</si>
  <si>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</si>
  <si>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</si>
  <si>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</si>
  <si>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</si>
  <si>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</si>
  <si>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</si>
  <si>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</si>
  <si>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</si>
  <si>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</si>
  <si>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</si>
  <si>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</si>
  <si>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</si>
  <si>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</si>
  <si>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</si>
  <si>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</si>
  <si>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</si>
  <si>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</si>
  <si>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</si>
  <si>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</si>
  <si>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</si>
  <si>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</si>
  <si>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</si>
  <si>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</si>
  <si>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</si>
  <si>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</si>
  <si>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</si>
  <si>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</si>
  <si>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</si>
  <si>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</si>
  <si>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</si>
  <si>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</si>
  <si>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</si>
  <si>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</si>
  <si>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</si>
  <si>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</si>
  <si>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</si>
  <si>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</si>
  <si>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</si>
  <si>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</si>
  <si>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</si>
  <si>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</si>
  <si>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</si>
  <si>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</si>
  <si>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</si>
  <si>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</si>
  <si>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</si>
  <si>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</si>
  <si>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</si>
  <si>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</si>
  <si>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</si>
  <si>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</si>
  <si>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</si>
  <si>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</si>
  <si>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</si>
  <si>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</si>
  <si>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</si>
  <si>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</si>
  <si>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</si>
  <si>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</si>
  <si>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</si>
  <si>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</si>
  <si>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</si>
  <si>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</si>
  <si>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</si>
  <si>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</si>
  <si>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</si>
  <si>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</si>
  <si>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</si>
  <si>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</si>
  <si>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</si>
  <si>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</si>
  <si>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</si>
  <si>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</si>
  <si>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</si>
  <si>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</si>
  <si>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</si>
  <si>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</si>
  <si>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</si>
  <si>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</si>
  <si>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</si>
  <si>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</si>
  <si>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</si>
  <si>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</si>
  <si>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</si>
  <si>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</si>
  <si>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</si>
  <si>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</si>
  <si>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</si>
  <si>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</si>
  <si>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</si>
  <si>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</si>
  <si>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</si>
  <si>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</si>
  <si>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</si>
  <si>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</si>
  <si>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</si>
  <si>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</si>
  <si>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</si>
  <si>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</si>
  <si>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</si>
  <si>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</si>
  <si>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</si>
  <si>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</si>
  <si>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</si>
  <si>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</si>
  <si>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</si>
  <si>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</si>
  <si>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</si>
  <si>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</si>
  <si>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</si>
  <si>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</si>
  <si>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</si>
  <si>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</si>
  <si>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</si>
  <si>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</si>
  <si>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</si>
  <si>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</si>
  <si>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</si>
  <si>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</si>
  <si>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</si>
  <si>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</si>
  <si>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</si>
  <si>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</si>
  <si>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</si>
  <si>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</si>
  <si>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</si>
  <si>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</si>
  <si>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</si>
  <si>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</si>
  <si>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</si>
  <si>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</si>
  <si>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</si>
  <si>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</si>
  <si>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</si>
  <si>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</si>
  <si>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</si>
  <si>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</si>
  <si>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</si>
  <si>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</si>
  <si>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</si>
  <si>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</si>
  <si>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</si>
  <si>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</si>
  <si>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</si>
  <si>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</si>
  <si>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</si>
  <si>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</si>
  <si>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</si>
  <si>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</si>
  <si>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</si>
  <si>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</si>
  <si>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</si>
  <si>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</si>
  <si>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</si>
  <si>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</si>
  <si>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</si>
  <si>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</si>
  <si>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</si>
  <si>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</si>
  <si>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</si>
  <si>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</si>
  <si>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</si>
  <si>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</si>
  <si>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</si>
  <si>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</si>
  <si>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</si>
  <si>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</si>
  <si>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</si>
  <si>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</si>
  <si>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</si>
  <si>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</si>
  <si>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</si>
  <si>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</si>
  <si>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</si>
  <si>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</si>
  <si>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</si>
  <si>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</si>
  <si>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</si>
  <si>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</si>
  <si>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</si>
  <si>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</si>
  <si>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</si>
  <si>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</si>
  <si>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</si>
  <si>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</si>
  <si>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</si>
  <si>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</si>
  <si>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</si>
  <si>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</si>
  <si>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</si>
  <si>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</si>
  <si>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</si>
  <si>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</si>
  <si>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</si>
  <si>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</si>
  <si>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</si>
  <si>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</si>
  <si>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</si>
  <si>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</si>
  <si>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</si>
  <si>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</si>
  <si>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</si>
  <si>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</si>
  <si>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</si>
  <si>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</si>
  <si>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</si>
  <si>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</si>
  <si>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</si>
  <si>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</si>
  <si>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</si>
  <si>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</si>
  <si>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</si>
  <si>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</si>
  <si>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</si>
  <si>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</si>
  <si>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</si>
  <si>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</si>
  <si>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</si>
  <si>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</si>
  <si>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</si>
  <si>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</si>
  <si>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</si>
  <si>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</si>
  <si>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</si>
  <si>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</si>
  <si>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</si>
  <si>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</si>
  <si>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</si>
  <si>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</si>
  <si>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</si>
  <si>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</si>
  <si>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</si>
  <si>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</si>
  <si>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</si>
  <si>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</si>
  <si>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</si>
  <si>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</si>
  <si>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</si>
  <si>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</si>
  <si>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</si>
  <si>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</si>
  <si>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</si>
  <si>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</si>
  <si>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</si>
  <si>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</si>
  <si>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</si>
  <si>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</si>
  <si>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</si>
  <si>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</si>
  <si>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</si>
  <si>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</si>
  <si>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</si>
  <si>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</si>
  <si>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</si>
  <si>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</si>
  <si>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</si>
  <si>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</si>
  <si>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</si>
  <si>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</si>
  <si>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</si>
  <si>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</si>
  <si>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</si>
  <si>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</si>
  <si>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</si>
  <si>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</si>
  <si>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</si>
  <si>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</si>
  <si>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</si>
  <si>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</si>
  <si>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</si>
  <si>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</si>
  <si>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</si>
  <si>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</si>
  <si>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</si>
  <si>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</si>
  <si>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</si>
  <si>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</si>
  <si>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</si>
  <si>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</si>
  <si>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</si>
  <si>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</si>
  <si>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</si>
  <si>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</si>
  <si>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</si>
  <si>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</si>
  <si>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</si>
  <si>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</si>
  <si>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</si>
  <si>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</si>
  <si>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</si>
  <si>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</si>
  <si>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</si>
  <si>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</si>
  <si>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</si>
  <si>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</si>
  <si>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</si>
  <si>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</si>
  <si>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</si>
  <si>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</si>
  <si>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</si>
  <si>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</si>
  <si>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</si>
  <si>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</si>
  <si>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</si>
  <si>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</si>
  <si>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</si>
  <si>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</si>
  <si>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</si>
  <si>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</si>
  <si>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</si>
  <si>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</si>
  <si>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</si>
  <si>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</si>
  <si>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</si>
  <si>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</si>
  <si>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</si>
  <si>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</si>
  <si>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</si>
  <si>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</si>
  <si>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</si>
  <si>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</si>
  <si>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</si>
  <si>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</si>
  <si>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</si>
  <si>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</si>
  <si>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</si>
  <si>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</si>
  <si>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</si>
  <si>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</si>
  <si>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</si>
  <si>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</si>
  <si>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</si>
  <si>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</si>
  <si>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</si>
  <si>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</si>
  <si>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</si>
  <si>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</si>
  <si>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</si>
  <si>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</si>
  <si>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</si>
  <si>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</si>
  <si>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</si>
  <si>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</si>
  <si>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</si>
  <si>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</si>
  <si>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</si>
  <si>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</si>
  <si>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</si>
  <si>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</si>
  <si>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</si>
  <si>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</si>
  <si>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</si>
  <si>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</si>
  <si>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</si>
  <si>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</si>
  <si>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</si>
  <si>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</si>
  <si>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</si>
  <si>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</si>
  <si>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</si>
  <si>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</si>
  <si>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</si>
  <si>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</si>
  <si>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</si>
  <si>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</si>
  <si>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</si>
  <si>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</si>
  <si>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</si>
  <si>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</si>
  <si>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</si>
  <si>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</si>
  <si>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</si>
  <si>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</si>
  <si>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</si>
  <si>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</si>
  <si>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</si>
  <si>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</si>
  <si>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</si>
  <si>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</si>
  <si>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</si>
  <si>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</si>
  <si>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</si>
  <si>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</si>
  <si>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</si>
  <si>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</si>
  <si>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</si>
  <si>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</si>
  <si>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</si>
  <si>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</si>
  <si>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</si>
  <si>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</si>
  <si>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</si>
  <si>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</si>
  <si>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</si>
  <si>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</si>
  <si>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</si>
  <si>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</si>
  <si>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</si>
  <si>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</si>
  <si>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</si>
  <si>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</si>
  <si>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</si>
  <si>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</si>
  <si>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</si>
  <si>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</si>
  <si>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</si>
  <si>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</si>
  <si>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</si>
  <si>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</si>
  <si>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</si>
  <si>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</si>
  <si>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</si>
  <si>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</si>
  <si>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</si>
  <si>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</si>
  <si>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</si>
  <si>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</si>
  <si>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</si>
  <si>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</si>
  <si>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</si>
  <si>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</si>
  <si>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</si>
  <si>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</si>
  <si>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</si>
  <si>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</si>
  <si>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</si>
  <si>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</si>
  <si>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</si>
  <si>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</si>
  <si>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</si>
  <si>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</si>
  <si>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</si>
  <si>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</si>
  <si>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</si>
  <si>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</si>
  <si>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</si>
  <si>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</si>
  <si>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</si>
  <si>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</si>
  <si>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</si>
  <si>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</si>
  <si>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</si>
  <si>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</si>
  <si>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</si>
  <si>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</si>
  <si>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</si>
  <si>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</si>
  <si>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</si>
  <si>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</si>
  <si>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</si>
  <si>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</si>
  <si>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</si>
  <si>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</si>
  <si>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</si>
  <si>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</si>
  <si>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</si>
  <si>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</si>
  <si>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</si>
  <si>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</si>
  <si>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</si>
  <si>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</si>
  <si>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</si>
  <si>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</si>
  <si>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</si>
  <si>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</si>
  <si>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</si>
  <si>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</si>
  <si>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</si>
  <si>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</si>
  <si>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</si>
  <si>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</si>
  <si>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</si>
  <si>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</si>
  <si>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</si>
  <si>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</si>
  <si>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</si>
  <si>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</si>
  <si>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</si>
  <si>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</si>
  <si>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</si>
  <si>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</si>
  <si>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</si>
  <si>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</si>
  <si>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</si>
  <si>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</si>
  <si>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</si>
  <si>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</si>
  <si>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</si>
  <si>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</si>
  <si>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</si>
  <si>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</si>
  <si>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</si>
  <si>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</si>
  <si>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</si>
  <si>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</si>
  <si>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</si>
  <si>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</si>
  <si>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</si>
  <si>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</si>
  <si>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</si>
  <si>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</si>
  <si>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</si>
  <si>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</si>
  <si>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</si>
  <si>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</si>
  <si>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</si>
  <si>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</si>
  <si>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</si>
  <si>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</si>
  <si>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</si>
  <si>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</si>
  <si>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</si>
  <si>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</si>
  <si>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</si>
  <si>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</si>
  <si>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</si>
  <si>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</si>
  <si>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</si>
  <si>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</si>
  <si>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</si>
  <si>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</si>
  <si>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</si>
  <si>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</si>
  <si>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</si>
  <si>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</si>
  <si>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</si>
  <si>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</si>
  <si>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</si>
  <si>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</si>
  <si>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</si>
  <si>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</si>
  <si>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</si>
  <si>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</si>
  <si>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</si>
  <si>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</si>
  <si>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</si>
  <si>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</si>
  <si>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</si>
  <si>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</si>
  <si>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</si>
  <si>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</si>
  <si>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</si>
  <si>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</si>
  <si>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</si>
  <si>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</si>
  <si>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</si>
  <si>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</si>
  <si>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</si>
  <si>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</si>
  <si>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</si>
  <si>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</si>
  <si>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</si>
  <si>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</si>
  <si>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</si>
  <si>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</si>
  <si>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</si>
  <si>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</si>
  <si>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</si>
  <si>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</si>
  <si>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</si>
  <si>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</si>
  <si>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</si>
  <si>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</si>
  <si>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</si>
  <si>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</si>
  <si>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</si>
  <si>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</si>
  <si>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</si>
  <si>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</si>
  <si>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</si>
  <si>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</si>
  <si>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</si>
  <si>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</si>
  <si>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</si>
  <si>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</si>
  <si>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</si>
  <si>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</si>
  <si>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</si>
  <si>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</si>
  <si>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</si>
  <si>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</si>
  <si>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</si>
  <si>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</si>
  <si>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</si>
  <si>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</si>
  <si>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</si>
  <si>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</si>
  <si>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</si>
  <si>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</si>
  <si>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</si>
  <si>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</si>
  <si>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</si>
  <si>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</si>
  <si>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</si>
  <si>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</si>
  <si>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</si>
  <si>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</si>
  <si>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</si>
  <si>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</si>
  <si>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</si>
  <si>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</si>
  <si>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</si>
  <si>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</si>
  <si>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</si>
  <si>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</si>
  <si>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</si>
  <si>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</si>
  <si>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</si>
  <si>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</si>
  <si>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</si>
  <si>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</si>
  <si>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</si>
  <si>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</si>
  <si>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</si>
  <si>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</si>
  <si>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</si>
  <si>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</si>
  <si>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</si>
  <si>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</si>
  <si>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</si>
  <si>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</si>
  <si>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</si>
  <si>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</si>
  <si>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 MATEU</t>
  </si>
  <si>
    <t>ROBERTO BAÑOS</t>
  </si>
  <si>
    <t>LAILA GONELL</t>
  </si>
  <si>
    <t>MARIA JOSE SERRANO</t>
  </si>
  <si>
    <t>MANEL LUENGO</t>
  </si>
  <si>
    <t>JESUS LOPEZ</t>
  </si>
  <si>
    <t>GERARD CAROD</t>
  </si>
  <si>
    <t>01:13</t>
  </si>
  <si>
    <t>08:27</t>
  </si>
  <si>
    <t>07:19</t>
  </si>
  <si>
    <t>06:54</t>
  </si>
  <si>
    <t>01:46</t>
  </si>
  <si>
    <t>The work is very good. There is a rebound where Vesely tips the ball backwards. Don’t credit the rebound to him because he doesn't see his teammate.There is an assist that I had you remove where the player receives the ball while being defended, takes time to start moving, and then receives a screen. Don't forget any TV Time Out and tell us the score at the end of each quarter.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</si>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</sst>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31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31_310_BAR_HTA_E2025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763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310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46094.854166666664</v>
      </c>
      <c r="C3" s="157"/>
      <c r="D3" s="39">
        <v>541</v>
      </c>
      <c r="E3" s="29"/>
      <c r="F3" s="26">
        <f>SUBTOTAL(3,I17:I106)</f>
        <v>5</v>
      </c>
      <c r="G3" s="27">
        <f>IF(OR(D3="",D3=0),"",F3/D3)</f>
        <v>9.242144177449169E-3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FC Barcelona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BAR</v>
      </c>
      <c r="I4" s="5"/>
      <c r="J4" s="119" t="s">
        <v>714</v>
      </c>
      <c r="K4" s="54" t="s">
        <v>743</v>
      </c>
      <c r="L4" s="5"/>
      <c r="M4" s="167" t="s">
        <v>762</v>
      </c>
      <c r="N4" s="168"/>
      <c r="O4" s="2"/>
      <c r="P4" s="2"/>
      <c r="Q4" s="84" t="s">
        <v>175</v>
      </c>
      <c r="R4" s="94">
        <f>(IF(G3="",0,G3))</f>
        <v>9.242144177449169E-3</v>
      </c>
      <c r="S4" s="61">
        <f>SUM(I13:M13)</f>
        <v>0</v>
      </c>
      <c r="T4" s="78"/>
      <c r="U4" s="61">
        <f>AC18</f>
        <v>3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Hapoel IBI Tel Aviv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HTA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0.92421441774491686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756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5.924214417744917</v>
      </c>
      <c r="N7" s="58"/>
      <c r="O7" s="2"/>
      <c r="P7" s="2"/>
      <c r="Q7" s="86">
        <f>SUM(R5,S5,AC16)</f>
        <v>5.924214417744917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5.924214417744917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310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5</v>
      </c>
      <c r="Z16" s="90" t="s">
        <v>110</v>
      </c>
      <c r="AA16" s="75">
        <f>SUM(AA17:AA24)</f>
        <v>5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5</v>
      </c>
      <c r="AD16" s="75">
        <f>SUM(AD17:AD24)</f>
        <v>45</v>
      </c>
      <c r="AE16" s="76" t="s">
        <v>42</v>
      </c>
      <c r="AF16" s="75">
        <f>SUM(AF17:AF24)</f>
        <v>3</v>
      </c>
      <c r="AG16" s="75">
        <f>SUM(AG17:AG21)</f>
        <v>5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310</v>
      </c>
      <c r="D17" s="32" t="s">
        <v>757</v>
      </c>
      <c r="E17" s="33">
        <v>1</v>
      </c>
      <c r="F17" s="36">
        <v>24</v>
      </c>
      <c r="G17" s="36">
        <v>19</v>
      </c>
      <c r="H17" s="38" t="str">
        <f>IF(I17="","",$I$14)</f>
        <v>SCOUTING</v>
      </c>
      <c r="I17" s="34">
        <v>110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5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310</v>
      </c>
      <c r="D18" s="32" t="s">
        <v>758</v>
      </c>
      <c r="E18" s="33">
        <v>2</v>
      </c>
      <c r="F18" s="36">
        <v>26</v>
      </c>
      <c r="G18" s="36">
        <v>24</v>
      </c>
      <c r="H18" s="38" t="str">
        <f t="shared" ref="H18:H81" si="8">IF(I18="","",$I$14)</f>
        <v>SCOUTING</v>
      </c>
      <c r="I18" s="34">
        <v>140</v>
      </c>
      <c r="J18" s="13" t="s">
        <v>4</v>
      </c>
      <c r="K18" s="13" t="s">
        <v>63</v>
      </c>
      <c r="L18" s="13" t="s">
        <v>7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4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310</v>
      </c>
      <c r="D19" s="32" t="s">
        <v>759</v>
      </c>
      <c r="E19" s="33">
        <v>2</v>
      </c>
      <c r="F19" s="36">
        <v>26</v>
      </c>
      <c r="G19" s="36">
        <v>29</v>
      </c>
      <c r="H19" s="38" t="str">
        <f t="shared" si="8"/>
        <v>SCOUTING</v>
      </c>
      <c r="I19" s="34">
        <v>158</v>
      </c>
      <c r="J19" s="13" t="s">
        <v>4</v>
      </c>
      <c r="K19" s="13" t="s">
        <v>62</v>
      </c>
      <c r="L19" s="13" t="s">
        <v>6</v>
      </c>
      <c r="M19" s="13" t="s">
        <v>27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310</v>
      </c>
      <c r="D20" s="32" t="s">
        <v>760</v>
      </c>
      <c r="E20" s="33">
        <v>4</v>
      </c>
      <c r="F20" s="36">
        <v>63</v>
      </c>
      <c r="G20" s="36">
        <v>73</v>
      </c>
      <c r="H20" s="38" t="str">
        <f t="shared" si="8"/>
        <v>SCOUTING</v>
      </c>
      <c r="I20" s="34">
        <v>448</v>
      </c>
      <c r="J20" s="13" t="s">
        <v>4</v>
      </c>
      <c r="K20" s="13" t="s">
        <v>62</v>
      </c>
      <c r="L20" s="13" t="s">
        <v>5</v>
      </c>
      <c r="M20" s="13" t="s">
        <v>168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310</v>
      </c>
      <c r="D21" s="32" t="s">
        <v>761</v>
      </c>
      <c r="E21" s="33">
        <v>4</v>
      </c>
      <c r="F21" s="36">
        <v>67</v>
      </c>
      <c r="G21" s="36">
        <v>73</v>
      </c>
      <c r="H21" s="38" t="str">
        <f t="shared" si="8"/>
        <v>SCOUTING</v>
      </c>
      <c r="I21" s="34">
        <v>516</v>
      </c>
      <c r="J21" s="13" t="s">
        <v>4</v>
      </c>
      <c r="K21" s="13" t="s">
        <v>62</v>
      </c>
      <c r="L21" s="13" t="s">
        <v>5</v>
      </c>
      <c r="M21" s="13" t="s">
        <v>28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REPORT_E2025310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"E2025310"</v>
      </c>
      <c r="F3" s="45" t="str">
        <f t="shared" ref="F3:F16" si="0">""""&amp;B3&amp;"""" &amp; " : " &amp;C3&amp;","</f>
        <v>"name" : "E2025310",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"E310"</v>
      </c>
      <c r="F4" s="45" t="str">
        <f t="shared" si="0"/>
        <v>"cod" : "E310",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310</v>
      </c>
      <c r="F6" s="45" t="str">
        <f t="shared" si="0"/>
        <v>"number" : 310,</v>
      </c>
    </row>
    <row r="7" spans="2:6" x14ac:dyDescent="0.25">
      <c r="B7" s="43" t="s">
        <v>116</v>
      </c>
      <c r="C7" s="43" t="str">
        <f ca="1">""""&amp;TEXT('SCOUT &amp; LOGISTICS'!B3,"dd/mm/aaaa")&amp;""""</f>
        <v>"13/03/Friday"</v>
      </c>
      <c r="F7" s="45" t="str">
        <f t="shared" ca="1" si="0"/>
        <v>"date" : "13/03/Friday",</v>
      </c>
    </row>
    <row r="8" spans="2:6" x14ac:dyDescent="0.25">
      <c r="B8" s="43" t="s">
        <v>125</v>
      </c>
      <c r="C8" s="43" t="str">
        <f>""""&amp;'SCOUT &amp; LOGISTICS'!D4 &amp;""""</f>
        <v>"FC Barcelona"</v>
      </c>
      <c r="F8" s="45" t="str">
        <f t="shared" si="0"/>
        <v>"home_team" : "FC Barcelona",</v>
      </c>
    </row>
    <row r="9" spans="2:6" x14ac:dyDescent="0.25">
      <c r="B9" s="43" t="s">
        <v>126</v>
      </c>
      <c r="C9" s="43" t="str">
        <f>""""&amp;'SCOUT &amp; LOGISTICS'!D5&amp;""""</f>
        <v>"Hapoel IBI Tel Aviv"</v>
      </c>
      <c r="F9" s="45" t="str">
        <f t="shared" si="0"/>
        <v>"away_team" : "Hapoel IBI Tel Aviv",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"GERARD CAROD"</v>
      </c>
      <c r="F10" s="45" t="str">
        <f t="shared" si="0"/>
        <v>"Data_entry" : "GERARD CAROD",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"ROBERTO BAÑOS"</v>
      </c>
      <c r="F11" s="45" t="str">
        <f t="shared" si="0"/>
        <v>"Caller_1" : "ROBERTO BAÑOS",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"LAILA GONELL"</v>
      </c>
      <c r="F12" s="45" t="str">
        <f t="shared" si="0"/>
        <v>"Caller_2" : "LAILA GONELL",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"MARIA JOSE SERRANO"</v>
      </c>
      <c r="F13" s="45" t="str">
        <f t="shared" si="0"/>
        <v>"Timerkeeper" : "MARIA JOSE SERRANO",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"MANEL LUENGO"</v>
      </c>
      <c r="F14" s="45" t="str">
        <f t="shared" si="0"/>
        <v>"Shotclock" : "MANEL LUENGO",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"JESUS LOPEZ"</v>
      </c>
      <c r="F15" s="45" t="str">
        <f t="shared" si="0"/>
        <v>"IRS" : "JESUS LOPEZ",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541</v>
      </c>
      <c r="F25" s="45" t="str">
        <f t="shared" ref="F25:F48" si="1">""""&amp;C25&amp;"""" &amp; " : " &amp;D25&amp;","</f>
        <v>"total_actions" : 541,</v>
      </c>
    </row>
    <row r="26" spans="2:6" x14ac:dyDescent="0.25">
      <c r="C26" s="43" t="s">
        <v>132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4</v>
      </c>
      <c r="F29" s="45" t="str">
        <f t="shared" si="1"/>
        <v>"no_team" : 4,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5</v>
      </c>
      <c r="F37" s="45" t="str">
        <f t="shared" si="1"/>
        <v>"scoresheet_corrections" : 5,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"The work is very good. There is a rebound where Vesely tips the ball backwards. Don’t credit the rebound to him because he doesn't see his teammate.There is an assist that I had you remove where the player receives the ball while being defended, takes time to start moving, and then receives a screen. Don't forget any TV Time Out and tell us the score at the end of each quarter."</v>
      </c>
      <c r="F51" s="45" t="str">
        <f>""""&amp;B51&amp;"""" &amp; " : " &amp;C51&amp;","</f>
        <v>"comments" : "The work is very good. There is a rebound where Vesely tips the ball backwards. Don’t credit the rebound to him because he doesn't see his teammate.There is an assist that I had you remove where the player receives the ball while being defended, takes time to start moving, and then receives a screen. Don't forget any TV Time Out and tell us the score at the end of each quarter.",</v>
      </c>
    </row>
    <row r="52" spans="2:6" x14ac:dyDescent="0.25">
      <c r="B52" s="43" t="s">
        <v>153</v>
      </c>
      <c r="C52" s="43" t="str">
        <f>TEXT('SCOUT &amp; LOGISTICS'!F1,"0,0")</f>
        <v>31_310_BAR_HTA_E2025</v>
      </c>
      <c r="F52" s="45" t="str">
        <f>""""&amp;B52&amp;"""" &amp; " : " &amp;C52</f>
        <v>"result" : 31_310_BAR_HTA_E2025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E310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13/03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Fc Barcelona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Hapoel Ibi Tel Aviv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GERARD CAROD</v>
      </c>
      <c r="C8" s="206"/>
      <c r="D8" s="206"/>
      <c r="E8" s="206"/>
      <c r="F8" s="206"/>
      <c r="G8" s="206" t="str">
        <f>IF('SCOUT &amp; LOGISTICS'!D7="","",'SCOUT &amp; LOGISTICS'!D7)</f>
        <v>ROBERTO BAÑOS</v>
      </c>
      <c r="H8" s="206"/>
      <c r="I8" s="206"/>
      <c r="J8" s="206"/>
      <c r="K8" s="206"/>
      <c r="L8" s="206" t="str">
        <f>IF('SCOUT &amp; LOGISTICS'!D8="","",'SCOUT &amp; LOGISTICS'!D8)</f>
        <v>LAILA GONELL</v>
      </c>
      <c r="M8" s="206"/>
      <c r="N8" s="206"/>
      <c r="O8" s="206"/>
      <c r="P8" s="206"/>
      <c r="Q8" s="206" t="str">
        <f>IF('SCOUT &amp; LOGISTICS'!D9="","",'SCOUT &amp; LOGISTICS'!D9)</f>
        <v>MARIA JOSE SERRANO</v>
      </c>
      <c r="R8" s="206"/>
      <c r="S8" s="206"/>
      <c r="T8" s="206"/>
      <c r="U8" s="206"/>
      <c r="V8" s="206" t="str">
        <f>IF('SCOUT &amp; LOGISTICS'!D10="","",'SCOUT &amp; LOGISTICS'!D10)</f>
        <v>MANEL LUENGO</v>
      </c>
      <c r="W8" s="206"/>
      <c r="X8" s="206"/>
      <c r="Y8" s="206"/>
      <c r="Z8" s="206"/>
      <c r="AA8" s="206" t="str">
        <f>IF('SCOUT &amp; LOGISTICS'!D11="","",'SCOUT &amp; LOGISTICS'!D11)</f>
        <v>JESUS LOPEZ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541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5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9.242144177449169E-3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4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2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5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The work is very good. There is a rebound where Vesely tips the ball backwards. Don’t credit the rebound to him because he doesn't see his teammate.There is an assist that I had you remove where the player receives the ball while being defended, takes time to start moving, and then receives a screen. Don't forget any TV Time Out and tell us the score at the end of each quarter.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5.924214417744917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8BBE563-161F-4018-A4C6-688658601F4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2026-03-17T13:56:47Z</cp:lastPrinted>
  <dcterms:created xsi:type="dcterms:W3CDTF">2023-09-19T19:50:35Z</dcterms:created>
  <dcterms:modified xsi:type="dcterms:W3CDTF">2026-03-17T13:58:52Z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