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1640E275-7837-40CD-83B5-7364A971A9D8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<sst xmlns="http://schemas.openxmlformats.org/spreadsheetml/2006/main" count="3270" uniqueCount="762">
  <si>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</si>
  <si>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</si>
  <si>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</si>
  <si>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</si>
  <si>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</si>
  <si>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</si>
  <si>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</si>
  <si>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</si>
  <si>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</si>
  <si>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</si>
  <si>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</si>
  <si>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</si>
  <si>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</si>
  <si>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</si>
  <si>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</si>
  <si>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</si>
  <si>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</si>
  <si>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</si>
  <si>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</si>
  <si>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</si>
  <si>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</si>
  <si>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</si>
  <si>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</si>
  <si>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</si>
  <si>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</si>
  <si>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</si>
  <si>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</si>
  <si>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</si>
  <si>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</si>
  <si>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</si>
  <si>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</si>
  <si>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</si>
  <si>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</si>
  <si>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</si>
  <si>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</si>
  <si>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</si>
  <si>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</si>
  <si>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</si>
  <si>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</si>
  <si>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</si>
  <si>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</si>
  <si>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</si>
  <si>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</si>
  <si>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</si>
  <si>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</si>
  <si>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</si>
  <si>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</si>
  <si>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</si>
  <si>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</si>
  <si>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</si>
  <si>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</si>
  <si>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</si>
  <si>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</si>
  <si>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</si>
  <si>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</si>
  <si>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</si>
  <si>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</si>
  <si>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</si>
  <si>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</si>
  <si>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</si>
  <si>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</si>
  <si>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</si>
  <si>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</si>
  <si>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</si>
  <si>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</si>
  <si>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</si>
  <si>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</si>
  <si>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</si>
  <si>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</si>
  <si>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</si>
  <si>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</si>
  <si>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</si>
  <si>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</si>
  <si>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</si>
  <si>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</si>
  <si>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</si>
  <si>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</si>
  <si>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</si>
  <si>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</si>
  <si>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</si>
  <si>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</si>
  <si>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</si>
  <si>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</si>
  <si>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</si>
  <si>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</si>
  <si>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</si>
  <si>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</si>
  <si>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</si>
  <si>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</si>
  <si>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</si>
  <si>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</si>
  <si>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</si>
  <si>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</si>
  <si>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</si>
  <si>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</si>
  <si>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</si>
  <si>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</si>
  <si>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</si>
  <si>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</si>
  <si>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</si>
  <si>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</si>
  <si>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</si>
  <si>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</si>
  <si>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</si>
  <si>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</si>
  <si>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</si>
  <si>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</si>
  <si>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</si>
  <si>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</si>
  <si>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</si>
  <si>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</si>
  <si>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</si>
  <si>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</si>
  <si>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</si>
  <si>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</si>
  <si>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</si>
  <si>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</si>
  <si>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</si>
  <si>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</si>
  <si>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</si>
  <si>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</si>
  <si>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</si>
  <si>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</si>
  <si>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</si>
  <si>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</si>
  <si>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</si>
  <si>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</si>
  <si>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</si>
  <si>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</si>
  <si>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</si>
  <si>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</si>
  <si>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</si>
  <si>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</si>
  <si>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</si>
  <si>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</si>
  <si>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</si>
  <si>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</si>
  <si>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</si>
  <si>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</si>
  <si>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</si>
  <si>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</si>
  <si>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</si>
  <si>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</si>
  <si>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</si>
  <si>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</si>
  <si>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</si>
  <si>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</si>
  <si>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</si>
  <si>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</si>
  <si>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</si>
  <si>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</si>
  <si>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</si>
  <si>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</si>
  <si>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</si>
  <si>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</si>
  <si>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</si>
  <si>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</si>
  <si>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</si>
  <si>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</si>
  <si>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</si>
  <si>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</si>
  <si>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</si>
  <si>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</si>
  <si>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</si>
  <si>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</si>
  <si>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</si>
  <si>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</si>
  <si>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</si>
  <si>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</si>
  <si>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</si>
  <si>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</si>
  <si>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</si>
  <si>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</si>
  <si>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</si>
  <si>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</si>
  <si>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</si>
  <si>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</si>
  <si>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</si>
  <si>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</si>
  <si>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</si>
  <si>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</si>
  <si>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</si>
  <si>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</si>
  <si>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</si>
  <si>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</si>
  <si>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</si>
  <si>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</si>
  <si>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</si>
  <si>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</si>
  <si>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</si>
  <si>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</si>
  <si>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</si>
  <si>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</si>
  <si>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</si>
  <si>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</si>
  <si>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</si>
  <si>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</si>
  <si>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</si>
  <si>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</si>
  <si>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</si>
  <si>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</si>
  <si>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</si>
  <si>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</si>
  <si>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</si>
  <si>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</si>
  <si>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</si>
  <si>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</si>
  <si>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</si>
  <si>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</si>
  <si>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</si>
  <si>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</si>
  <si>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</si>
  <si>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</si>
  <si>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</si>
  <si>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</si>
  <si>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</si>
  <si>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</si>
  <si>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</si>
  <si>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</si>
  <si>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</si>
  <si>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</si>
  <si>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</si>
  <si>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</si>
  <si>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</si>
  <si>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</si>
  <si>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</si>
  <si>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</si>
  <si>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</si>
  <si>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</si>
  <si>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</si>
  <si>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</si>
  <si>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</si>
  <si>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</si>
  <si>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</si>
  <si>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</si>
  <si>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</si>
  <si>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</si>
  <si>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</si>
  <si>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</si>
  <si>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</si>
  <si>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</si>
  <si>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</si>
  <si>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</si>
  <si>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</si>
  <si>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</si>
  <si>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</si>
  <si>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</si>
  <si>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</si>
  <si>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</si>
  <si>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</si>
  <si>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</si>
  <si>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</si>
  <si>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</si>
  <si>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</si>
  <si>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</si>
  <si>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</si>
  <si>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</si>
  <si>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</si>
  <si>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</si>
  <si>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</si>
  <si>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</si>
  <si>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</si>
  <si>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</si>
  <si>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</si>
  <si>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</si>
  <si>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</si>
  <si>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</si>
  <si>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</si>
  <si>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</si>
  <si>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</si>
  <si>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</si>
  <si>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</si>
  <si>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</si>
  <si>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</si>
  <si>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</si>
  <si>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</si>
  <si>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</si>
  <si>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</si>
  <si>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</si>
  <si>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</si>
  <si>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</si>
  <si>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</si>
  <si>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</si>
  <si>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</si>
  <si>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</si>
  <si>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</si>
  <si>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</si>
  <si>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</si>
  <si>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</si>
  <si>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</si>
  <si>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</si>
  <si>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</si>
  <si>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</si>
  <si>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</si>
  <si>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</si>
  <si>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</si>
  <si>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</si>
  <si>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</si>
  <si>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</si>
  <si>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</si>
  <si>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</si>
  <si>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</si>
  <si>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</si>
  <si>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</si>
  <si>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</si>
  <si>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</si>
  <si>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</si>
  <si>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</si>
  <si>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</si>
  <si>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</si>
  <si>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</si>
  <si>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</si>
  <si>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</si>
  <si>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</si>
  <si>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</si>
  <si>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</si>
  <si>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</si>
  <si>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</si>
  <si>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</si>
  <si>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</si>
  <si>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</si>
  <si>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</si>
  <si>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</si>
  <si>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</si>
  <si>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</si>
  <si>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</si>
  <si>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</si>
  <si>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</si>
  <si>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</si>
  <si>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</si>
  <si>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</si>
  <si>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</si>
  <si>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</si>
  <si>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</si>
  <si>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</si>
  <si>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</si>
  <si>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</si>
  <si>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</si>
  <si>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</si>
  <si>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</si>
  <si>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</si>
  <si>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</si>
  <si>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</si>
  <si>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</si>
  <si>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</si>
  <si>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</si>
  <si>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</si>
  <si>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</si>
  <si>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</si>
  <si>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</si>
  <si>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</si>
  <si>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</si>
  <si>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</si>
  <si>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</si>
  <si>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</si>
  <si>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</si>
  <si>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</si>
  <si>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</si>
  <si>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</si>
  <si>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</si>
  <si>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</si>
  <si>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</si>
  <si>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</si>
  <si>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</si>
  <si>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</si>
  <si>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</si>
  <si>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</si>
  <si>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</si>
  <si>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</si>
  <si>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</si>
  <si>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</si>
  <si>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</si>
  <si>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</si>
  <si>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</si>
  <si>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</si>
  <si>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</si>
  <si>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</si>
  <si>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</si>
  <si>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</si>
  <si>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</si>
  <si>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</si>
  <si>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</si>
  <si>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</si>
  <si>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</si>
  <si>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</si>
  <si>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</si>
  <si>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</si>
  <si>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</si>
  <si>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</si>
  <si>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</si>
  <si>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</si>
  <si>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</si>
  <si>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</si>
  <si>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</si>
  <si>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</si>
  <si>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</si>
  <si>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</si>
  <si>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</si>
  <si>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</si>
  <si>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</si>
  <si>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</si>
  <si>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</si>
  <si>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</si>
  <si>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</si>
  <si>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</si>
  <si>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</si>
  <si>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</si>
  <si>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</si>
  <si>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</si>
  <si>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</si>
  <si>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</si>
  <si>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</si>
  <si>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</si>
  <si>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</si>
  <si>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</si>
  <si>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</si>
  <si>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</si>
  <si>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</si>
  <si>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</si>
  <si>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</si>
  <si>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</si>
  <si>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</si>
  <si>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</si>
  <si>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</si>
  <si>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</si>
  <si>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</si>
  <si>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</si>
  <si>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</si>
  <si>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</si>
  <si>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</si>
  <si>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</si>
  <si>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</si>
  <si>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</si>
  <si>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</si>
  <si>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</si>
  <si>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</si>
  <si>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</si>
  <si>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</si>
  <si>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</si>
  <si>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</si>
  <si>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</si>
  <si>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</si>
  <si>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</si>
  <si>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</si>
  <si>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</si>
  <si>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</si>
  <si>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</si>
  <si>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</si>
  <si>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</si>
  <si>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</si>
  <si>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</si>
  <si>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</si>
  <si>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</si>
  <si>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</si>
  <si>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</si>
  <si>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</si>
  <si>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</si>
  <si>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</si>
  <si>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</si>
  <si>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</si>
  <si>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</si>
  <si>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</si>
  <si>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</si>
  <si>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</si>
  <si>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</si>
  <si>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</si>
  <si>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</si>
  <si>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</si>
  <si>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</si>
  <si>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</si>
  <si>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</si>
  <si>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</si>
  <si>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</si>
  <si>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</si>
  <si>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</si>
  <si>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</si>
  <si>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</si>
  <si>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</si>
  <si>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</si>
  <si>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</si>
  <si>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</si>
  <si>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</si>
  <si>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</si>
  <si>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</si>
  <si>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</si>
  <si>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</si>
  <si>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</si>
  <si>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</si>
  <si>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</si>
  <si>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</si>
  <si>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</si>
  <si>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</si>
  <si>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</si>
  <si>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</si>
  <si>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</si>
  <si>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</si>
  <si>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</si>
  <si>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</si>
  <si>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</si>
  <si>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</si>
  <si>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</si>
  <si>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</si>
  <si>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</si>
  <si>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</si>
  <si>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</si>
  <si>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</si>
  <si>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</si>
  <si>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</si>
  <si>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</si>
  <si>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</si>
  <si>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</si>
  <si>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</si>
  <si>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</si>
  <si>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</si>
  <si>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</si>
  <si>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</si>
  <si>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</si>
  <si>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</si>
  <si>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</si>
  <si>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</si>
  <si>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</si>
  <si>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</si>
  <si>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</si>
  <si>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</si>
  <si>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</si>
  <si>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</si>
  <si>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</si>
  <si>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</si>
  <si>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</si>
  <si>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</si>
  <si>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</si>
  <si>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</si>
  <si>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</si>
  <si>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</si>
  <si>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</si>
  <si>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</si>
  <si>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</si>
  <si>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</si>
  <si>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</si>
  <si>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</si>
  <si>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</si>
  <si>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</si>
  <si>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</si>
  <si>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</si>
  <si>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</si>
  <si>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</si>
  <si>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</si>
  <si>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</si>
  <si>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</si>
  <si>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</si>
  <si>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</si>
  <si>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</si>
  <si>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</si>
  <si>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</si>
  <si>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</si>
  <si>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</si>
  <si>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</si>
  <si>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</si>
  <si>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</si>
  <si>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</si>
  <si>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</si>
  <si>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</si>
  <si>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</si>
  <si>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</si>
  <si>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</si>
  <si>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</si>
  <si>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</si>
  <si>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</si>
  <si>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</si>
  <si>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</si>
  <si>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</si>
  <si>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</si>
  <si>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</si>
  <si>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</si>
  <si>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</si>
  <si>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</si>
  <si>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</si>
  <si>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</si>
  <si>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</si>
  <si>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</si>
  <si>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</si>
  <si>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</si>
  <si>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</si>
  <si>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</si>
  <si>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</si>
  <si>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</si>
  <si>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</si>
  <si>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</si>
  <si>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</si>
  <si>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</si>
  <si>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</si>
  <si>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</si>
  <si>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</si>
  <si>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</si>
  <si>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</si>
  <si>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</si>
  <si>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</si>
  <si>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</si>
  <si>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</si>
  <si>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</si>
  <si>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</si>
  <si>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</si>
  <si>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</si>
  <si>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</si>
  <si>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</si>
  <si>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</si>
  <si>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</si>
  <si>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</si>
  <si>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</si>
  <si>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</si>
  <si>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</si>
  <si>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</si>
  <si>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</si>
  <si>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</si>
  <si>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</si>
  <si>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</si>
  <si>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</si>
  <si>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</si>
  <si>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</si>
  <si>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</si>
  <si>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</si>
  <si>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</si>
  <si>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</si>
  <si>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</si>
  <si>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</si>
  <si>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</si>
  <si>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</si>
  <si>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</si>
  <si>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</si>
  <si>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</si>
  <si>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</si>
  <si>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</si>
  <si>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</si>
  <si>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</si>
  <si>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</si>
  <si>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</si>
  <si>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</si>
  <si>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</si>
  <si>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</si>
  <si>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</si>
  <si>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</si>
  <si>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</si>
  <si>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</si>
  <si>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</si>
  <si>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</si>
  <si>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</si>
  <si>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</si>
  <si>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</si>
  <si>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</si>
  <si>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</si>
  <si>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</si>
  <si>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</si>
  <si>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</si>
  <si>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</si>
  <si>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</si>
  <si>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</si>
  <si>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</si>
  <si>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</si>
  <si>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</si>
  <si>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</si>
  <si>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</si>
  <si>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</si>
  <si>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</si>
  <si>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</si>
  <si>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</si>
  <si>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</si>
  <si>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</si>
  <si>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</si>
  <si>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</si>
  <si>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</si>
  <si>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</si>
  <si>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</si>
  <si>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</si>
  <si>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</si>
  <si>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</si>
  <si>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</si>
  <si>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</si>
  <si>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</si>
  <si>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</si>
  <si>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</si>
  <si>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</si>
  <si>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</si>
  <si>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</si>
  <si>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</si>
  <si>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</si>
  <si>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</si>
  <si>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</si>
  <si>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</si>
  <si>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</si>
  <si>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</si>
  <si>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</si>
  <si>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</si>
  <si>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</si>
  <si>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</si>
  <si>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</si>
  <si>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</si>
  <si>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</si>
  <si>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</si>
  <si>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</si>
  <si>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</si>
  <si>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</si>
  <si>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</si>
  <si>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</si>
  <si>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</si>
  <si>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</si>
  <si>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</si>
  <si>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</si>
  <si>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</si>
  <si>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</si>
  <si>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</si>
  <si>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</si>
  <si>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</si>
  <si>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</si>
  <si>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</si>
  <si>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</si>
  <si>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</si>
  <si>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</si>
  <si>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</si>
  <si>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</si>
  <si>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</si>
  <si>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</si>
  <si>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</si>
  <si>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</si>
  <si>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</si>
  <si>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</si>
  <si>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</si>
  <si>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</si>
  <si>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</si>
  <si>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</si>
  <si>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</si>
  <si>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</si>
  <si>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</si>
  <si>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</si>
  <si>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</si>
  <si>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</si>
  <si>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</si>
  <si>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</si>
  <si>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</si>
  <si>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</si>
  <si>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</si>
  <si>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</si>
  <si>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</si>
  <si>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</si>
  <si>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</si>
  <si>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</si>
  <si>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</si>
  <si>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</si>
  <si>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</si>
  <si>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</si>
  <si>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</si>
  <si>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IOANNIS TRIANTAFYLLOU</t>
  </si>
  <si>
    <t>ANASTASIOS KARIOFYLIS</t>
  </si>
  <si>
    <t>ATHINA KAROUMPALOU</t>
  </si>
  <si>
    <t>MINAS SOLON</t>
  </si>
  <si>
    <t>EVGENIA MALLOUCHOU</t>
  </si>
  <si>
    <t>OSCAR CUESTA</t>
  </si>
  <si>
    <t>5:47</t>
  </si>
  <si>
    <t>7:57</t>
  </si>
  <si>
    <t>7:54</t>
  </si>
  <si>
    <t>8:14</t>
  </si>
  <si>
    <t>0:38</t>
  </si>
  <si>
    <t>Just one thing to improve: try to fix plays a little bit earlier. I know inserting live game it's priority, but try to find spots for it ;) Thanks for the job and the communication!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</si>
</sst>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32_313_OLY_BAS_E2025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313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46100.885416666664</v>
      </c>
      <c r="C3" s="157"/>
      <c r="D3" s="39">
        <v>585</v>
      </c>
      <c r="E3" s="29"/>
      <c r="F3" s="26">
        <f>SUBTOTAL(3,I17:I106)</f>
        <v>5</v>
      </c>
      <c r="G3" s="27">
        <f>IF(OR(D3="",D3=0),"",F3/D3)</f>
        <v>8.5470085470085479E-3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Olympiacos Piraeus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8.5470085470085479E-3</v>
      </c>
      <c r="S4" s="61">
        <f>SUM(I13:M13)</f>
        <v>1</v>
      </c>
      <c r="T4" s="78"/>
      <c r="U4" s="61">
        <f>AC18</f>
        <v>4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0.85470085470085477</v>
      </c>
      <c r="S5" s="70">
        <f t="shared" ref="S5" si="0">S4*S3</f>
        <v>1</v>
      </c>
      <c r="T5" s="92"/>
      <c r="U5" s="70">
        <f t="shared" ref="U5:AG5" si="1">U4*U3</f>
        <v>2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6.3547008547008552</v>
      </c>
      <c r="N7" s="58"/>
      <c r="O7" s="2"/>
      <c r="P7" s="2"/>
      <c r="Q7" s="86">
        <f>SUM(R5,S5,AC16)</f>
        <v>6.3547008547008552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6.3547008547008552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734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313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313</v>
      </c>
      <c r="D17" s="32" t="s">
        <v>756</v>
      </c>
      <c r="E17" s="33">
        <v>1</v>
      </c>
      <c r="F17" s="36">
        <v>11</v>
      </c>
      <c r="G17" s="36">
        <v>12</v>
      </c>
      <c r="H17" s="38" t="str">
        <f>IF(I17="","",$I$14)</f>
        <v>SCOUTING</v>
      </c>
      <c r="I17" s="34">
        <v>58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313</v>
      </c>
      <c r="D18" s="32" t="s">
        <v>757</v>
      </c>
      <c r="E18" s="33">
        <v>3</v>
      </c>
      <c r="F18" s="36">
        <v>47</v>
      </c>
      <c r="G18" s="36">
        <v>44</v>
      </c>
      <c r="H18" s="38" t="str">
        <f t="shared" ref="H18:H81" si="8">IF(I18="","",$I$14)</f>
        <v>SCOUTING</v>
      </c>
      <c r="I18" s="34">
        <v>320</v>
      </c>
      <c r="J18" s="13" t="s">
        <v>4</v>
      </c>
      <c r="K18" s="13" t="s">
        <v>63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1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313</v>
      </c>
      <c r="D19" s="32" t="s">
        <v>758</v>
      </c>
      <c r="E19" s="33">
        <v>3</v>
      </c>
      <c r="F19" s="36">
        <v>47</v>
      </c>
      <c r="G19" s="36">
        <v>44</v>
      </c>
      <c r="H19" s="38" t="str">
        <f t="shared" si="8"/>
        <v>SCOUTING</v>
      </c>
      <c r="I19" s="34">
        <v>321</v>
      </c>
      <c r="J19" s="13" t="s">
        <v>4</v>
      </c>
      <c r="K19" s="13" t="s">
        <v>62</v>
      </c>
      <c r="L19" s="13" t="s">
        <v>7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313</v>
      </c>
      <c r="D20" s="32" t="s">
        <v>759</v>
      </c>
      <c r="E20" s="33">
        <v>4</v>
      </c>
      <c r="F20" s="36">
        <v>73</v>
      </c>
      <c r="G20" s="36">
        <v>63</v>
      </c>
      <c r="H20" s="38" t="str">
        <f t="shared" si="8"/>
        <v>SCOUTING</v>
      </c>
      <c r="I20" s="34">
        <v>477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313</v>
      </c>
      <c r="D21" s="32" t="s">
        <v>760</v>
      </c>
      <c r="E21" s="33">
        <v>4</v>
      </c>
      <c r="F21" s="36">
        <v>87</v>
      </c>
      <c r="G21" s="36">
        <v>80</v>
      </c>
      <c r="H21" s="38" t="str">
        <f t="shared" si="8"/>
        <v>SCOUTING</v>
      </c>
      <c r="I21" s="34">
        <v>578</v>
      </c>
      <c r="J21" s="13" t="s">
        <v>4</v>
      </c>
      <c r="K21" s="13" t="s">
        <v>63</v>
      </c>
      <c r="L21" s="13" t="s">
        <v>5</v>
      </c>
      <c r="M21" s="13" t="s">
        <v>35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1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REPORT_E2025313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"E2025313"</v>
      </c>
      <c r="F3" s="45" t="str">
        <f t="shared" ref="F3:F16" si="0">""""&amp;B3&amp;"""" &amp; " : " &amp;C3&amp;","</f>
        <v>"name" : "E2025313",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"E313"</v>
      </c>
      <c r="F4" s="45" t="str">
        <f t="shared" si="0"/>
        <v>"cod" : "E313",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313</v>
      </c>
      <c r="F6" s="45" t="str">
        <f t="shared" si="0"/>
        <v>"number" : 313,</v>
      </c>
    </row>
    <row r="7" spans="2:6" x14ac:dyDescent="0.25">
      <c r="B7" s="43" t="s">
        <v>116</v>
      </c>
      <c r="C7" s="43" t="str">
        <f ca="1">""""&amp;TEXT('SCOUT &amp; LOGISTICS'!B3,"dd/mm/aaaa")&amp;""""</f>
        <v>"19/03/2026"</v>
      </c>
      <c r="F7" s="45" t="str">
        <f t="shared" ca="1" si="0"/>
        <v>"date" : "19/03/2026",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"IOANNIS TRIANTAFYLLOU"</v>
      </c>
      <c r="F10" s="45" t="str">
        <f t="shared" si="0"/>
        <v>"Data_entry" : "IOANNIS TRIANTAFYLLOU",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"ANASTASIOS KARIOFYLIS"</v>
      </c>
      <c r="F11" s="45" t="str">
        <f t="shared" si="0"/>
        <v>"Caller_1" : "ANASTASIOS KARIOFYLIS",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"MINAS SOLON"</v>
      </c>
      <c r="F13" s="45" t="str">
        <f t="shared" si="0"/>
        <v>"Timerkeeper" : "MINAS SOLON",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"EVGENIA MALLOUCHOU"</v>
      </c>
      <c r="F14" s="45" t="str">
        <f t="shared" si="0"/>
        <v>"Shotclock" : "EVGENIA MALLOUCHOU",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585</v>
      </c>
      <c r="F25" s="45" t="str">
        <f t="shared" ref="F25:F48" si="1">""""&amp;C25&amp;"""" &amp; " : " &amp;D25&amp;","</f>
        <v>"total_actions" : 585,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"0,9%"</v>
      </c>
      <c r="F27" s="45" t="str">
        <f t="shared" si="1"/>
        <v>"%_corrections" : "0,9%",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"Just one thing to improve: try to fix plays a little bit earlier. I know inserting live game it's priority, but try to find spots for it ;) Thanks for the job and the communication!"</v>
      </c>
      <c r="F51" s="45" t="str">
        <f>""""&amp;B51&amp;"""" &amp; " : " &amp;C51&amp;","</f>
        <v>"comments" : "Just one thing to improve: try to fix plays a little bit earlier. I know inserting live game it's priority, but try to find spots for it ;) Thanks for the job and the communication!",</v>
      </c>
    </row>
    <row r="52" spans="2:6" x14ac:dyDescent="0.25">
      <c r="B52" s="43" t="s">
        <v>153</v>
      </c>
      <c r="C52" s="43" t="str">
        <f>TEXT('SCOUT &amp; LOGISTICS'!F1,"0,0")</f>
        <v>32_313_OLY_BAS_E2025</v>
      </c>
      <c r="F52" s="45" t="str">
        <f>""""&amp;B52&amp;"""" &amp; " : " &amp;C52</f>
        <v>"result" : 32_313_OLY_BAS_E2025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E313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19/03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Olympiacos Piraeus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IOANNIS TRIANTAFYLLOU</v>
      </c>
      <c r="C8" s="206"/>
      <c r="D8" s="206"/>
      <c r="E8" s="206"/>
      <c r="F8" s="206"/>
      <c r="G8" s="206" t="str">
        <f>IF('SCOUT &amp; LOGISTICS'!D7="","",'SCOUT &amp; LOGISTICS'!D7)</f>
        <v>ANASTASIOS KARIOFYLIS</v>
      </c>
      <c r="H8" s="206"/>
      <c r="I8" s="206"/>
      <c r="J8" s="206"/>
      <c r="K8" s="206"/>
      <c r="L8" s="206" t="str">
        <f>IF('SCOUT &amp; LOGISTICS'!D8="","",'SCOUT &amp; LOGISTICS'!D8)</f>
        <v>ATHINA KAROUMPALOU</v>
      </c>
      <c r="M8" s="206"/>
      <c r="N8" s="206"/>
      <c r="O8" s="206"/>
      <c r="P8" s="206"/>
      <c r="Q8" s="206" t="str">
        <f>IF('SCOUT &amp; LOGISTICS'!D9="","",'SCOUT &amp; LOGISTICS'!D9)</f>
        <v>MINAS SOLON</v>
      </c>
      <c r="R8" s="206"/>
      <c r="S8" s="206"/>
      <c r="T8" s="206"/>
      <c r="U8" s="206"/>
      <c r="V8" s="206" t="str">
        <f>IF('SCOUT &amp; LOGISTICS'!D10="","",'SCOUT &amp; LOGISTICS'!D10)</f>
        <v>EVGENIA MALLOUCHOU</v>
      </c>
      <c r="W8" s="206"/>
      <c r="X8" s="206"/>
      <c r="Y8" s="206"/>
      <c r="Z8" s="206"/>
      <c r="AA8" s="206" t="str">
        <f>IF('SCOUT &amp; LOGISTICS'!D11="","",'SCOUT &amp; LOGISTICS'!D11)</f>
        <v>KONSTANTINOS TROUPIS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585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8.5470085470085479E-3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Just one thing to improve: try to fix plays a little bit earlier. I know inserting live game it's priority, but try to find spots for it ;) Thanks for the job and the communication!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6.3547008547008552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7139831-2B08-433A-8055-352E2F021D0D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2026-03-19T21:37:55Z</cp:lastPrinted>
  <dcterms:created xsi:type="dcterms:W3CDTF">2023-09-19T19:50:35Z</dcterms:created>
  <dcterms:modified xsi:type="dcterms:W3CDTF">2026-03-19T21:38:12Z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