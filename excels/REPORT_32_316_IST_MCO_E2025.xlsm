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5" documentId="8_{F59A627C-BCC6-4F19-8BC3-9C4076B1CAAE}" xr6:coauthVersionLast="47" xr6:coauthVersionMax="47" xr10:uidLastSave="{CD2361FB-B47E-49E7-A197-89C91157AC01}"/>
  <bookViews>
    <workbookView xWindow="-28920" yWindow="-207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<sst xmlns="http://schemas.openxmlformats.org/spreadsheetml/2006/main" count="3250" uniqueCount="758">
  <si>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</si>
  <si>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</si>
  <si>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</si>
  <si>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</si>
  <si>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</si>
  <si>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</si>
  <si>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</si>
  <si>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</si>
  <si>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</si>
  <si>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</si>
  <si>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</si>
  <si>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</si>
  <si>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</si>
  <si>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</si>
  <si>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</si>
  <si>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</si>
  <si>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</si>
  <si>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</si>
  <si>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</si>
  <si>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</si>
  <si>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</si>
  <si>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</si>
  <si>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</si>
  <si>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</si>
  <si>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</si>
  <si>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</si>
  <si>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</si>
  <si>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</si>
  <si>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</si>
  <si>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</si>
  <si>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</si>
  <si>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</si>
  <si>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</si>
  <si>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</si>
  <si>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</si>
  <si>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</si>
  <si>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</si>
  <si>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</si>
  <si>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</si>
  <si>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</si>
  <si>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</si>
  <si>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</si>
  <si>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</si>
  <si>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</si>
  <si>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</si>
  <si>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</si>
  <si>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</si>
  <si>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</si>
  <si>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</si>
  <si>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</si>
  <si>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</si>
  <si>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</si>
  <si>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</si>
  <si>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</si>
  <si>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</si>
  <si>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</si>
  <si>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</si>
  <si>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</si>
  <si>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</si>
  <si>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</si>
  <si>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</si>
  <si>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</si>
  <si>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</si>
  <si>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</si>
  <si>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</si>
  <si>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</si>
  <si>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</si>
  <si>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</si>
  <si>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</si>
  <si>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</si>
  <si>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</si>
  <si>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</si>
  <si>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</si>
  <si>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</si>
  <si>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</si>
  <si>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</si>
  <si>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</si>
  <si>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</si>
  <si>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</si>
  <si>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</si>
  <si>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</si>
  <si>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</si>
  <si>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</si>
  <si>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</si>
  <si>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</si>
  <si>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</si>
  <si>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</si>
  <si>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</si>
  <si>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</si>
  <si>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</si>
  <si>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</si>
  <si>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</si>
  <si>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</si>
  <si>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</si>
  <si>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</si>
  <si>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</si>
  <si>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</si>
  <si>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</si>
  <si>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</si>
  <si>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</si>
  <si>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</si>
  <si>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</si>
  <si>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</si>
  <si>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</si>
  <si>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</si>
  <si>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</si>
  <si>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</si>
  <si>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</si>
  <si>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</si>
  <si>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</si>
  <si>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</si>
  <si>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</si>
  <si>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</si>
  <si>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</si>
  <si>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</si>
  <si>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</si>
  <si>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</si>
  <si>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</si>
  <si>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</si>
  <si>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</si>
  <si>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</si>
  <si>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</si>
  <si>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</si>
  <si>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</si>
  <si>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</si>
  <si>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</si>
  <si>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</si>
  <si>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</si>
  <si>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</si>
  <si>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</si>
  <si>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</si>
  <si>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</si>
  <si>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</si>
  <si>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</si>
  <si>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</si>
  <si>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</si>
  <si>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</si>
  <si>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</si>
  <si>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</si>
  <si>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</si>
  <si>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</si>
  <si>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</si>
  <si>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</si>
  <si>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</si>
  <si>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</si>
  <si>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</si>
  <si>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</si>
  <si>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</si>
  <si>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</si>
  <si>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</si>
  <si>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</si>
  <si>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</si>
  <si>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</si>
  <si>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</si>
  <si>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</si>
  <si>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</si>
  <si>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</si>
  <si>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</si>
  <si>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</si>
  <si>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</si>
  <si>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</si>
  <si>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</si>
  <si>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</si>
  <si>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</si>
  <si>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</si>
  <si>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</si>
  <si>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</si>
  <si>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</si>
  <si>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</si>
  <si>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</si>
  <si>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</si>
  <si>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</si>
  <si>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</si>
  <si>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</si>
  <si>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</si>
  <si>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</si>
  <si>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</si>
  <si>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</si>
  <si>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</si>
  <si>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</si>
  <si>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</si>
  <si>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</si>
  <si>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</si>
  <si>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</si>
  <si>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</si>
  <si>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</si>
  <si>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</si>
  <si>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</si>
  <si>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</si>
  <si>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</si>
  <si>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</si>
  <si>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</si>
  <si>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</si>
  <si>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</si>
  <si>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</si>
  <si>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</si>
  <si>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</si>
  <si>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</si>
  <si>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</si>
  <si>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</si>
  <si>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</si>
  <si>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</si>
  <si>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</si>
  <si>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</si>
  <si>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</si>
  <si>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</si>
  <si>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</si>
  <si>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</si>
  <si>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</si>
  <si>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</si>
  <si>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</si>
  <si>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</si>
  <si>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</si>
  <si>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</si>
  <si>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</si>
  <si>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</si>
  <si>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</si>
  <si>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</si>
  <si>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</si>
  <si>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</si>
  <si>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</si>
  <si>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</si>
  <si>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</si>
  <si>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</si>
  <si>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</si>
  <si>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</si>
  <si>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</si>
  <si>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</si>
  <si>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</si>
  <si>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</si>
  <si>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</si>
  <si>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</si>
  <si>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</si>
  <si>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</si>
  <si>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</si>
  <si>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</si>
  <si>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</si>
  <si>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</si>
  <si>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</si>
  <si>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</si>
  <si>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</si>
  <si>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</si>
  <si>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</si>
  <si>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</si>
  <si>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</si>
  <si>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</si>
  <si>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</si>
  <si>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</si>
  <si>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</si>
  <si>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</si>
  <si>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</si>
  <si>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</si>
  <si>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</si>
  <si>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</si>
  <si>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</si>
  <si>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</si>
  <si>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</si>
  <si>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</si>
  <si>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</si>
  <si>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</si>
  <si>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</si>
  <si>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</si>
  <si>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</si>
  <si>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</si>
  <si>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</si>
  <si>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</si>
  <si>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</si>
  <si>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</si>
  <si>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</si>
  <si>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</si>
  <si>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</si>
  <si>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</si>
  <si>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</si>
  <si>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</si>
  <si>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</si>
  <si>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</si>
  <si>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</si>
  <si>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</si>
  <si>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</si>
  <si>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</si>
  <si>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</si>
  <si>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</si>
  <si>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</si>
  <si>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</si>
  <si>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</si>
  <si>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</si>
  <si>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</si>
  <si>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</si>
  <si>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</si>
  <si>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</si>
  <si>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</si>
  <si>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</si>
  <si>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</si>
  <si>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</si>
  <si>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</si>
  <si>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</si>
  <si>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</si>
  <si>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</si>
  <si>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</si>
  <si>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</si>
  <si>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</si>
  <si>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</si>
  <si>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</si>
  <si>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</si>
  <si>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</si>
  <si>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</si>
  <si>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</si>
  <si>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</si>
  <si>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</si>
  <si>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</si>
  <si>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</si>
  <si>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</si>
  <si>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</si>
  <si>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</si>
  <si>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</si>
  <si>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</si>
  <si>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</si>
  <si>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</si>
  <si>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</si>
  <si>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</si>
  <si>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</si>
  <si>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</si>
  <si>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</si>
  <si>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</si>
  <si>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</si>
  <si>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</si>
  <si>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</si>
  <si>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</si>
  <si>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</si>
  <si>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</si>
  <si>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</si>
  <si>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</si>
  <si>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</si>
  <si>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</si>
  <si>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</si>
  <si>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</si>
  <si>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</si>
  <si>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</si>
  <si>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</si>
  <si>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</si>
  <si>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</si>
  <si>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</si>
  <si>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</si>
  <si>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</si>
  <si>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</si>
  <si>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</si>
  <si>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</si>
  <si>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</si>
  <si>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</si>
  <si>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</si>
  <si>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</si>
  <si>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</si>
  <si>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</si>
  <si>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</si>
  <si>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</si>
  <si>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</si>
  <si>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</si>
  <si>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</si>
  <si>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</si>
  <si>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</si>
  <si>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</si>
  <si>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</si>
  <si>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</si>
  <si>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</si>
  <si>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</si>
  <si>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</si>
  <si>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</si>
  <si>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</si>
  <si>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</si>
  <si>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</si>
  <si>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</si>
  <si>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</si>
  <si>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</si>
  <si>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</si>
  <si>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</si>
  <si>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</si>
  <si>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</si>
  <si>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</si>
  <si>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</si>
  <si>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</si>
  <si>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</si>
  <si>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</si>
  <si>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</si>
  <si>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</si>
  <si>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</si>
  <si>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</si>
  <si>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</si>
  <si>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</si>
  <si>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</si>
  <si>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</si>
  <si>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</si>
  <si>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</si>
  <si>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</si>
  <si>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</si>
  <si>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</si>
  <si>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</si>
  <si>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</si>
  <si>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</si>
  <si>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</si>
  <si>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</si>
  <si>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</si>
  <si>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</si>
  <si>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</si>
  <si>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</si>
  <si>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</si>
  <si>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</si>
  <si>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</si>
  <si>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</si>
  <si>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</si>
  <si>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</si>
  <si>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</si>
  <si>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</si>
  <si>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</si>
  <si>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</si>
  <si>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</si>
  <si>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</si>
  <si>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</si>
  <si>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</si>
  <si>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</si>
  <si>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</si>
  <si>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</si>
  <si>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</si>
  <si>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</si>
  <si>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</si>
  <si>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</si>
  <si>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</si>
  <si>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</si>
  <si>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</si>
  <si>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</si>
  <si>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</si>
  <si>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</si>
  <si>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</si>
  <si>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</si>
  <si>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</si>
  <si>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</si>
  <si>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</si>
  <si>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</si>
  <si>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</si>
  <si>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</si>
  <si>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</si>
  <si>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</si>
  <si>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</si>
  <si>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</si>
  <si>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</si>
  <si>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</si>
  <si>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</si>
  <si>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</si>
  <si>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</si>
  <si>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</si>
  <si>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</si>
  <si>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</si>
  <si>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</si>
  <si>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</si>
  <si>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</si>
  <si>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</si>
  <si>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</si>
  <si>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</si>
  <si>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</si>
  <si>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</si>
  <si>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</si>
  <si>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</si>
  <si>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</si>
  <si>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</si>
  <si>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</si>
  <si>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</si>
  <si>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</si>
  <si>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</si>
  <si>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</si>
  <si>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</si>
  <si>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</si>
  <si>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</si>
  <si>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</si>
  <si>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</si>
  <si>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</si>
  <si>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</si>
  <si>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</si>
  <si>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</si>
  <si>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</si>
  <si>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</si>
  <si>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</si>
  <si>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</si>
  <si>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</si>
  <si>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</si>
  <si>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</si>
  <si>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</si>
  <si>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</si>
  <si>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</si>
  <si>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</si>
  <si>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</si>
  <si>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</si>
  <si>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</si>
  <si>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</si>
  <si>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</si>
  <si>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</si>
  <si>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</si>
  <si>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</si>
  <si>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</si>
  <si>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</si>
  <si>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</si>
  <si>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</si>
  <si>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</si>
  <si>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</si>
  <si>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</si>
  <si>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</si>
  <si>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</si>
  <si>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</si>
  <si>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</si>
  <si>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</si>
  <si>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</si>
  <si>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</si>
  <si>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</si>
  <si>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</si>
  <si>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</si>
  <si>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</si>
  <si>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</si>
  <si>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</si>
  <si>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</si>
  <si>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</si>
  <si>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</si>
  <si>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</si>
  <si>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</si>
  <si>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</si>
  <si>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</si>
  <si>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</si>
  <si>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</si>
  <si>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</si>
  <si>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</si>
  <si>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</si>
  <si>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</si>
  <si>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</si>
  <si>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</si>
  <si>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</si>
  <si>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</si>
  <si>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</si>
  <si>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</si>
  <si>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</si>
  <si>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</si>
  <si>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</si>
  <si>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</si>
  <si>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</si>
  <si>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</si>
  <si>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</si>
  <si>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</si>
  <si>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</si>
  <si>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</si>
  <si>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</si>
  <si>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</si>
  <si>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</si>
  <si>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</si>
  <si>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</si>
  <si>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</si>
  <si>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</si>
  <si>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</si>
  <si>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</si>
  <si>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</si>
  <si>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</si>
  <si>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</si>
  <si>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</si>
  <si>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</si>
  <si>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</si>
  <si>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</si>
  <si>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</si>
  <si>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</si>
  <si>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</si>
  <si>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</si>
  <si>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</si>
  <si>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</si>
  <si>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</si>
  <si>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</si>
  <si>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</si>
  <si>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</si>
  <si>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</si>
  <si>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</si>
  <si>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</si>
  <si>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</si>
  <si>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</si>
  <si>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</si>
  <si>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</si>
  <si>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</si>
  <si>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</si>
  <si>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</si>
  <si>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</si>
  <si>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</si>
  <si>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</si>
  <si>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</si>
  <si>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</si>
  <si>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</si>
  <si>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</si>
  <si>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</si>
  <si>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</si>
  <si>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</si>
  <si>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</si>
  <si>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</si>
  <si>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</si>
  <si>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</si>
  <si>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</si>
  <si>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</si>
  <si>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</si>
  <si>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</si>
  <si>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</si>
  <si>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</si>
  <si>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</si>
  <si>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</si>
  <si>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</si>
  <si>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</si>
  <si>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</si>
  <si>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</si>
  <si>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</si>
  <si>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</si>
  <si>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</si>
  <si>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</si>
  <si>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</si>
  <si>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</si>
  <si>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</si>
  <si>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</si>
  <si>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</si>
  <si>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</si>
  <si>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</si>
  <si>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</si>
  <si>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</si>
  <si>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</si>
  <si>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</si>
  <si>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</si>
  <si>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</si>
  <si>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</si>
  <si>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</si>
  <si>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</si>
  <si>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</si>
  <si>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</si>
  <si>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</si>
  <si>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</si>
  <si>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</si>
  <si>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</si>
  <si>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</si>
  <si>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</si>
  <si>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</si>
  <si>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</si>
  <si>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</si>
  <si>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</si>
  <si>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</si>
  <si>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</si>
  <si>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</si>
  <si>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</si>
  <si>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</si>
  <si>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</si>
  <si>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</si>
  <si>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</si>
  <si>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</si>
  <si>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</si>
  <si>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</si>
  <si>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</si>
  <si>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</si>
  <si>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</si>
  <si>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</si>
  <si>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</si>
  <si>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</si>
  <si>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</si>
  <si>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</si>
  <si>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</si>
  <si>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</si>
  <si>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</si>
  <si>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</si>
  <si>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</si>
  <si>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</si>
  <si>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</si>
  <si>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</si>
  <si>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</si>
  <si>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</si>
  <si>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</si>
  <si>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</si>
  <si>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</si>
  <si>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</si>
  <si>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</si>
  <si>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</si>
  <si>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</si>
  <si>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</si>
  <si>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</si>
  <si>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</si>
  <si>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</si>
  <si>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</si>
  <si>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</si>
  <si>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</si>
  <si>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</si>
  <si>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</si>
  <si>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</si>
  <si>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</si>
  <si>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</si>
  <si>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</si>
  <si>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</si>
  <si>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</si>
  <si>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</si>
  <si>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</si>
  <si>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</si>
  <si>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</si>
  <si>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</si>
  <si>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</si>
  <si>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</si>
  <si>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</si>
  <si>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</si>
  <si>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</si>
  <si>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</si>
  <si>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</si>
  <si>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</si>
  <si>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</si>
  <si>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</si>
  <si>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</si>
  <si>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</si>
  <si>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</si>
  <si>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</si>
  <si>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</si>
  <si>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</si>
  <si>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</si>
  <si>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</si>
  <si>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</si>
  <si>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</si>
  <si>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</si>
  <si>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</si>
  <si>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</si>
  <si>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</si>
  <si>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</si>
  <si>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</si>
  <si>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</si>
  <si>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</si>
  <si>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</si>
  <si>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</si>
  <si>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</si>
  <si>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</si>
  <si>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</si>
  <si>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</si>
  <si>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</si>
  <si>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</si>
  <si>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</si>
  <si>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</si>
  <si>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</si>
  <si>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</si>
  <si>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</si>
  <si>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</si>
  <si>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</si>
  <si>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</si>
  <si>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</si>
  <si>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</si>
  <si>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</si>
  <si>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</si>
  <si>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</si>
  <si>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</si>
  <si>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</si>
  <si>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</si>
  <si>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</si>
  <si>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</si>
  <si>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</si>
  <si>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ENDER OZBEK</t>
  </si>
  <si>
    <t>SERTAC DOSTEL</t>
  </si>
  <si>
    <t>KEREM SIRMAGIL</t>
  </si>
  <si>
    <t>DINCER ADILLER</t>
  </si>
  <si>
    <t>ORIOL GARCIA</t>
  </si>
  <si>
    <t>01:46</t>
  </si>
  <si>
    <t>Very good scouting with only 1 AS deleted, leaved the paint difficult to see on court.</t>
  </si>
  <si>
    <t>C:\Users\oriol.garcia\OneDrive - EUROLEAGUE\Documents\Season 25-26\Reports\Euroleague\Anadolu Efes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</si>
</sst>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35" sqref="N35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32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32_316_IST_MCO_E2025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316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/>
      <c r="C3" s="157"/>
      <c r="D3" s="39">
        <v>586</v>
      </c>
      <c r="E3" s="29"/>
      <c r="F3" s="26">
        <f>SUBTOTAL(3,I17:I106)</f>
        <v>1</v>
      </c>
      <c r="G3" s="27">
        <f>IF(OR(D3="",D3=0),"",F3/D3)</f>
        <v>1.7064846416382253E-3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Anadolu Efes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743</v>
      </c>
      <c r="L4" s="5"/>
      <c r="M4" s="167" t="s">
        <v>756</v>
      </c>
      <c r="N4" s="168"/>
      <c r="O4" s="2"/>
      <c r="P4" s="2"/>
      <c r="Q4" s="84" t="s">
        <v>175</v>
      </c>
      <c r="R4" s="94">
        <f>(IF(G3="",0,G3))</f>
        <v>1.7064846416382253E-3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AS Monaco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0.17064846416382254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0.67064846416382251</v>
      </c>
      <c r="N7" s="58"/>
      <c r="O7" s="2"/>
      <c r="P7" s="2"/>
      <c r="Q7" s="86">
        <f>SUM(R5,S5,AC16)</f>
        <v>0.67064846416382251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0.67064846416382251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316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754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316</v>
      </c>
      <c r="D17" s="32" t="s">
        <v>755</v>
      </c>
      <c r="E17" s="33">
        <v>4</v>
      </c>
      <c r="F17" s="36">
        <v>87</v>
      </c>
      <c r="G17" s="36">
        <v>87</v>
      </c>
      <c r="H17" s="38" t="str">
        <f>IF(I17="","",$I$14)</f>
        <v>SCOUTING</v>
      </c>
      <c r="I17" s="34">
        <v>548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REPORT_E2025316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"E2025316"</v>
      </c>
      <c r="F3" s="45" t="str">
        <f t="shared" ref="F3:F16" si="0">""""&amp;B3&amp;"""" &amp; " : " &amp;C3&amp;","</f>
        <v>"name" : "E2025316",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"E316"</v>
      </c>
      <c r="F4" s="45" t="str">
        <f t="shared" si="0"/>
        <v>"cod" : "E316",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316</v>
      </c>
      <c r="F6" s="45" t="str">
        <f t="shared" si="0"/>
        <v>"number" : 316,</v>
      </c>
    </row>
    <row r="7" spans="2:6" x14ac:dyDescent="0.25">
      <c r="B7" s="43" t="s">
        <v>116</v>
      </c>
      <c r="C7" s="43" t="str">
        <f>""""&amp;TEXT('SCOUT &amp; LOGISTICS'!B3,"dd/mm/aaaa")&amp;""""</f>
        <v>"00/01/Saturday"</v>
      </c>
      <c r="F7" s="45" t="str">
        <f t="shared" si="0"/>
        <v>"date" : "00/01/Saturday",</v>
      </c>
    </row>
    <row r="8" spans="2:6" x14ac:dyDescent="0.25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5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"ENDER OZBEK"</v>
      </c>
      <c r="F11" s="45" t="str">
        <f t="shared" si="0"/>
        <v>"Caller_1" : "ENDER OZBEK",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"SERTAC DOSTEL"</v>
      </c>
      <c r="F12" s="45" t="str">
        <f t="shared" si="0"/>
        <v>"Caller_2" : "SERTAC DOSTEL",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"KEREM SIRMAGIL"</v>
      </c>
      <c r="F13" s="45" t="str">
        <f t="shared" si="0"/>
        <v>"Timerkeeper" : "KEREM SIRMAGIL",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"DINCER ADILLER"</v>
      </c>
      <c r="F14" s="45" t="str">
        <f t="shared" si="0"/>
        <v>"Shotclock" : "DINCER ADILLER",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586</v>
      </c>
      <c r="F25" s="45" t="str">
        <f t="shared" ref="F25:F48" si="1">""""&amp;C25&amp;"""" &amp; " : " &amp;D25&amp;","</f>
        <v>"total_actions" : 586,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scouting with only 1 AS deleted, leaved the paint difficult to see on court."</v>
      </c>
      <c r="F51" s="45" t="str">
        <f>""""&amp;B51&amp;"""" &amp; " : " &amp;C51&amp;","</f>
        <v>"comments" : "Very good scouting with only 1 AS deleted, leaved the paint difficult to see on court.",</v>
      </c>
    </row>
    <row r="52" spans="2:6" x14ac:dyDescent="0.25">
      <c r="B52" s="43" t="s">
        <v>153</v>
      </c>
      <c r="C52" s="43" t="str">
        <f>TEXT('SCOUT &amp; LOGISTICS'!F1,"0,0")</f>
        <v>32_316_IST_MCO_E2025</v>
      </c>
      <c r="F52" s="45" t="str">
        <f>""""&amp;B52&amp;"""" &amp; " : " &amp;C52</f>
        <v>"result" : 32_316_IST_MCO_E2025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E316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>"DATE: " &amp; TEXT('SCOUT &amp; LOGISTICS'!B3,"dd/mm")</f>
        <v>DATE: 00/01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Anadolu Efes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As Monaco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ENDER OZBEK</v>
      </c>
      <c r="H8" s="206"/>
      <c r="I8" s="206"/>
      <c r="J8" s="206"/>
      <c r="K8" s="206"/>
      <c r="L8" s="206" t="str">
        <f>IF('SCOUT &amp; LOGISTICS'!D8="","",'SCOUT &amp; LOGISTICS'!D8)</f>
        <v>SERTAC DOSTEL</v>
      </c>
      <c r="M8" s="206"/>
      <c r="N8" s="206"/>
      <c r="O8" s="206"/>
      <c r="P8" s="206"/>
      <c r="Q8" s="206" t="str">
        <f>IF('SCOUT &amp; LOGISTICS'!D9="","",'SCOUT &amp; LOGISTICS'!D9)</f>
        <v>KEREM SIRMAGIL</v>
      </c>
      <c r="R8" s="206"/>
      <c r="S8" s="206"/>
      <c r="T8" s="206"/>
      <c r="U8" s="206"/>
      <c r="V8" s="206" t="str">
        <f>IF('SCOUT &amp; LOGISTICS'!D10="","",'SCOUT &amp; LOGISTICS'!D10)</f>
        <v>DINCER ADILLER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586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1.7064846416382253E-3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scouting with only 1 AS deleted, leaved the paint difficult to see on court.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0.67064846416382251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D6D97D8-E3F5-47B8-AC01-4BD40928843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2026-04-07T16:24:14Z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