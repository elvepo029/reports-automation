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1213BD1C-BB48-4A45-B433-5650AC5E2570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<sst xmlns="http://schemas.openxmlformats.org/spreadsheetml/2006/main" count="3235" uniqueCount="752">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</sst>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32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32_320_ZAL_MAD_E2025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320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46101.833333333336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Zalgiris Kaunas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ZAL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Real Madrid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MAD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REPORT_E2025320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"E2025320"</v>
      </c>
      <c r="F3" s="45" t="str">
        <f t="shared" ref="F3:F16" si="0">""""&amp;B3&amp;"""" &amp; " : " &amp;C3&amp;","</f>
        <v>"name" : "E2025320",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"E320"</v>
      </c>
      <c r="F4" s="45" t="str">
        <f t="shared" si="0"/>
        <v>"cod" : "E320",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320</v>
      </c>
      <c r="F6" s="45" t="str">
        <f t="shared" si="0"/>
        <v>"number" : 320,</v>
      </c>
    </row>
    <row r="7" spans="2:6" x14ac:dyDescent="0.2">
      <c r="B7" s="43" t="s">
        <v>116</v>
      </c>
      <c r="C7" s="43" t="str">
        <f ca="1">""""&amp;TEXT('SCOUT &amp; LOGISTICS'!B3,"dd/mm/aaaa")&amp;""""</f>
        <v>"20/03/Friday"</v>
      </c>
      <c r="F7" s="45" t="str">
        <f t="shared" ca="1" si="0"/>
        <v>"date" : "20/03/Friday",</v>
      </c>
    </row>
    <row r="8" spans="2:6" x14ac:dyDescent="0.2">
      <c r="B8" s="43" t="s">
        <v>125</v>
      </c>
      <c r="C8" s="43" t="str">
        <f>""""&amp;'SCOUT &amp; LOGISTICS'!D4 &amp;""""</f>
        <v>"Zalgiris Kaunas"</v>
      </c>
      <c r="F8" s="45" t="str">
        <f t="shared" si="0"/>
        <v>"home_team" : "Zalgiris Kaunas",</v>
      </c>
    </row>
    <row r="9" spans="2:6" x14ac:dyDescent="0.2">
      <c r="B9" s="43" t="s">
        <v>126</v>
      </c>
      <c r="C9" s="43" t="str">
        <f>""""&amp;'SCOUT &amp; LOGISTICS'!D5&amp;""""</f>
        <v>"Real Madrid"</v>
      </c>
      <c r="F9" s="45" t="str">
        <f t="shared" si="0"/>
        <v>"away_team" : "Real Madrid",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32_320_ZAL_MAD_E2025</v>
      </c>
      <c r="F52" s="45" t="str">
        <f>""""&amp;B52&amp;"""" &amp; " : " &amp;C52</f>
        <v>"result" : 32_320_ZAL_MAD_E2025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E320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20/03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Zalgiris Kaunas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Real Madrid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56822F5-6C20-40C6-B142-EBDC7C93444D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