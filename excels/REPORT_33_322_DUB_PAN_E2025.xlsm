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44" documentId="8_{61B81317-E535-42BE-84E9-66EA8B68AE0B}" xr6:coauthVersionLast="47" xr6:coauthVersionMax="47" xr10:uidLastSave="{A9E1D758-227D-4175-AC59-C77DB9F7C895}"/>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<sst xmlns="http://schemas.openxmlformats.org/spreadsheetml/2006/main" count="3255" uniqueCount="761">
  <si>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</si>
  <si>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</si>
  <si>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</si>
  <si>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</si>
  <si>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</si>
  <si>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</si>
  <si>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</si>
  <si>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</si>
  <si>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</si>
  <si>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</si>
  <si>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</si>
  <si>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</si>
  <si>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</si>
  <si>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</si>
  <si>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</si>
  <si>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</si>
  <si>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</si>
  <si>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</si>
  <si>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</si>
  <si>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</si>
  <si>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</si>
  <si>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</si>
  <si>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</si>
  <si>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</si>
  <si>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</si>
  <si>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</si>
  <si>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</si>
  <si>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</si>
  <si>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</si>
  <si>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</si>
  <si>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</si>
  <si>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</si>
  <si>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</si>
  <si>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</si>
  <si>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</si>
  <si>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</si>
  <si>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</si>
  <si>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</si>
  <si>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</si>
  <si>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</si>
  <si>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</si>
  <si>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</si>
  <si>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</si>
  <si>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</si>
  <si>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</si>
  <si>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</si>
  <si>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</si>
  <si>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</si>
  <si>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</si>
  <si>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</si>
  <si>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</si>
  <si>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</si>
  <si>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</si>
  <si>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</si>
  <si>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</si>
  <si>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</si>
  <si>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</si>
  <si>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</si>
  <si>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</si>
  <si>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</si>
  <si>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</si>
  <si>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</si>
  <si>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</si>
  <si>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</si>
  <si>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</si>
  <si>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</si>
  <si>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</si>
  <si>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</si>
  <si>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</si>
  <si>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</si>
  <si>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</si>
  <si>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</si>
  <si>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</si>
  <si>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</si>
  <si>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</si>
  <si>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</si>
  <si>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</si>
  <si>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</si>
  <si>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</si>
  <si>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</si>
  <si>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</si>
  <si>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</si>
  <si>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</si>
  <si>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</si>
  <si>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</si>
  <si>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</si>
  <si>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</si>
  <si>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</si>
  <si>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</si>
  <si>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</si>
  <si>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</si>
  <si>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</si>
  <si>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</si>
  <si>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</si>
  <si>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</si>
  <si>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</si>
  <si>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</si>
  <si>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</si>
  <si>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</si>
  <si>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</si>
  <si>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</si>
  <si>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</si>
  <si>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</si>
  <si>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</si>
  <si>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</si>
  <si>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</si>
  <si>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</si>
  <si>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</si>
  <si>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</si>
  <si>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</si>
  <si>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</si>
  <si>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</si>
  <si>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</si>
  <si>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</si>
  <si>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</si>
  <si>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</si>
  <si>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</si>
  <si>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</si>
  <si>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</si>
  <si>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</si>
  <si>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</si>
  <si>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</si>
  <si>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</si>
  <si>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</si>
  <si>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</si>
  <si>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</si>
  <si>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</si>
  <si>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</si>
  <si>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</si>
  <si>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</si>
  <si>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</si>
  <si>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</si>
  <si>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</si>
  <si>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</si>
  <si>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</si>
  <si>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</si>
  <si>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</si>
  <si>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</si>
  <si>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</si>
  <si>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</si>
  <si>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</si>
  <si>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</si>
  <si>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</si>
  <si>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</si>
  <si>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</si>
  <si>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</si>
  <si>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</si>
  <si>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</si>
  <si>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</si>
  <si>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</si>
  <si>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</si>
  <si>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</si>
  <si>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</si>
  <si>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</si>
  <si>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</si>
  <si>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</si>
  <si>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</si>
  <si>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</si>
  <si>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</si>
  <si>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</si>
  <si>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</si>
  <si>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</si>
  <si>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</si>
  <si>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</si>
  <si>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</si>
  <si>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</si>
  <si>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</si>
  <si>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</si>
  <si>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</si>
  <si>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</si>
  <si>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</si>
  <si>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</si>
  <si>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</si>
  <si>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</si>
  <si>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</si>
  <si>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</si>
  <si>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</si>
  <si>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</si>
  <si>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</si>
  <si>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</si>
  <si>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</si>
  <si>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</si>
  <si>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</si>
  <si>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</si>
  <si>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</si>
  <si>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</si>
  <si>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</si>
  <si>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</si>
  <si>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</si>
  <si>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</si>
  <si>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</si>
  <si>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</si>
  <si>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</si>
  <si>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</si>
  <si>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</si>
  <si>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</si>
  <si>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</si>
  <si>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</si>
  <si>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</si>
  <si>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</si>
  <si>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</si>
  <si>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</si>
  <si>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</si>
  <si>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</si>
  <si>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</si>
  <si>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</si>
  <si>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</si>
  <si>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</si>
  <si>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</si>
  <si>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</si>
  <si>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</si>
  <si>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</si>
  <si>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</si>
  <si>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</si>
  <si>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</si>
  <si>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</si>
  <si>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</si>
  <si>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</si>
  <si>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</si>
  <si>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</si>
  <si>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</si>
  <si>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</si>
  <si>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</si>
  <si>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</si>
  <si>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</si>
  <si>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</si>
  <si>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</si>
  <si>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</si>
  <si>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</si>
  <si>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</si>
  <si>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</si>
  <si>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</si>
  <si>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</si>
  <si>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</si>
  <si>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</si>
  <si>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</si>
  <si>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</si>
  <si>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</si>
  <si>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</si>
  <si>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</si>
  <si>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</si>
  <si>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</si>
  <si>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</si>
  <si>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</si>
  <si>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</si>
  <si>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</si>
  <si>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</si>
  <si>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</si>
  <si>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</si>
  <si>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</si>
  <si>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</si>
  <si>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</si>
  <si>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</si>
  <si>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</si>
  <si>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</si>
  <si>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</si>
  <si>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</si>
  <si>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</si>
  <si>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</si>
  <si>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</si>
  <si>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</si>
  <si>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</si>
  <si>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</si>
  <si>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</si>
  <si>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</si>
  <si>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</si>
  <si>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</si>
  <si>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</si>
  <si>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</si>
  <si>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</si>
  <si>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</si>
  <si>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</si>
  <si>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</si>
  <si>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</si>
  <si>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</si>
  <si>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</si>
  <si>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</si>
  <si>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</si>
  <si>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</si>
  <si>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</si>
  <si>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</si>
  <si>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</si>
  <si>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</si>
  <si>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</si>
  <si>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</si>
  <si>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</si>
  <si>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</si>
  <si>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</si>
  <si>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</si>
  <si>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</si>
  <si>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</si>
  <si>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</si>
  <si>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</si>
  <si>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</si>
  <si>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</si>
  <si>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</si>
  <si>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</si>
  <si>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</si>
  <si>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</si>
  <si>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</si>
  <si>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</si>
  <si>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</si>
  <si>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</si>
  <si>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</si>
  <si>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</si>
  <si>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</si>
  <si>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</si>
  <si>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</si>
  <si>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</si>
  <si>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</si>
  <si>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</si>
  <si>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</si>
  <si>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</si>
  <si>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</si>
  <si>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</si>
  <si>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</si>
  <si>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</si>
  <si>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</si>
  <si>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</si>
  <si>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</si>
  <si>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</si>
  <si>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</si>
  <si>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</si>
  <si>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</si>
  <si>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</si>
  <si>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</si>
  <si>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</si>
  <si>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</si>
  <si>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</si>
  <si>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</si>
  <si>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</si>
  <si>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</si>
  <si>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</si>
  <si>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</si>
  <si>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</si>
  <si>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</si>
  <si>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</si>
  <si>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</si>
  <si>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</si>
  <si>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</si>
  <si>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</si>
  <si>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</si>
  <si>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</si>
  <si>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</si>
  <si>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</si>
  <si>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</si>
  <si>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</si>
  <si>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</si>
  <si>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</si>
  <si>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</si>
  <si>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</si>
  <si>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</si>
  <si>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</si>
  <si>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</si>
  <si>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</si>
  <si>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</si>
  <si>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</si>
  <si>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</si>
  <si>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</si>
  <si>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</si>
  <si>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</si>
  <si>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</si>
  <si>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</si>
  <si>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</si>
  <si>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</si>
  <si>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</si>
  <si>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</si>
  <si>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</si>
  <si>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</si>
  <si>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</si>
  <si>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</si>
  <si>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</si>
  <si>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</si>
  <si>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</si>
  <si>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</si>
  <si>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</si>
  <si>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</si>
  <si>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</si>
  <si>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</si>
  <si>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</si>
  <si>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</si>
  <si>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</si>
  <si>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</si>
  <si>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</si>
  <si>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</si>
  <si>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</si>
  <si>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</si>
  <si>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</si>
  <si>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</si>
  <si>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</si>
  <si>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</si>
  <si>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</si>
  <si>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</si>
  <si>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</si>
  <si>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</si>
  <si>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</si>
  <si>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</si>
  <si>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</si>
  <si>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</si>
  <si>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</si>
  <si>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</si>
  <si>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</si>
  <si>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</si>
  <si>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</si>
  <si>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</si>
  <si>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</si>
  <si>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</si>
  <si>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</si>
  <si>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</si>
  <si>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</si>
  <si>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</si>
  <si>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</si>
  <si>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</si>
  <si>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</si>
  <si>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</si>
  <si>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</si>
  <si>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</si>
  <si>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</si>
  <si>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</si>
  <si>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</si>
  <si>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</si>
  <si>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</si>
  <si>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</si>
  <si>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</si>
  <si>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</si>
  <si>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</si>
  <si>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</si>
  <si>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</si>
  <si>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</si>
  <si>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</si>
  <si>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</si>
  <si>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</si>
  <si>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</si>
  <si>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</si>
  <si>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</si>
  <si>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</si>
  <si>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</si>
  <si>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</si>
  <si>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</si>
  <si>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</si>
  <si>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</si>
  <si>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</si>
  <si>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</si>
  <si>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</si>
  <si>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</si>
  <si>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</si>
  <si>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</si>
  <si>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</si>
  <si>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</si>
  <si>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</si>
  <si>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</si>
  <si>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</si>
  <si>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</si>
  <si>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</si>
  <si>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</si>
  <si>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</si>
  <si>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</si>
  <si>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</si>
  <si>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</si>
  <si>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</si>
  <si>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</si>
  <si>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</si>
  <si>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</si>
  <si>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</si>
  <si>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</si>
  <si>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</si>
  <si>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</si>
  <si>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</si>
  <si>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</si>
  <si>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</si>
  <si>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</si>
  <si>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</si>
  <si>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</si>
  <si>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</si>
  <si>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</si>
  <si>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</si>
  <si>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</si>
  <si>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</si>
  <si>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</si>
  <si>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</si>
  <si>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</si>
  <si>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</si>
  <si>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</si>
  <si>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</si>
  <si>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</si>
  <si>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</si>
  <si>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</si>
  <si>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</si>
  <si>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</si>
  <si>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</si>
  <si>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</si>
  <si>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</si>
  <si>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</si>
  <si>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</si>
  <si>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</si>
  <si>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</si>
  <si>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</si>
  <si>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</si>
  <si>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</si>
  <si>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</si>
  <si>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</si>
  <si>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</si>
  <si>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</si>
  <si>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</si>
  <si>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</si>
  <si>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</si>
  <si>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</si>
  <si>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</si>
  <si>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</si>
  <si>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</si>
  <si>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</si>
  <si>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</si>
  <si>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</si>
  <si>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</si>
  <si>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</si>
  <si>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</si>
  <si>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</si>
  <si>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</si>
  <si>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</si>
  <si>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</si>
  <si>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</si>
  <si>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</si>
  <si>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</si>
  <si>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</si>
  <si>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</si>
  <si>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</si>
  <si>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</si>
  <si>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</si>
  <si>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</si>
  <si>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</si>
  <si>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</si>
  <si>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</si>
  <si>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</si>
  <si>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</si>
  <si>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</si>
  <si>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</si>
  <si>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</si>
  <si>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</si>
  <si>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</si>
  <si>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</si>
  <si>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</si>
  <si>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</si>
  <si>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</si>
  <si>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</si>
  <si>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</si>
  <si>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</si>
  <si>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</si>
  <si>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</si>
  <si>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</si>
  <si>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</si>
  <si>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</si>
  <si>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</si>
  <si>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</si>
  <si>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</si>
  <si>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</si>
  <si>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</si>
  <si>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</si>
  <si>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</si>
  <si>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</si>
  <si>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</si>
  <si>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</si>
  <si>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</si>
  <si>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</si>
  <si>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</si>
  <si>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</si>
  <si>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</si>
  <si>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</si>
  <si>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</si>
  <si>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</si>
  <si>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</si>
  <si>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</si>
  <si>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</si>
  <si>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</si>
  <si>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</si>
  <si>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</si>
  <si>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</si>
  <si>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</si>
  <si>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</si>
  <si>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</si>
  <si>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</si>
  <si>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</si>
  <si>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</si>
  <si>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</si>
  <si>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</si>
  <si>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</si>
  <si>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</si>
  <si>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</si>
  <si>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</si>
  <si>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</si>
  <si>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</si>
  <si>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</si>
  <si>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</si>
  <si>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</si>
  <si>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</si>
  <si>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</si>
  <si>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</si>
  <si>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</si>
  <si>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</si>
  <si>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</si>
  <si>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</si>
  <si>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</si>
  <si>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</si>
  <si>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</si>
  <si>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</si>
  <si>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</si>
  <si>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</si>
  <si>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</si>
  <si>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</si>
  <si>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</si>
  <si>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</si>
  <si>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</si>
  <si>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</si>
  <si>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</si>
  <si>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</si>
  <si>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</si>
  <si>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</si>
  <si>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</si>
  <si>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</si>
  <si>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</si>
  <si>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</si>
  <si>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</si>
  <si>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</si>
  <si>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</si>
  <si>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</si>
  <si>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</si>
  <si>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</si>
  <si>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</si>
  <si>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</si>
  <si>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</si>
  <si>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</si>
  <si>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</si>
  <si>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</si>
  <si>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</si>
  <si>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</si>
  <si>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</si>
  <si>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</si>
  <si>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</si>
  <si>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</si>
  <si>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</si>
  <si>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</si>
  <si>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</si>
  <si>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</si>
  <si>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</si>
  <si>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</si>
  <si>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</si>
  <si>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</si>
  <si>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</si>
  <si>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</si>
  <si>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</si>
  <si>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</si>
  <si>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</si>
  <si>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</si>
  <si>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</si>
  <si>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</si>
  <si>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</si>
  <si>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</si>
  <si>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</si>
  <si>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</si>
  <si>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</si>
  <si>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</si>
  <si>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</si>
  <si>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</si>
  <si>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</si>
  <si>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</si>
  <si>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</si>
  <si>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</si>
  <si>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</si>
  <si>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</si>
  <si>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</si>
  <si>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</si>
  <si>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</si>
  <si>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</si>
  <si>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</si>
  <si>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</si>
  <si>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</si>
  <si>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</si>
  <si>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</si>
  <si>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</si>
  <si>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</si>
  <si>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</si>
  <si>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</si>
  <si>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</si>
  <si>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</si>
  <si>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</si>
  <si>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</si>
  <si>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</si>
  <si>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</si>
  <si>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</si>
  <si>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</si>
  <si>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</si>
  <si>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</si>
  <si>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</si>
  <si>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</si>
  <si>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</si>
  <si>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</si>
  <si>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</si>
  <si>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</si>
  <si>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</si>
  <si>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</si>
  <si>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</si>
  <si>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</si>
  <si>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</si>
  <si>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</si>
  <si>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</si>
  <si>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</si>
  <si>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</si>
  <si>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</si>
  <si>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</si>
  <si>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</si>
  <si>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</si>
  <si>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</si>
  <si>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</si>
  <si>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</si>
  <si>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</si>
  <si>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</si>
  <si>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</si>
  <si>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</si>
  <si>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</si>
  <si>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</si>
  <si>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</si>
  <si>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</si>
  <si>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</si>
  <si>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</si>
  <si>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</si>
  <si>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</si>
  <si>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</si>
  <si>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</si>
  <si>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</si>
  <si>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</si>
  <si>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</si>
  <si>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</si>
  <si>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</si>
  <si>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</si>
  <si>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</si>
  <si>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</si>
  <si>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</si>
  <si>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</si>
  <si>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</si>
  <si>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</si>
  <si>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</si>
  <si>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</si>
  <si>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</si>
  <si>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</si>
  <si>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</si>
  <si>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</si>
  <si>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</si>
  <si>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</si>
  <si>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</si>
  <si>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</si>
  <si>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</si>
  <si>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 xml:space="preserve">XAVIER MATEU </t>
  </si>
  <si>
    <t>DANILO VESOVIC</t>
  </si>
  <si>
    <t>MARKO LEPOVIC</t>
  </si>
  <si>
    <t>FRANCESC SENPAU VILLANUEVA</t>
  </si>
  <si>
    <t>IVANA PRPA</t>
  </si>
  <si>
    <t>JELENA BOGUCANIN</t>
  </si>
  <si>
    <t>BILJANA KOSTRES</t>
  </si>
  <si>
    <t>01:40</t>
  </si>
  <si>
    <t>01:00</t>
  </si>
  <si>
    <t>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</si>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</sst>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33</v>
      </c>
      <c r="D1" s="124" t="s">
        <v>749</v>
      </c>
      <c r="E1" s="125">
        <v>2025</v>
      </c>
      <c r="F1" s="120" t="str">
        <f>TEXT(C1,"00") &amp; "_" &amp; TEXT(C2,"000")&amp; "_" &amp; H4 &amp; "_" &amp; H5 &amp; "_" &amp; B2</f>
        <v>33_322_DUB_PAN_E2025</v>
      </c>
      <c r="G1" s="5"/>
      <c r="H1" s="5"/>
      <c r="I1" s="5"/>
      <c r="J1" s="8" t="s">
        <v>707</v>
      </c>
      <c r="K1" s="121" t="s">
        <v>742</v>
      </c>
      <c r="L1" s="121"/>
      <c r="M1" s="122" t="s">
        <v>239</v>
      </c>
      <c r="N1" s="121" t="s">
        <v>760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322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77">
        <f ca="1">IF(ISERROR(VLOOKUP($B$2&amp;TEXT($C$2,"000"),GAMES!$A$3:$I$562,8,FALSE)),NOW(),VLOOKUP($B$2&amp;TEXT($C$2,"000"),GAMES!$A$3:$I$562,8,FALSE))</f>
        <v>46105.833333333336</v>
      </c>
      <c r="C3" s="178"/>
      <c r="D3" s="39">
        <v>567</v>
      </c>
      <c r="E3" s="29"/>
      <c r="F3" s="26">
        <f>SUBTOTAL(3,I17:I106)</f>
        <v>2</v>
      </c>
      <c r="G3" s="27">
        <f>IF(OR(D3="",D3=0),"",F3/D3)</f>
        <v>3.5273368606701938E-3</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7" t="s">
        <v>86</v>
      </c>
      <c r="C4" s="168"/>
      <c r="D4" s="181" t="str">
        <f>IF(ISERROR(VLOOKUP(H4,Teams!$B$2:$C$44,2,FALSE)),"Local Team",VLOOKUP(H4,Teams!$B$2:$C$44,2,FALSE))</f>
        <v>Dubai Basketball</v>
      </c>
      <c r="E4" s="182"/>
      <c r="F4" s="182"/>
      <c r="G4" s="183"/>
      <c r="H4" s="118" t="str">
        <f>IF(ISERROR(VLOOKUP($B$2&amp;TEXT($C$2,"000"),GAMES!$A$3:$I$562,6,FALSE)),"LOC",VLOOKUP($B$2&amp;TEXT($C$2,"000"),GAMES!$A$3:$I$562,6,FALSE))</f>
        <v>DUB</v>
      </c>
      <c r="I4" s="5"/>
      <c r="J4" s="119" t="s">
        <v>714</v>
      </c>
      <c r="K4" s="54" t="s">
        <v>743</v>
      </c>
      <c r="L4" s="5"/>
      <c r="M4" s="185" t="s">
        <v>759</v>
      </c>
      <c r="N4" s="186"/>
      <c r="O4" s="2"/>
      <c r="P4" s="2"/>
      <c r="Q4" s="84" t="s">
        <v>175</v>
      </c>
      <c r="R4" s="94">
        <f>(IF(G3="",0,G3))</f>
        <v>3.5273368606701938E-3</v>
      </c>
      <c r="S4" s="61">
        <f>SUM(I13:M13)</f>
        <v>0</v>
      </c>
      <c r="T4" s="78"/>
      <c r="U4" s="61">
        <f>AC18</f>
        <v>2</v>
      </c>
      <c r="V4" s="61">
        <f>+AC22</f>
        <v>0</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71" t="s">
        <v>87</v>
      </c>
      <c r="C5" s="184"/>
      <c r="D5" s="191" t="str">
        <f>IF(ISERROR(VLOOKUP(H5,Teams!$B$2:$C$44,2,FALSE)),"Visitor Team",VLOOKUP(H5,Teams!$B$2:$C$44,2,FALSE))</f>
        <v>Panathinaikos AKTOR Athens</v>
      </c>
      <c r="E5" s="192"/>
      <c r="F5" s="192"/>
      <c r="G5" s="193"/>
      <c r="H5" s="118" t="str">
        <f>IF(ISERROR(VLOOKUP($B$2&amp;TEXT($C$2,"000"),GAMES!$A$3:$I$562,7,FALSE)),"VIS",VLOOKUP($B$2&amp;TEXT($C$2,"000"),GAMES!$A$3:$I$562,7,FALSE))</f>
        <v>PAN</v>
      </c>
      <c r="I5" s="5"/>
      <c r="J5" s="5"/>
      <c r="K5" s="5"/>
      <c r="L5" s="5"/>
      <c r="M5" s="187"/>
      <c r="N5" s="188"/>
      <c r="O5" s="2"/>
      <c r="P5" s="2"/>
      <c r="Q5" s="89" t="s">
        <v>174</v>
      </c>
      <c r="R5" s="94">
        <f>R4*R3</f>
        <v>0.35273368606701938</v>
      </c>
      <c r="S5" s="70">
        <f t="shared" ref="S5" si="0">S4*S3</f>
        <v>0</v>
      </c>
      <c r="T5" s="92"/>
      <c r="U5" s="70">
        <f t="shared" ref="U5:AG5" si="1">U4*U3</f>
        <v>1</v>
      </c>
      <c r="V5" s="70">
        <f t="shared" si="1"/>
        <v>0</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7" t="s">
        <v>95</v>
      </c>
      <c r="C6" s="168"/>
      <c r="D6" s="158" t="s">
        <v>751</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69" t="s">
        <v>96</v>
      </c>
      <c r="C7" s="170"/>
      <c r="D7" s="158" t="s">
        <v>752</v>
      </c>
      <c r="E7" s="159"/>
      <c r="F7" s="159"/>
      <c r="G7" s="160"/>
      <c r="H7" s="129" t="s">
        <v>709</v>
      </c>
      <c r="I7" s="129" t="s">
        <v>710</v>
      </c>
      <c r="J7" s="129" t="s">
        <v>711</v>
      </c>
      <c r="K7" s="129" t="s">
        <v>712</v>
      </c>
      <c r="L7" s="129" t="s">
        <v>713</v>
      </c>
      <c r="M7" s="58">
        <f>Q7</f>
        <v>1.3527336860670194</v>
      </c>
      <c r="N7" s="58"/>
      <c r="O7" s="2"/>
      <c r="P7" s="2"/>
      <c r="Q7" s="86">
        <f>SUM(R5,S5,AC16)</f>
        <v>1.3527336860670194</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71" t="s">
        <v>97</v>
      </c>
      <c r="C8" s="172"/>
      <c r="D8" s="161" t="s">
        <v>753</v>
      </c>
      <c r="E8" s="162"/>
      <c r="F8" s="162"/>
      <c r="G8" s="163"/>
      <c r="H8" s="129" t="s">
        <v>747</v>
      </c>
      <c r="I8" s="129" t="s">
        <v>747</v>
      </c>
      <c r="J8" s="129" t="s">
        <v>748</v>
      </c>
      <c r="K8" s="129" t="s">
        <v>744</v>
      </c>
      <c r="L8" s="129" t="s">
        <v>745</v>
      </c>
      <c r="M8" s="129" t="s">
        <v>108</v>
      </c>
      <c r="N8" s="2"/>
      <c r="O8" s="2"/>
      <c r="P8" s="2"/>
      <c r="Q8" s="85">
        <f>SUM(R5:BA5)</f>
        <v>1.3527336860670194</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7" t="s">
        <v>98</v>
      </c>
      <c r="C9" s="173"/>
      <c r="D9" s="158" t="s">
        <v>754</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71" t="s">
        <v>99</v>
      </c>
      <c r="C10" s="172"/>
      <c r="D10" s="161" t="s">
        <v>755</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56" t="s">
        <v>108</v>
      </c>
      <c r="C11" s="157"/>
      <c r="D11" s="174" t="s">
        <v>756</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322</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56" t="s">
        <v>162</v>
      </c>
      <c r="C14" s="157"/>
      <c r="D14" s="164" t="s">
        <v>750</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2</v>
      </c>
      <c r="J15" s="24">
        <f>SUBTOTAL(3,J17:J106)</f>
        <v>2</v>
      </c>
      <c r="K15" s="24">
        <f>SUBTOTAL(3,K17:K106)</f>
        <v>2</v>
      </c>
      <c r="L15" s="24">
        <f>SUBTOTAL(3,L17:L106)</f>
        <v>2</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2</v>
      </c>
      <c r="Z16" s="90" t="s">
        <v>110</v>
      </c>
      <c r="AA16" s="75">
        <f>SUM(AA17:AA24)</f>
        <v>2</v>
      </c>
      <c r="AB16" s="76" t="s">
        <v>54</v>
      </c>
      <c r="AC16" s="75">
        <f>SUM(AC17*AD17,AC18*AD18,AC19*AD19,AC20*AD20,AC21*AD21,AC22*AD22,AC23*AD23,AC24*AD24,AC25*AD25,AC26*AD26,AC27*AD27,AC28*AD28,AC29*AD29,AC30*AD30,AC30*AD30,AC31*AD31,AC32*AD32,AC33*AD33,AC34*AD34,AC35*AD35,AC36*AD36)</f>
        <v>1</v>
      </c>
      <c r="AD16" s="75">
        <f>SUM(AD17:AD24)</f>
        <v>45</v>
      </c>
      <c r="AE16" s="76" t="s">
        <v>42</v>
      </c>
      <c r="AF16" s="75">
        <f>SUM(AF17:AF24)</f>
        <v>2</v>
      </c>
      <c r="AG16" s="75">
        <f>SUM(AG17:AG21)</f>
        <v>2</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322</v>
      </c>
      <c r="D17" s="32" t="s">
        <v>757</v>
      </c>
      <c r="E17" s="33">
        <v>1</v>
      </c>
      <c r="F17" s="36">
        <v>19</v>
      </c>
      <c r="G17" s="36">
        <v>21</v>
      </c>
      <c r="H17" s="38" t="str">
        <f>IF(I17="","",$I$14)</f>
        <v>SCOUTING</v>
      </c>
      <c r="I17" s="34">
        <v>116</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2</v>
      </c>
      <c r="Z17" s="105" t="s">
        <v>63</v>
      </c>
      <c r="AA17" s="62">
        <f>COUNTIF($K$17:$K$106,Z17)</f>
        <v>2</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322</v>
      </c>
      <c r="D18" s="32" t="s">
        <v>758</v>
      </c>
      <c r="E18" s="33">
        <v>1</v>
      </c>
      <c r="F18" s="36">
        <v>21</v>
      </c>
      <c r="G18" s="36">
        <v>23</v>
      </c>
      <c r="H18" s="38" t="str">
        <f t="shared" ref="H18:H81" si="8">IF(I18="","",$I$14)</f>
        <v>SCOUTING</v>
      </c>
      <c r="I18" s="34">
        <v>118</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0</v>
      </c>
      <c r="AB18" s="66" t="s">
        <v>5</v>
      </c>
      <c r="AC18" s="61">
        <f t="shared" si="5"/>
        <v>2</v>
      </c>
      <c r="AD18" s="61">
        <f t="shared" si="6"/>
        <v>0.5</v>
      </c>
      <c r="AE18" s="66" t="s">
        <v>12</v>
      </c>
      <c r="AF18" s="65">
        <f t="shared" si="7"/>
        <v>0</v>
      </c>
      <c r="AG18" s="62">
        <f>COUNTIF($E$17:$E$106,$AK18)</f>
        <v>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
      </c>
      <c r="C19" s="31" t="str">
        <f t="shared" si="3"/>
        <v/>
      </c>
      <c r="D19" s="32"/>
      <c r="E19" s="33"/>
      <c r="F19" s="36"/>
      <c r="G19" s="36"/>
      <c r="H19" s="38" t="str">
        <f t="shared" si="8"/>
        <v/>
      </c>
      <c r="I19" s="34"/>
      <c r="J19" s="13"/>
      <c r="K19" s="13"/>
      <c r="L19" s="13"/>
      <c r="M19" s="13"/>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
      </c>
      <c r="C20" s="31" t="str">
        <f t="shared" si="3"/>
        <v/>
      </c>
      <c r="D20" s="32"/>
      <c r="E20" s="33"/>
      <c r="F20" s="36"/>
      <c r="G20" s="36"/>
      <c r="H20" s="38" t="str">
        <f t="shared" si="8"/>
        <v/>
      </c>
      <c r="I20" s="34"/>
      <c r="J20" s="13"/>
      <c r="K20" s="13"/>
      <c r="L20" s="13"/>
      <c r="M20" s="13"/>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
      </c>
      <c r="C21" s="31" t="str">
        <f t="shared" si="3"/>
        <v/>
      </c>
      <c r="D21" s="32"/>
      <c r="E21" s="33"/>
      <c r="F21" s="36"/>
      <c r="G21" s="36"/>
      <c r="H21" s="38" t="str">
        <f t="shared" si="8"/>
        <v/>
      </c>
      <c r="I21" s="34"/>
      <c r="J21" s="13"/>
      <c r="K21" s="13"/>
      <c r="L21" s="13"/>
      <c r="M21" s="13"/>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0</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REPORT_E2025322</v>
      </c>
    </row>
    <row r="2" spans="2:6" x14ac:dyDescent="0.25">
      <c r="F2" s="45" t="s">
        <v>157</v>
      </c>
    </row>
    <row r="3" spans="2:6" x14ac:dyDescent="0.25">
      <c r="B3" s="43" t="s">
        <v>156</v>
      </c>
      <c r="C3" s="43" t="str">
        <f>""""&amp;'SCOUT &amp; LOGISTICS'!B2&amp;TEXT('SCOUT &amp; LOGISTICS'!C2,"000")&amp;""""</f>
        <v>"E2025322"</v>
      </c>
      <c r="F3" s="45" t="str">
        <f t="shared" ref="F3:F16" si="0">""""&amp;B3&amp;"""" &amp; " : " &amp;C3&amp;","</f>
        <v>"name" : "E2025322",</v>
      </c>
    </row>
    <row r="4" spans="2:6" x14ac:dyDescent="0.25">
      <c r="B4" s="43" t="s">
        <v>119</v>
      </c>
      <c r="C4" s="43" t="str">
        <f>""""&amp;LEFT('SCOUT &amp; LOGISTICS'!B2,1) &amp; TEXT('SCOUT &amp; LOGISTICS'!C2,"000")&amp;""""</f>
        <v>"E322"</v>
      </c>
      <c r="F4" s="45" t="str">
        <f t="shared" si="0"/>
        <v>"cod" : "E322",</v>
      </c>
    </row>
    <row r="5" spans="2:6" x14ac:dyDescent="0.25">
      <c r="B5" s="43" t="s">
        <v>117</v>
      </c>
      <c r="C5" s="43" t="str">
        <f>""""&amp;LEFT('SCOUT &amp; LOGISTICS'!B2,1)&amp;""""</f>
        <v>"E"</v>
      </c>
      <c r="F5" s="45" t="str">
        <f t="shared" si="0"/>
        <v>"competition" : "E",</v>
      </c>
    </row>
    <row r="6" spans="2:6" x14ac:dyDescent="0.25">
      <c r="B6" s="43" t="s">
        <v>118</v>
      </c>
      <c r="C6" s="43" t="str">
        <f>TEXT('SCOUT &amp; LOGISTICS'!C2,"000")</f>
        <v>322</v>
      </c>
      <c r="F6" s="45" t="str">
        <f t="shared" si="0"/>
        <v>"number" : 322,</v>
      </c>
    </row>
    <row r="7" spans="2:6" x14ac:dyDescent="0.25">
      <c r="B7" s="43" t="s">
        <v>116</v>
      </c>
      <c r="C7" s="43" t="str">
        <f ca="1">""""&amp;TEXT('SCOUT &amp; LOGISTICS'!B3,"dd/mm/aaaa")&amp;""""</f>
        <v>"24/03/Tuesday"</v>
      </c>
      <c r="F7" s="45" t="str">
        <f t="shared" ca="1" si="0"/>
        <v>"date" : "24/03/Tuesday",</v>
      </c>
    </row>
    <row r="8" spans="2:6" x14ac:dyDescent="0.25">
      <c r="B8" s="43" t="s">
        <v>125</v>
      </c>
      <c r="C8" s="43" t="str">
        <f>""""&amp;'SCOUT &amp; LOGISTICS'!D4 &amp;""""</f>
        <v>"Dubai Basketball"</v>
      </c>
      <c r="F8" s="45" t="str">
        <f t="shared" si="0"/>
        <v>"home_team" : "Dubai Basketball",</v>
      </c>
    </row>
    <row r="9" spans="2:6" x14ac:dyDescent="0.25">
      <c r="B9" s="43" t="s">
        <v>126</v>
      </c>
      <c r="C9" s="43" t="str">
        <f>""""&amp;'SCOUT &amp; LOGISTICS'!D5&amp;""""</f>
        <v>"Panathinaikos AKTOR Athens"</v>
      </c>
      <c r="F9" s="45" t="str">
        <f t="shared" si="0"/>
        <v>"away_team" : "Panathinaikos AKTOR Athens",</v>
      </c>
    </row>
    <row r="10" spans="2:6" x14ac:dyDescent="0.25">
      <c r="B10" s="43" t="s">
        <v>127</v>
      </c>
      <c r="C10" s="43" t="str">
        <f>""""&amp;IF('SCOUT &amp; LOGISTICS'!D6="","",'SCOUT &amp; LOGISTICS'!D6)&amp;""""</f>
        <v>"DANILO VESOVIC"</v>
      </c>
      <c r="F10" s="45" t="str">
        <f t="shared" si="0"/>
        <v>"Data_entry" : "DANILO VESOVIC",</v>
      </c>
    </row>
    <row r="11" spans="2:6" x14ac:dyDescent="0.25">
      <c r="B11" s="43" t="s">
        <v>128</v>
      </c>
      <c r="C11" s="43" t="str">
        <f>""""&amp;IF('SCOUT &amp; LOGISTICS'!D7="","",'SCOUT &amp; LOGISTICS'!D7)&amp;""""</f>
        <v>"MARKO LEPOVIC"</v>
      </c>
      <c r="F11" s="45" t="str">
        <f t="shared" si="0"/>
        <v>"Caller_1" : "MARKO LEPOVIC",</v>
      </c>
    </row>
    <row r="12" spans="2:6" x14ac:dyDescent="0.25">
      <c r="B12" s="43" t="s">
        <v>129</v>
      </c>
      <c r="C12" s="43" t="str">
        <f>""""&amp;IF('SCOUT &amp; LOGISTICS'!D8="","",'SCOUT &amp; LOGISTICS'!D8)&amp;""""</f>
        <v>"FRANCESC SENPAU VILLANUEVA"</v>
      </c>
      <c r="F12" s="45" t="str">
        <f t="shared" si="0"/>
        <v>"Caller_2" : "FRANCESC SENPAU VILLANUEVA",</v>
      </c>
    </row>
    <row r="13" spans="2:6" x14ac:dyDescent="0.25">
      <c r="B13" s="43" t="s">
        <v>98</v>
      </c>
      <c r="C13" s="43" t="str">
        <f>""""&amp;IF('SCOUT &amp; LOGISTICS'!D9="","",'SCOUT &amp; LOGISTICS'!D9)&amp;""""</f>
        <v>"IVANA PRPA"</v>
      </c>
      <c r="F13" s="45" t="str">
        <f t="shared" si="0"/>
        <v>"Timerkeeper" : "IVANA PRPA",</v>
      </c>
    </row>
    <row r="14" spans="2:6" x14ac:dyDescent="0.25">
      <c r="B14" s="43" t="s">
        <v>99</v>
      </c>
      <c r="C14" s="43" t="str">
        <f>""""&amp;IF('SCOUT &amp; LOGISTICS'!D10="","",'SCOUT &amp; LOGISTICS'!D10)&amp;""""</f>
        <v>"JELENA BOGUCANIN"</v>
      </c>
      <c r="F14" s="45" t="str">
        <f t="shared" si="0"/>
        <v>"Shotclock" : "JELENA BOGUCANIN",</v>
      </c>
    </row>
    <row r="15" spans="2:6" x14ac:dyDescent="0.25">
      <c r="B15" s="43" t="s">
        <v>108</v>
      </c>
      <c r="C15" s="43" t="str">
        <f>""""&amp;IF('SCOUT &amp; LOGISTICS'!D11="","",'SCOUT &amp; LOGISTICS'!D11)&amp;""""</f>
        <v>"BILJANA KOSTRES"</v>
      </c>
      <c r="F15" s="45" t="str">
        <f t="shared" si="0"/>
        <v>"IRS" : "BILJANA KOSTRES",</v>
      </c>
    </row>
    <row r="16" spans="2:6" x14ac:dyDescent="0.25">
      <c r="B16" s="43" t="s">
        <v>130</v>
      </c>
      <c r="C16" s="43" t="str">
        <f>""""&amp;IF('SCOUT &amp; LOGISTICS'!D14=0,"",'SCOUT &amp; LOGISTICS'!D14)&amp;""""</f>
        <v>"XAVIER MATEU "</v>
      </c>
      <c r="F16" s="45" t="str">
        <f t="shared" si="0"/>
        <v>"Live_Game_Manager" : "XAVIER MATEU ",</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567</v>
      </c>
      <c r="F25" s="45" t="str">
        <f t="shared" ref="F25:F48" si="1">""""&amp;C25&amp;"""" &amp; " : " &amp;D25&amp;","</f>
        <v>"total_actions" : 567,</v>
      </c>
    </row>
    <row r="26" spans="2:6" x14ac:dyDescent="0.25">
      <c r="C26" s="43" t="s">
        <v>132</v>
      </c>
      <c r="D26" s="43">
        <f>'SCOUT &amp; LOGISTICS'!F3</f>
        <v>2</v>
      </c>
      <c r="F26" s="45" t="str">
        <f t="shared" si="1"/>
        <v>"total_correcions" : 2,</v>
      </c>
    </row>
    <row r="27" spans="2:6" x14ac:dyDescent="0.25">
      <c r="C27" s="43" t="s">
        <v>133</v>
      </c>
      <c r="D27" s="43" t="str">
        <f>""""&amp;IF(OR(D25="",D25=0),"",TEXT(D26/D25,"0,0%"))&amp;""""</f>
        <v>"00%"</v>
      </c>
      <c r="F27" s="45" t="str">
        <f t="shared" si="1"/>
        <v>"%_corrections" : "00%",</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0</v>
      </c>
      <c r="F29" s="45" t="str">
        <f t="shared" si="1"/>
        <v>"no_team" : 0,</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0</v>
      </c>
      <c r="F32" s="45" t="str">
        <f t="shared" si="1"/>
        <v>"q2" : 0,</v>
      </c>
    </row>
    <row r="33" spans="3:6" x14ac:dyDescent="0.25">
      <c r="C33" s="43" t="s">
        <v>137</v>
      </c>
      <c r="D33" s="43">
        <f>'SCOUT &amp; LOGISTICS'!AG19</f>
        <v>0</v>
      </c>
      <c r="F33" s="45" t="str">
        <f t="shared" si="1"/>
        <v>"q3" : 0,</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2</v>
      </c>
      <c r="F37" s="45" t="str">
        <f t="shared" si="1"/>
        <v>"scoresheet_corrections" : 2,</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c r="F51" s="45" t="str">
        <f>""""&amp;B51&amp;"""" &amp; " : " &amp;C51&amp;","</f>
        <v>"comments" : "From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row>
    <row r="52" spans="2:6" x14ac:dyDescent="0.25">
      <c r="B52" s="43" t="s">
        <v>153</v>
      </c>
      <c r="C52" s="43" t="str">
        <f>TEXT('SCOUT &amp; LOGISTICS'!F1,"0,0")</f>
        <v>33_322_DUB_PAN_E2025</v>
      </c>
      <c r="F52" s="45" t="str">
        <f>""""&amp;B52&amp;"""" &amp; " : " &amp;C52</f>
        <v>"result" : 33_322_DUB_PAN_E2025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3">
      <c r="A3" s="48"/>
      <c r="B3" s="202" t="str">
        <f>"GAME: "&amp; LEFT('SCOUT &amp; LOGISTICS'!B2,1) &amp; TEXT('SCOUT &amp; LOGISTICS'!C2,"000") &amp; " " &amp; IF(LEFT('SCOUT &amp; LOGISTICS'!B2,1)="U","(EUROCUP)","(EUROLEAGUE)")</f>
        <v>GAME: E322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3">
      <c r="A4" s="48"/>
      <c r="B4" s="200" t="str">
        <f ca="1">"DATE: " &amp; TEXT('SCOUT &amp; LOGISTICS'!B3,"dd/mm")</f>
        <v>DATE: 24/03</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49999999999999" customHeight="1" thickBot="1" x14ac:dyDescent="0.3">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5" customHeight="1" thickBot="1" x14ac:dyDescent="0.3">
      <c r="A6" s="48"/>
      <c r="B6" s="197" t="str">
        <f>PROPER('SCOUT &amp; LOGISTICS'!D4)</f>
        <v>Dubai Basketball</v>
      </c>
      <c r="C6" s="197"/>
      <c r="D6" s="197"/>
      <c r="E6" s="197"/>
      <c r="F6" s="197"/>
      <c r="G6" s="197"/>
      <c r="H6" s="197"/>
      <c r="I6" s="197"/>
      <c r="J6" s="197"/>
      <c r="K6" s="197"/>
      <c r="L6" s="197"/>
      <c r="M6" s="197"/>
      <c r="N6" s="197"/>
      <c r="O6" s="197"/>
      <c r="P6" s="197"/>
      <c r="Q6" s="197" t="str">
        <f>PROPER('SCOUT &amp; LOGISTICS'!D5)</f>
        <v>Panathinaikos Aktor Athens</v>
      </c>
      <c r="R6" s="197"/>
      <c r="S6" s="197"/>
      <c r="T6" s="197"/>
      <c r="U6" s="197"/>
      <c r="V6" s="197"/>
      <c r="W6" s="197"/>
      <c r="X6" s="197"/>
      <c r="Y6" s="197"/>
      <c r="Z6" s="197"/>
      <c r="AA6" s="197"/>
      <c r="AB6" s="197"/>
      <c r="AC6" s="197"/>
      <c r="AD6" s="197"/>
      <c r="AE6" s="197"/>
      <c r="AF6" s="48"/>
    </row>
    <row r="7" spans="1:33" ht="19.5" customHeight="1" thickBot="1" x14ac:dyDescent="0.3">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3">
      <c r="A8" s="48"/>
      <c r="B8" s="201" t="str">
        <f>IF('SCOUT &amp; LOGISTICS'!D6="","",'SCOUT &amp; LOGISTICS'!D6)</f>
        <v>DANILO VESOVIC</v>
      </c>
      <c r="C8" s="201"/>
      <c r="D8" s="201"/>
      <c r="E8" s="201"/>
      <c r="F8" s="201"/>
      <c r="G8" s="201" t="str">
        <f>IF('SCOUT &amp; LOGISTICS'!D7="","",'SCOUT &amp; LOGISTICS'!D7)</f>
        <v>MARKO LEPOVIC</v>
      </c>
      <c r="H8" s="201"/>
      <c r="I8" s="201"/>
      <c r="J8" s="201"/>
      <c r="K8" s="201"/>
      <c r="L8" s="201" t="str">
        <f>IF('SCOUT &amp; LOGISTICS'!D8="","",'SCOUT &amp; LOGISTICS'!D8)</f>
        <v>FRANCESC SENPAU VILLANUEVA</v>
      </c>
      <c r="M8" s="201"/>
      <c r="N8" s="201"/>
      <c r="O8" s="201"/>
      <c r="P8" s="201"/>
      <c r="Q8" s="201" t="str">
        <f>IF('SCOUT &amp; LOGISTICS'!D9="","",'SCOUT &amp; LOGISTICS'!D9)</f>
        <v>IVANA PRPA</v>
      </c>
      <c r="R8" s="201"/>
      <c r="S8" s="201"/>
      <c r="T8" s="201"/>
      <c r="U8" s="201"/>
      <c r="V8" s="201" t="str">
        <f>IF('SCOUT &amp; LOGISTICS'!D10="","",'SCOUT &amp; LOGISTICS'!D10)</f>
        <v>JELENA BOGUCANIN</v>
      </c>
      <c r="W8" s="201"/>
      <c r="X8" s="201"/>
      <c r="Y8" s="201"/>
      <c r="Z8" s="201"/>
      <c r="AA8" s="201" t="str">
        <f>IF('SCOUT &amp; LOGISTICS'!D11="","",'SCOUT &amp; LOGISTICS'!D11)</f>
        <v>BILJANA KOSTRES</v>
      </c>
      <c r="AB8" s="201"/>
      <c r="AC8" s="201"/>
      <c r="AD8" s="201"/>
      <c r="AE8" s="201"/>
      <c r="AF8" s="48"/>
    </row>
    <row r="9" spans="1:33" ht="13" thickBot="1" x14ac:dyDescent="0.3">
      <c r="A9" s="48"/>
      <c r="B9" s="209" t="str">
        <f>IF(OR('SCOUT &amp; LOGISTICS'!D14="",'SCOUT &amp; LOGISTICS'!D14=0),"",'SCOUT &amp; LOGISTICS'!B14 &amp; ": " &amp; 'SCOUT &amp; LOGISTICS'!D14) &amp; "     "</f>
        <v xml:space="preserve">L G M: : XAVIER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3" thickBot="1" x14ac:dyDescent="0.3">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49999999999999" customHeight="1" thickBot="1" x14ac:dyDescent="0.3">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3" thickBot="1" x14ac:dyDescent="0.3">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49999999999999" customHeight="1" thickBot="1" x14ac:dyDescent="0.3">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3">
        <f>'SCOUT &amp; LOGISTICS'!D3</f>
        <v>567</v>
      </c>
      <c r="C17" s="203"/>
      <c r="D17" s="203"/>
      <c r="E17" s="203"/>
      <c r="F17" s="203"/>
      <c r="G17" s="203"/>
      <c r="H17" s="203"/>
      <c r="I17" s="203"/>
      <c r="J17" s="203"/>
      <c r="K17" s="203"/>
      <c r="L17" s="203">
        <f>'SCOUT &amp; LOGISTICS'!F3</f>
        <v>2</v>
      </c>
      <c r="M17" s="203"/>
      <c r="N17" s="203"/>
      <c r="O17" s="203"/>
      <c r="P17" s="203"/>
      <c r="Q17" s="203"/>
      <c r="R17" s="203"/>
      <c r="S17" s="203"/>
      <c r="T17" s="203"/>
      <c r="U17" s="203"/>
      <c r="V17" s="206">
        <f>IF(OR(B17="",B17=0),"",L17/B17)</f>
        <v>3.5273368606701938E-3</v>
      </c>
      <c r="W17" s="206"/>
      <c r="X17" s="206"/>
      <c r="Y17" s="206"/>
      <c r="Z17" s="206"/>
      <c r="AA17" s="206"/>
      <c r="AB17" s="206"/>
      <c r="AC17" s="206"/>
      <c r="AD17" s="206"/>
      <c r="AE17" s="206"/>
      <c r="AF17" s="48"/>
    </row>
    <row r="18" spans="1:32" s="48" customFormat="1" ht="13" thickBot="1" x14ac:dyDescent="0.3">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9">
        <f>IF('SCOUT &amp; LOGISTICS'!AA17="","",'SCOUT &amp; LOGISTICS'!AA17)</f>
        <v>2</v>
      </c>
      <c r="C20" s="199"/>
      <c r="D20" s="199"/>
      <c r="E20" s="199"/>
      <c r="F20" s="199"/>
      <c r="G20" s="199"/>
      <c r="H20" s="199"/>
      <c r="I20" s="199"/>
      <c r="J20" s="199"/>
      <c r="K20" s="199"/>
      <c r="L20" s="199">
        <f>IF('SCOUT &amp; LOGISTICS'!AA18="","",'SCOUT &amp; LOGISTICS'!AA18)</f>
        <v>0</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9">
        <f>'SCOUT &amp; LOGISTICS'!AG17</f>
        <v>2</v>
      </c>
      <c r="C22" s="199"/>
      <c r="D22" s="199"/>
      <c r="E22" s="199"/>
      <c r="F22" s="199"/>
      <c r="G22" s="199"/>
      <c r="H22" s="199">
        <f>'SCOUT &amp; LOGISTICS'!AG18</f>
        <v>0</v>
      </c>
      <c r="I22" s="199"/>
      <c r="J22" s="199"/>
      <c r="K22" s="199"/>
      <c r="L22" s="199"/>
      <c r="M22" s="199"/>
      <c r="N22" s="199">
        <f>'SCOUT &amp; LOGISTICS'!AG19</f>
        <v>0</v>
      </c>
      <c r="O22" s="199"/>
      <c r="P22" s="199"/>
      <c r="Q22" s="199"/>
      <c r="R22" s="199"/>
      <c r="S22" s="199"/>
      <c r="T22" s="199">
        <f>'SCOUT &amp; LOGISTICS'!AG20</f>
        <v>0</v>
      </c>
      <c r="U22" s="199"/>
      <c r="V22" s="199"/>
      <c r="W22" s="199"/>
      <c r="X22" s="199"/>
      <c r="Y22" s="199"/>
      <c r="Z22" s="199">
        <f>IF('SCOUT &amp; LOGISTICS'!AG21="","",'SCOUT &amp; LOGISTICS'!AG21)</f>
        <v>0</v>
      </c>
      <c r="AA22" s="199"/>
      <c r="AB22" s="199"/>
      <c r="AC22" s="199"/>
      <c r="AD22" s="199"/>
      <c r="AE22" s="199"/>
      <c r="AF22" s="48"/>
    </row>
    <row r="23" spans="1:32" s="48" customFormat="1" ht="13" thickBot="1" x14ac:dyDescent="0.3">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9">
        <f>'SCOUT &amp; LOGISTICS'!Y17</f>
        <v>2</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49999999999999" customHeight="1" thickBot="1" x14ac:dyDescent="0.3">
      <c r="A27" s="48"/>
      <c r="B27" s="199">
        <f>'SCOUT &amp; LOGISTICS'!AC18</f>
        <v>2</v>
      </c>
      <c r="C27" s="199"/>
      <c r="D27" s="199"/>
      <c r="E27" s="199"/>
      <c r="F27" s="199"/>
      <c r="G27" s="199">
        <f>'SCOUT &amp; LOGISTICS'!AC22</f>
        <v>0</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3">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3" thickBot="1" x14ac:dyDescent="0.3">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49999999999999" customHeight="1" thickBot="1" x14ac:dyDescent="0.3">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5" customHeight="1" thickBot="1" x14ac:dyDescent="0.3">
      <c r="A32" s="48"/>
      <c r="B32" s="211" t="str">
        <f>IF('SCOUT &amp; LOGISTICS'!M4="","",'SCOUT &amp; LOGISTICS'!M4)</f>
        <v>From a scouting standpoint, I have nothing to say because you have done a perfect game. There’s one assist where Sloukas passes the ball to Faried, and the defenders get their hands in, but the ball reaches him easily. There’s another one I can understand why you didn’t note, because the defender seems to establish a defensive position and Hayes-Davis drives to the basket at a slow pace. In terms of communication, the scoreboard situation was handled very well. The only thing I’ll mention is not to neglect the checklist tasks. There are five of you at the table, and one person can hand me the DSS 40 minutes before tip-off while the others look after the scoreboard. But overall, very good work. Keep it up!</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49999999999999" customHeight="1" thickBot="1" x14ac:dyDescent="0.3">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49999999999999" customHeight="1" thickBot="1" x14ac:dyDescent="0.3">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212">
        <f>'SCOUT &amp; LOGISTICS'!M7</f>
        <v>1.3527336860670194</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3.xml><?xml version="1.0" encoding="utf-8"?>
<ds:datastoreItem xmlns:ds="http://schemas.openxmlformats.org/officeDocument/2006/customXml" ds:itemID="{9800ED4F-DDAB-40F1-88DE-AEAD9637F723}"/>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2026-03-25T16:42:36Z</cp:lastPrinted>
  <dcterms:created xsi:type="dcterms:W3CDTF">2023-09-19T19:50:35Z</dcterms:created>
  <dcterms:modified xsi:type="dcterms:W3CDTF">2026-03-25T16:44:36Z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