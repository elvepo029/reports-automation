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61B81317-E535-42BE-84E9-66EA8B68AE0B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<sst xmlns="http://schemas.openxmlformats.org/spreadsheetml/2006/main" count="3235" uniqueCount="752">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</sst>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33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33_322_DUB_PAN_E2025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322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46105.833333333336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Dubai Basketball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DUB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Panathinaikos AKTOR Athens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PAN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REPORT_E2025322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"E2025322"</v>
      </c>
      <c r="F3" s="45" t="str">
        <f t="shared" ref="F3:F16" si="0">""""&amp;B3&amp;"""" &amp; " : " &amp;C3&amp;","</f>
        <v>"name" : "E2025322",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"E322"</v>
      </c>
      <c r="F4" s="45" t="str">
        <f t="shared" si="0"/>
        <v>"cod" : "E322",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322</v>
      </c>
      <c r="F6" s="45" t="str">
        <f t="shared" si="0"/>
        <v>"number" : 322,</v>
      </c>
    </row>
    <row r="7" spans="2:6" x14ac:dyDescent="0.2">
      <c r="B7" s="43" t="s">
        <v>116</v>
      </c>
      <c r="C7" s="43" t="str">
        <f ca="1">""""&amp;TEXT('SCOUT &amp; LOGISTICS'!B3,"dd/mm/aaaa")&amp;""""</f>
        <v>"24/03/Tuesday"</v>
      </c>
      <c r="F7" s="45" t="str">
        <f t="shared" ca="1" si="0"/>
        <v>"date" : "24/03/Tuesday",</v>
      </c>
    </row>
    <row r="8" spans="2:6" x14ac:dyDescent="0.2">
      <c r="B8" s="43" t="s">
        <v>125</v>
      </c>
      <c r="C8" s="43" t="str">
        <f>""""&amp;'SCOUT &amp; LOGISTICS'!D4 &amp;""""</f>
        <v>"Dubai Basketball"</v>
      </c>
      <c r="F8" s="45" t="str">
        <f t="shared" si="0"/>
        <v>"home_team" : "Dubai Basketball",</v>
      </c>
    </row>
    <row r="9" spans="2:6" x14ac:dyDescent="0.2">
      <c r="B9" s="43" t="s">
        <v>126</v>
      </c>
      <c r="C9" s="43" t="str">
        <f>""""&amp;'SCOUT &amp; LOGISTICS'!D5&amp;""""</f>
        <v>"Panathinaikos AKTOR Athens"</v>
      </c>
      <c r="F9" s="45" t="str">
        <f t="shared" si="0"/>
        <v>"away_team" : "Panathinaikos AKTOR Athens",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33_322_DUB_PAN_E2025</v>
      </c>
      <c r="F52" s="45" t="str">
        <f>""""&amp;B52&amp;"""" &amp; " : " &amp;C52</f>
        <v>"result" : 33_322_DUB_PAN_E2025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E322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24/03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Dubai Basketball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Panathinaikos Aktor Athens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C51D3730-4E11-44FF-A015-F19D76D4A65D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