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2" documentId="8_{26BD254A-9046-4697-B193-904C270821DC}" xr6:coauthVersionLast="47" xr6:coauthVersionMax="47" xr10:uidLastSave="{876D9A55-F7E4-43D4-9F72-038C806FEF73}"/>
  <bookViews>
    <workbookView xWindow="-28920" yWindow="63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<sst xmlns="http://schemas.openxmlformats.org/spreadsheetml/2006/main" count="3275" uniqueCount="765">
  <si>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</si>
  <si>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</si>
  <si>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</si>
  <si>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</si>
  <si>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</si>
  <si>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</si>
  <si>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</si>
  <si>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</si>
  <si>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</si>
  <si>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</si>
  <si>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</si>
  <si>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</si>
  <si>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</si>
  <si>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</si>
  <si>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</si>
  <si>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</si>
  <si>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</si>
  <si>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</si>
  <si>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</si>
  <si>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</si>
  <si>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</si>
  <si>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</si>
  <si>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</si>
  <si>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</si>
  <si>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</si>
  <si>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</si>
  <si>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</si>
  <si>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</si>
  <si>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</si>
  <si>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</si>
  <si>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</si>
  <si>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</si>
  <si>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</si>
  <si>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</si>
  <si>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</si>
  <si>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</si>
  <si>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</si>
  <si>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</si>
  <si>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</si>
  <si>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</si>
  <si>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</si>
  <si>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</si>
  <si>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</si>
  <si>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</si>
  <si>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</si>
  <si>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</si>
  <si>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</si>
  <si>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</si>
  <si>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</si>
  <si>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</si>
  <si>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</si>
  <si>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</si>
  <si>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</si>
  <si>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</si>
  <si>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</si>
  <si>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</si>
  <si>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</si>
  <si>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</si>
  <si>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</si>
  <si>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</si>
  <si>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</si>
  <si>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</si>
  <si>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</si>
  <si>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</si>
  <si>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</si>
  <si>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</si>
  <si>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</si>
  <si>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</si>
  <si>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</si>
  <si>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</si>
  <si>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</si>
  <si>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</si>
  <si>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</si>
  <si>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</si>
  <si>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</si>
  <si>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</si>
  <si>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</si>
  <si>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</si>
  <si>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</si>
  <si>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</si>
  <si>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</si>
  <si>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</si>
  <si>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</si>
  <si>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</si>
  <si>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</si>
  <si>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</si>
  <si>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</si>
  <si>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</si>
  <si>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</si>
  <si>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</si>
  <si>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</si>
  <si>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</si>
  <si>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</si>
  <si>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</si>
  <si>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</si>
  <si>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</si>
  <si>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</si>
  <si>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</si>
  <si>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</si>
  <si>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</si>
  <si>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</si>
  <si>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</si>
  <si>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</si>
  <si>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</si>
  <si>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</si>
  <si>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</si>
  <si>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</si>
  <si>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</si>
  <si>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</si>
  <si>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</si>
  <si>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</si>
  <si>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</si>
  <si>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</si>
  <si>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</si>
  <si>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</si>
  <si>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</si>
  <si>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</si>
  <si>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</si>
  <si>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</si>
  <si>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</si>
  <si>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</si>
  <si>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</si>
  <si>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</si>
  <si>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</si>
  <si>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</si>
  <si>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</si>
  <si>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</si>
  <si>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</si>
  <si>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</si>
  <si>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</si>
  <si>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</si>
  <si>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</si>
  <si>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</si>
  <si>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</si>
  <si>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</si>
  <si>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</si>
  <si>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</si>
  <si>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</si>
  <si>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</si>
  <si>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</si>
  <si>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</si>
  <si>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</si>
  <si>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</si>
  <si>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</si>
  <si>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</si>
  <si>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</si>
  <si>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</si>
  <si>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</si>
  <si>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</si>
  <si>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</si>
  <si>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</si>
  <si>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</si>
  <si>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</si>
  <si>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</si>
  <si>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</si>
  <si>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</si>
  <si>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</si>
  <si>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</si>
  <si>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</si>
  <si>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</si>
  <si>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</si>
  <si>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</si>
  <si>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</si>
  <si>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</si>
  <si>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</si>
  <si>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</si>
  <si>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</si>
  <si>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</si>
  <si>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</si>
  <si>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</si>
  <si>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</si>
  <si>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</si>
  <si>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</si>
  <si>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</si>
  <si>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</si>
  <si>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</si>
  <si>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</si>
  <si>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</si>
  <si>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</si>
  <si>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</si>
  <si>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</si>
  <si>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</si>
  <si>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</si>
  <si>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</si>
  <si>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</si>
  <si>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</si>
  <si>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</si>
  <si>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</si>
  <si>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</si>
  <si>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</si>
  <si>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</si>
  <si>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</si>
  <si>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</si>
  <si>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</si>
  <si>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</si>
  <si>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</si>
  <si>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</si>
  <si>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</si>
  <si>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</si>
  <si>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</si>
  <si>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</si>
  <si>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</si>
  <si>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</si>
  <si>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</si>
  <si>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</si>
  <si>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</si>
  <si>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</si>
  <si>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</si>
  <si>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</si>
  <si>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</si>
  <si>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</si>
  <si>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</si>
  <si>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</si>
  <si>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</si>
  <si>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</si>
  <si>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</si>
  <si>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</si>
  <si>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</si>
  <si>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</si>
  <si>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</si>
  <si>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</si>
  <si>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</si>
  <si>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</si>
  <si>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</si>
  <si>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</si>
  <si>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</si>
  <si>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</si>
  <si>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</si>
  <si>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</si>
  <si>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</si>
  <si>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</si>
  <si>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</si>
  <si>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</si>
  <si>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</si>
  <si>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</si>
  <si>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</si>
  <si>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</si>
  <si>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</si>
  <si>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</si>
  <si>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</si>
  <si>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</si>
  <si>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</si>
  <si>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</si>
  <si>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</si>
  <si>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</si>
  <si>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</si>
  <si>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</si>
  <si>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</si>
  <si>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</si>
  <si>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</si>
  <si>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</si>
  <si>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</si>
  <si>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</si>
  <si>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</si>
  <si>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</si>
  <si>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</si>
  <si>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</si>
  <si>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</si>
  <si>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</si>
  <si>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</si>
  <si>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</si>
  <si>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</si>
  <si>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</si>
  <si>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</si>
  <si>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</si>
  <si>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</si>
  <si>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</si>
  <si>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</si>
  <si>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</si>
  <si>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</si>
  <si>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</si>
  <si>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</si>
  <si>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</si>
  <si>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</si>
  <si>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</si>
  <si>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</si>
  <si>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</si>
  <si>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</si>
  <si>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</si>
  <si>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</si>
  <si>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</si>
  <si>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</si>
  <si>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</si>
  <si>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</si>
  <si>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</si>
  <si>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</si>
  <si>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</si>
  <si>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</si>
  <si>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</si>
  <si>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</si>
  <si>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</si>
  <si>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</si>
  <si>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</si>
  <si>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</si>
  <si>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</si>
  <si>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</si>
  <si>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</si>
  <si>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</si>
  <si>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</si>
  <si>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</si>
  <si>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</si>
  <si>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</si>
  <si>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</si>
  <si>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</si>
  <si>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</si>
  <si>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</si>
  <si>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</si>
  <si>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</si>
  <si>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</si>
  <si>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</si>
  <si>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</si>
  <si>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</si>
  <si>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</si>
  <si>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</si>
  <si>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</si>
  <si>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</si>
  <si>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</si>
  <si>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</si>
  <si>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</si>
  <si>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</si>
  <si>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</si>
  <si>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</si>
  <si>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</si>
  <si>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</si>
  <si>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</si>
  <si>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</si>
  <si>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</si>
  <si>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</si>
  <si>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</si>
  <si>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</si>
  <si>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</si>
  <si>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</si>
  <si>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</si>
  <si>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</si>
  <si>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</si>
  <si>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</si>
  <si>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</si>
  <si>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</si>
  <si>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</si>
  <si>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</si>
  <si>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</si>
  <si>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</si>
  <si>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</si>
  <si>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</si>
  <si>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</si>
  <si>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</si>
  <si>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</si>
  <si>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</si>
  <si>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</si>
  <si>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</si>
  <si>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</si>
  <si>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</si>
  <si>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</si>
  <si>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</si>
  <si>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</si>
  <si>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</si>
  <si>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</si>
  <si>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</si>
  <si>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</si>
  <si>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</si>
  <si>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</si>
  <si>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</si>
  <si>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</si>
  <si>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</si>
  <si>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</si>
  <si>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</si>
  <si>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</si>
  <si>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</si>
  <si>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</si>
  <si>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</si>
  <si>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</si>
  <si>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</si>
  <si>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</si>
  <si>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</si>
  <si>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</si>
  <si>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</si>
  <si>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</si>
  <si>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</si>
  <si>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</si>
  <si>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</si>
  <si>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</si>
  <si>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</si>
  <si>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</si>
  <si>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</si>
  <si>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</si>
  <si>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</si>
  <si>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</si>
  <si>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</si>
  <si>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</si>
  <si>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</si>
  <si>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</si>
  <si>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</si>
  <si>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</si>
  <si>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</si>
  <si>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</si>
  <si>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</si>
  <si>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</si>
  <si>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</si>
  <si>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</si>
  <si>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</si>
  <si>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</si>
  <si>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</si>
  <si>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</si>
  <si>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</si>
  <si>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</si>
  <si>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</si>
  <si>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</si>
  <si>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</si>
  <si>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</si>
  <si>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</si>
  <si>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</si>
  <si>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</si>
  <si>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</si>
  <si>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</si>
  <si>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</si>
  <si>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</si>
  <si>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</si>
  <si>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</si>
  <si>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</si>
  <si>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</si>
  <si>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</si>
  <si>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</si>
  <si>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</si>
  <si>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</si>
  <si>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</si>
  <si>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</si>
  <si>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</si>
  <si>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</si>
  <si>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</si>
  <si>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</si>
  <si>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</si>
  <si>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</si>
  <si>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</si>
  <si>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</si>
  <si>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</si>
  <si>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</si>
  <si>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</si>
  <si>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</si>
  <si>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</si>
  <si>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</si>
  <si>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</si>
  <si>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</si>
  <si>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</si>
  <si>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</si>
  <si>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</si>
  <si>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</si>
  <si>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</si>
  <si>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</si>
  <si>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</si>
  <si>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</si>
  <si>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</si>
  <si>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</si>
  <si>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</si>
  <si>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</si>
  <si>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</si>
  <si>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</si>
  <si>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</si>
  <si>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</si>
  <si>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</si>
  <si>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</si>
  <si>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</si>
  <si>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</si>
  <si>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</si>
  <si>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</si>
  <si>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</si>
  <si>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</si>
  <si>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</si>
  <si>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</si>
  <si>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</si>
  <si>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</si>
  <si>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</si>
  <si>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</si>
  <si>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</si>
  <si>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</si>
  <si>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</si>
  <si>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</si>
  <si>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</si>
  <si>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</si>
  <si>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</si>
  <si>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</si>
  <si>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</si>
  <si>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</si>
  <si>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</si>
  <si>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</si>
  <si>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</si>
  <si>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</si>
  <si>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</si>
  <si>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</si>
  <si>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</si>
  <si>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</si>
  <si>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</si>
  <si>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</si>
  <si>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</si>
  <si>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</si>
  <si>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</si>
  <si>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</si>
  <si>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</si>
  <si>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</si>
  <si>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</si>
  <si>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</si>
  <si>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</si>
  <si>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</si>
  <si>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</si>
  <si>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</si>
  <si>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</si>
  <si>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</si>
  <si>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</si>
  <si>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</si>
  <si>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</si>
  <si>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</si>
  <si>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</si>
  <si>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</si>
  <si>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</si>
  <si>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</si>
  <si>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</si>
  <si>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</si>
  <si>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</si>
  <si>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</si>
  <si>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</si>
  <si>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</si>
  <si>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</si>
  <si>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</si>
  <si>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</si>
  <si>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</si>
  <si>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</si>
  <si>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</si>
  <si>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</si>
  <si>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</si>
  <si>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</si>
  <si>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</si>
  <si>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</si>
  <si>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</si>
  <si>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</si>
  <si>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</si>
  <si>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</si>
  <si>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</si>
  <si>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</si>
  <si>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</si>
  <si>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</si>
  <si>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</si>
  <si>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</si>
  <si>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</si>
  <si>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</si>
  <si>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</si>
  <si>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</si>
  <si>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</si>
  <si>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</si>
  <si>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</si>
  <si>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</si>
  <si>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</si>
  <si>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</si>
  <si>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</si>
  <si>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</si>
  <si>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</si>
  <si>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</si>
  <si>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</si>
  <si>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</si>
  <si>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</si>
  <si>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</si>
  <si>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</si>
  <si>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</si>
  <si>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</si>
  <si>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</si>
  <si>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</si>
  <si>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</si>
  <si>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</si>
  <si>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</si>
  <si>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</si>
  <si>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</si>
  <si>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</si>
  <si>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</si>
  <si>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</si>
  <si>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</si>
  <si>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</si>
  <si>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</si>
  <si>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</si>
  <si>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</si>
  <si>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</si>
  <si>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</si>
  <si>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</si>
  <si>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</si>
  <si>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</si>
  <si>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</si>
  <si>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</si>
  <si>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</si>
  <si>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</si>
  <si>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</si>
  <si>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</si>
  <si>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</si>
  <si>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</si>
  <si>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</si>
  <si>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</si>
  <si>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</si>
  <si>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</si>
  <si>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</si>
  <si>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</si>
  <si>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</si>
  <si>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</si>
  <si>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</si>
  <si>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</si>
  <si>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</si>
  <si>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</si>
  <si>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</si>
  <si>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</si>
  <si>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</si>
  <si>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</si>
  <si>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</si>
  <si>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</si>
  <si>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</si>
  <si>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</si>
  <si>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</si>
  <si>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</si>
  <si>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</si>
  <si>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</si>
  <si>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</si>
  <si>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</si>
  <si>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</si>
  <si>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</si>
  <si>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</si>
  <si>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</si>
  <si>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</si>
  <si>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</si>
  <si>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</si>
  <si>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</si>
  <si>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</si>
  <si>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</si>
  <si>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</si>
  <si>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</si>
  <si>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</si>
  <si>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</si>
  <si>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</si>
  <si>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</si>
  <si>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</si>
  <si>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</si>
  <si>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</si>
  <si>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</si>
  <si>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</si>
  <si>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</si>
  <si>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</si>
  <si>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</si>
  <si>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</si>
  <si>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</si>
  <si>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</si>
  <si>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</si>
  <si>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</si>
  <si>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</si>
  <si>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</si>
  <si>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</si>
  <si>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</si>
  <si>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</si>
  <si>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</si>
  <si>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</si>
  <si>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</si>
  <si>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</si>
  <si>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</si>
  <si>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</si>
  <si>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</si>
  <si>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</si>
  <si>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</si>
  <si>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</si>
  <si>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</si>
  <si>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</si>
  <si>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</si>
  <si>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</si>
  <si>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</si>
  <si>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</si>
  <si>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</si>
  <si>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</si>
  <si>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</si>
  <si>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</si>
  <si>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</si>
  <si>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</si>
  <si>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</si>
  <si>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</si>
  <si>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</si>
  <si>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</si>
  <si>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</si>
  <si>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</si>
  <si>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</si>
  <si>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</si>
  <si>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</si>
  <si>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</si>
  <si>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</si>
  <si>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</si>
  <si>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</si>
  <si>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</si>
  <si>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</si>
  <si>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</si>
  <si>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</si>
  <si>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</si>
  <si>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</si>
  <si>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</si>
  <si>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</si>
  <si>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</si>
  <si>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</si>
  <si>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</si>
  <si>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</si>
  <si>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</si>
  <si>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</si>
  <si>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</si>
  <si>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</si>
  <si>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</si>
  <si>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</si>
  <si>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</si>
  <si>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</si>
  <si>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</si>
  <si>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</si>
  <si>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</si>
  <si>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</si>
  <si>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</si>
  <si>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</si>
  <si>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</si>
  <si>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</si>
  <si>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</si>
  <si>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</si>
  <si>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</si>
  <si>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</si>
  <si>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</si>
  <si>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</si>
  <si>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</si>
  <si>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</si>
  <si>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</si>
  <si>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</si>
  <si>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</si>
  <si>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</si>
  <si>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</si>
  <si>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</si>
  <si>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</si>
  <si>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</si>
  <si>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</si>
  <si>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</si>
  <si>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</si>
  <si>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</si>
  <si>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</si>
  <si>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</si>
  <si>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</si>
  <si>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</si>
  <si>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</si>
  <si>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</si>
  <si>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</si>
  <si>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</si>
  <si>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</si>
  <si>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</si>
  <si>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</si>
  <si>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</si>
  <si>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</si>
  <si>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</si>
  <si>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</si>
  <si>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</si>
  <si>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</si>
  <si>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ORIOL GARCIA</t>
  </si>
  <si>
    <t>FRANCIS RUIZ</t>
  </si>
  <si>
    <t>LLUIS ESPINOSA</t>
  </si>
  <si>
    <t>MARIA JOSE SERRANO</t>
  </si>
  <si>
    <t>LAILA GONELL</t>
  </si>
  <si>
    <t>GERARD CAROD</t>
  </si>
  <si>
    <t>POL FRANQUESA</t>
  </si>
  <si>
    <t>04:24</t>
  </si>
  <si>
    <t>04:02</t>
  </si>
  <si>
    <t>01:18</t>
  </si>
  <si>
    <t>08:27</t>
  </si>
  <si>
    <t>08:26</t>
  </si>
  <si>
    <t>03:39</t>
  </si>
  <si>
    <t xml:space="preserve">Very good job and game, specially on logistics. On scouting some missing assist, and deflections on steals difficult to catch them on court, needed specially review from LGM. </t>
  </si>
  <si>
    <t>C:\Users\oriol.garcia\OneDrive - EUROLEAGUE\Documents\Season 25-26\Reports\Euroleague\FC Barcelona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</si>
</sst>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3" sqref="N3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33_323_BAR_IST_E2025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323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46105.854166666664</v>
      </c>
      <c r="C3" s="157"/>
      <c r="D3" s="39">
        <v>513</v>
      </c>
      <c r="E3" s="29"/>
      <c r="F3" s="26">
        <f>SUBTOTAL(3,I17:I106)</f>
        <v>6</v>
      </c>
      <c r="G3" s="27">
        <f>IF(OR(D3="",D3=0),"",F3/D3)</f>
        <v>1.1695906432748537E-2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1.1695906432748537E-2</v>
      </c>
      <c r="S4" s="61">
        <f>SUM(I13:M13)</f>
        <v>0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1.1695906432748537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6.6695906432748533</v>
      </c>
      <c r="N7" s="58"/>
      <c r="O7" s="2"/>
      <c r="P7" s="2"/>
      <c r="Q7" s="86">
        <f>SUM(R5,S5,AC16)</f>
        <v>6.6695906432748533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6.6695906432748533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323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323</v>
      </c>
      <c r="D17" s="32" t="s">
        <v>757</v>
      </c>
      <c r="E17" s="33">
        <v>1</v>
      </c>
      <c r="F17" s="36">
        <v>12</v>
      </c>
      <c r="G17" s="36">
        <v>7</v>
      </c>
      <c r="H17" s="38" t="str">
        <f>IF(I17="","",$I$14)</f>
        <v>SCOUTING</v>
      </c>
      <c r="I17" s="34">
        <v>56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323</v>
      </c>
      <c r="D18" s="32" t="s">
        <v>758</v>
      </c>
      <c r="E18" s="33">
        <v>1</v>
      </c>
      <c r="F18" s="36">
        <v>12</v>
      </c>
      <c r="G18" s="36">
        <v>7</v>
      </c>
      <c r="H18" s="38" t="str">
        <f t="shared" ref="H18:H81" si="8">IF(I18="","",$I$14)</f>
        <v>SCOUTING</v>
      </c>
      <c r="I18" s="34">
        <v>59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323</v>
      </c>
      <c r="D19" s="32" t="s">
        <v>759</v>
      </c>
      <c r="E19" s="33">
        <v>1</v>
      </c>
      <c r="F19" s="36">
        <v>16</v>
      </c>
      <c r="G19" s="36">
        <v>12</v>
      </c>
      <c r="H19" s="38" t="str">
        <f t="shared" si="8"/>
        <v>SCOUTING</v>
      </c>
      <c r="I19" s="34">
        <v>90</v>
      </c>
      <c r="J19" s="13" t="s">
        <v>4</v>
      </c>
      <c r="K19" s="13" t="s">
        <v>62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323</v>
      </c>
      <c r="D20" s="32" t="s">
        <v>760</v>
      </c>
      <c r="E20" s="33">
        <v>2</v>
      </c>
      <c r="F20" s="36">
        <v>22</v>
      </c>
      <c r="G20" s="36">
        <v>15</v>
      </c>
      <c r="H20" s="38" t="str">
        <f t="shared" si="8"/>
        <v>SCOUTING</v>
      </c>
      <c r="I20" s="34">
        <v>132</v>
      </c>
      <c r="J20" s="13" t="s">
        <v>4</v>
      </c>
      <c r="K20" s="13" t="s">
        <v>62</v>
      </c>
      <c r="L20" s="13" t="s">
        <v>7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323</v>
      </c>
      <c r="D21" s="32" t="s">
        <v>761</v>
      </c>
      <c r="E21" s="33">
        <v>3</v>
      </c>
      <c r="F21" s="36">
        <v>42</v>
      </c>
      <c r="G21" s="36">
        <v>35</v>
      </c>
      <c r="H21" s="38" t="str">
        <f t="shared" si="8"/>
        <v>SCOUTING</v>
      </c>
      <c r="I21" s="34">
        <v>253</v>
      </c>
      <c r="J21" s="13" t="s">
        <v>4</v>
      </c>
      <c r="K21" s="13" t="s">
        <v>62</v>
      </c>
      <c r="L21" s="13" t="s">
        <v>5</v>
      </c>
      <c r="M21" s="13" t="s">
        <v>168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323</v>
      </c>
      <c r="D22" s="32" t="s">
        <v>762</v>
      </c>
      <c r="E22" s="33">
        <v>3</v>
      </c>
      <c r="F22" s="36">
        <v>53</v>
      </c>
      <c r="G22" s="36">
        <v>42</v>
      </c>
      <c r="H22" s="38" t="str">
        <f t="shared" si="8"/>
        <v>SCOUTING</v>
      </c>
      <c r="I22" s="34">
        <v>309</v>
      </c>
      <c r="J22" s="13" t="s">
        <v>4</v>
      </c>
      <c r="K22" s="13" t="s">
        <v>63</v>
      </c>
      <c r="L22" s="13" t="s">
        <v>5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REPORT_E2025323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"E2025323"</v>
      </c>
      <c r="F3" s="45" t="str">
        <f t="shared" ref="F3:F16" si="0">""""&amp;B3&amp;"""" &amp; " : " &amp;C3&amp;","</f>
        <v>"name" : "E2025323",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"E323"</v>
      </c>
      <c r="F4" s="45" t="str">
        <f t="shared" si="0"/>
        <v>"cod" : "E323",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323</v>
      </c>
      <c r="F6" s="45" t="str">
        <f t="shared" si="0"/>
        <v>"number" : 323,</v>
      </c>
    </row>
    <row r="7" spans="2:6" x14ac:dyDescent="0.25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"FRANCIS RUIZ"</v>
      </c>
      <c r="F10" s="45" t="str">
        <f t="shared" si="0"/>
        <v>"Data_entry" : "FRANCIS RUIZ",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"LLUIS ESPINOSA"</v>
      </c>
      <c r="F11" s="45" t="str">
        <f t="shared" si="0"/>
        <v>"Caller_1" : "LLUIS ESPINOSA",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"MARIA JOSE SERRANO"</v>
      </c>
      <c r="F12" s="45" t="str">
        <f t="shared" si="0"/>
        <v>"Caller_2" : "MARIA JOSE SERRANO",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"LAILA GONELL"</v>
      </c>
      <c r="F13" s="45" t="str">
        <f t="shared" si="0"/>
        <v>"Timerkeeper" : "LAILA GONELL",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"GERARD CAROD"</v>
      </c>
      <c r="F14" s="45" t="str">
        <f t="shared" si="0"/>
        <v>"Shotclock" : "GERARD CAROD",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"POL FRANQUESA"</v>
      </c>
      <c r="F15" s="45" t="str">
        <f t="shared" si="0"/>
        <v>"IRS" : "POL FRANQUESA",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513</v>
      </c>
      <c r="F25" s="45" t="str">
        <f t="shared" ref="F25:F48" si="1">""""&amp;C25&amp;"""" &amp; " : " &amp;D25&amp;","</f>
        <v>"total_actions" : 513,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 and game, specially on logistics. On scouting some missing assist, and deflections on steals difficult to catch them on court, needed specially review from LGM. "</v>
      </c>
      <c r="F51" s="45" t="str">
        <f>""""&amp;B51&amp;"""" &amp; " : " &amp;C51&amp;","</f>
        <v>"comments" : "Very good job and game, specially on logistics. On scouting some missing assist, and deflections on steals difficult to catch them on court, needed specially review from LGM. ",</v>
      </c>
    </row>
    <row r="52" spans="2:6" x14ac:dyDescent="0.25">
      <c r="B52" s="43" t="s">
        <v>153</v>
      </c>
      <c r="C52" s="43" t="str">
        <f>TEXT('SCOUT &amp; LOGISTICS'!F1,"0,0")</f>
        <v>33_323_BAR_IST_E2025</v>
      </c>
      <c r="F52" s="45" t="str">
        <f>""""&amp;B52&amp;"""" &amp; " : " &amp;C52</f>
        <v>"result" : 33_323_BAR_IST_E2025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E323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24/03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FRANCIS RUIZ</v>
      </c>
      <c r="C8" s="206"/>
      <c r="D8" s="206"/>
      <c r="E8" s="206"/>
      <c r="F8" s="206"/>
      <c r="G8" s="206" t="str">
        <f>IF('SCOUT &amp; LOGISTICS'!D7="","",'SCOUT &amp; LOGISTICS'!D7)</f>
        <v>LLUIS ESPINOSA</v>
      </c>
      <c r="H8" s="206"/>
      <c r="I8" s="206"/>
      <c r="J8" s="206"/>
      <c r="K8" s="206"/>
      <c r="L8" s="206" t="str">
        <f>IF('SCOUT &amp; LOGISTICS'!D8="","",'SCOUT &amp; LOGISTICS'!D8)</f>
        <v>MARIA JOSE SERRANO</v>
      </c>
      <c r="M8" s="206"/>
      <c r="N8" s="206"/>
      <c r="O8" s="206"/>
      <c r="P8" s="206"/>
      <c r="Q8" s="206" t="str">
        <f>IF('SCOUT &amp; LOGISTICS'!D9="","",'SCOUT &amp; LOGISTICS'!D9)</f>
        <v>LAILA GONELL</v>
      </c>
      <c r="R8" s="206"/>
      <c r="S8" s="206"/>
      <c r="T8" s="206"/>
      <c r="U8" s="206"/>
      <c r="V8" s="206" t="str">
        <f>IF('SCOUT &amp; LOGISTICS'!D10="","",'SCOUT &amp; LOGISTICS'!D10)</f>
        <v>GERARD CAROD</v>
      </c>
      <c r="W8" s="206"/>
      <c r="X8" s="206"/>
      <c r="Y8" s="206"/>
      <c r="Z8" s="206"/>
      <c r="AA8" s="206" t="str">
        <f>IF('SCOUT &amp; LOGISTICS'!D11="","",'SCOUT &amp; LOGISTICS'!D11)</f>
        <v>POL FRANQUESA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513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1.1695906432748537E-2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Very good job and game, specially on logistics. On scouting some missing assist, and deflections on steals difficult to catch them on court, needed specially review from LGM.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6.6695906432748533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9C18C3-DCE1-47A5-A484-85DB63D6532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2026-03-30T08:11:09Z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