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0" documentId="13_ncr:1_{A6331292-A5B5-485E-AB59-283280C19CD0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<sst xmlns="http://schemas.openxmlformats.org/spreadsheetml/2006/main" count="3255" uniqueCount="760">
  <si>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</si>
  <si>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</si>
  <si>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</si>
  <si>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</si>
  <si>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</si>
  <si>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</si>
  <si>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</si>
  <si>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</si>
  <si>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</si>
  <si>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</si>
  <si>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</si>
  <si>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</si>
  <si>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</si>
  <si>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</si>
  <si>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</si>
  <si>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</si>
  <si>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</si>
  <si>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</si>
  <si>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</si>
  <si>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</si>
  <si>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</si>
  <si>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</si>
  <si>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</si>
  <si>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</si>
  <si>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</si>
  <si>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</si>
  <si>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</si>
  <si>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</si>
  <si>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</si>
  <si>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</si>
  <si>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</si>
  <si>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</si>
  <si>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</si>
  <si>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</si>
  <si>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</si>
  <si>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</si>
  <si>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</si>
  <si>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</si>
  <si>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</si>
  <si>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</si>
  <si>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</si>
  <si>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</si>
  <si>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</si>
  <si>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</si>
  <si>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</si>
  <si>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</si>
  <si>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</si>
  <si>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</si>
  <si>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</si>
  <si>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</si>
  <si>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</si>
  <si>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</si>
  <si>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</si>
  <si>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</si>
  <si>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</si>
  <si>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</si>
  <si>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</si>
  <si>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</si>
  <si>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</si>
  <si>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</si>
  <si>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</si>
  <si>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</si>
  <si>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</si>
  <si>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</si>
  <si>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</si>
  <si>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</si>
  <si>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</si>
  <si>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</si>
  <si>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</si>
  <si>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</si>
  <si>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</si>
  <si>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</si>
  <si>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</si>
  <si>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</si>
  <si>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</si>
  <si>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</si>
  <si>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</si>
  <si>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</si>
  <si>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</si>
  <si>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</si>
  <si>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</si>
  <si>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</si>
  <si>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</si>
  <si>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</si>
  <si>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</si>
  <si>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</si>
  <si>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</si>
  <si>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</si>
  <si>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</si>
  <si>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</si>
  <si>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</si>
  <si>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</si>
  <si>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</si>
  <si>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</si>
  <si>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</si>
  <si>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</si>
  <si>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</si>
  <si>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</si>
  <si>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</si>
  <si>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</si>
  <si>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</si>
  <si>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</si>
  <si>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</si>
  <si>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</si>
  <si>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</si>
  <si>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</si>
  <si>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</si>
  <si>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</si>
  <si>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</si>
  <si>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</si>
  <si>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</si>
  <si>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</si>
  <si>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</si>
  <si>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</si>
  <si>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</si>
  <si>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</si>
  <si>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</si>
  <si>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</si>
  <si>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</si>
  <si>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</si>
  <si>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</si>
  <si>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</si>
  <si>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</si>
  <si>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</si>
  <si>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</si>
  <si>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</si>
  <si>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</si>
  <si>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</si>
  <si>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</si>
  <si>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</si>
  <si>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</si>
  <si>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</si>
  <si>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</si>
  <si>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</si>
  <si>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</si>
  <si>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</si>
  <si>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</si>
  <si>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</si>
  <si>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</si>
  <si>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</si>
  <si>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</si>
  <si>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</si>
  <si>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</si>
  <si>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</si>
  <si>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</si>
  <si>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</si>
  <si>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</si>
  <si>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</si>
  <si>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</si>
  <si>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</si>
  <si>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</si>
  <si>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</si>
  <si>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</si>
  <si>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</si>
  <si>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</si>
  <si>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</si>
  <si>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</si>
  <si>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</si>
  <si>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</si>
  <si>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</si>
  <si>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</si>
  <si>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</si>
  <si>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</si>
  <si>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</si>
  <si>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</si>
  <si>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</si>
  <si>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</si>
  <si>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</si>
  <si>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</si>
  <si>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</si>
  <si>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</si>
  <si>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</si>
  <si>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</si>
  <si>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</si>
  <si>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</si>
  <si>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</si>
  <si>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</si>
  <si>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</si>
  <si>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</si>
  <si>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</si>
  <si>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</si>
  <si>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</si>
  <si>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</si>
  <si>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</si>
  <si>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</si>
  <si>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</si>
  <si>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</si>
  <si>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</si>
  <si>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</si>
  <si>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</si>
  <si>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</si>
  <si>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</si>
  <si>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</si>
  <si>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</si>
  <si>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</si>
  <si>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</si>
  <si>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</si>
  <si>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</si>
  <si>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</si>
  <si>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</si>
  <si>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</si>
  <si>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</si>
  <si>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</si>
  <si>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</si>
  <si>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</si>
  <si>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</si>
  <si>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</si>
  <si>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</si>
  <si>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</si>
  <si>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</si>
  <si>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</si>
  <si>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</si>
  <si>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</si>
  <si>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</si>
  <si>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</si>
  <si>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</si>
  <si>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</si>
  <si>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</si>
  <si>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</si>
  <si>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</si>
  <si>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</si>
  <si>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</si>
  <si>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</si>
  <si>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</si>
  <si>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</si>
  <si>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</si>
  <si>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</si>
  <si>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</si>
  <si>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</si>
  <si>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</si>
  <si>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</si>
  <si>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</si>
  <si>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</si>
  <si>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</si>
  <si>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</si>
  <si>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</si>
  <si>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</si>
  <si>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</si>
  <si>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</si>
  <si>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</si>
  <si>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</si>
  <si>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</si>
  <si>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</si>
  <si>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</si>
  <si>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</si>
  <si>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</si>
  <si>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</si>
  <si>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</si>
  <si>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</si>
  <si>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</si>
  <si>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</si>
  <si>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</si>
  <si>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</si>
  <si>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</si>
  <si>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</si>
  <si>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</si>
  <si>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</si>
  <si>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</si>
  <si>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</si>
  <si>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</si>
  <si>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</si>
  <si>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</si>
  <si>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</si>
  <si>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</si>
  <si>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</si>
  <si>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</si>
  <si>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</si>
  <si>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</si>
  <si>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</si>
  <si>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</si>
  <si>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</si>
  <si>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</si>
  <si>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</si>
  <si>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</si>
  <si>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</si>
  <si>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</si>
  <si>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</si>
  <si>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</si>
  <si>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</si>
  <si>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</si>
  <si>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</si>
  <si>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</si>
  <si>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</si>
  <si>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</si>
  <si>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</si>
  <si>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</si>
  <si>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</si>
  <si>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</si>
  <si>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</si>
  <si>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</si>
  <si>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</si>
  <si>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</si>
  <si>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</si>
  <si>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</si>
  <si>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</si>
  <si>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</si>
  <si>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</si>
  <si>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</si>
  <si>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</si>
  <si>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</si>
  <si>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</si>
  <si>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</si>
  <si>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</si>
  <si>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</si>
  <si>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</si>
  <si>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</si>
  <si>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</si>
  <si>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</si>
  <si>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</si>
  <si>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</si>
  <si>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</si>
  <si>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</si>
  <si>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</si>
  <si>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</si>
  <si>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</si>
  <si>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</si>
  <si>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</si>
  <si>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</si>
  <si>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</si>
  <si>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</si>
  <si>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</si>
  <si>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</si>
  <si>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</si>
  <si>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</si>
  <si>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</si>
  <si>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</si>
  <si>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</si>
  <si>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</si>
  <si>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</si>
  <si>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</si>
  <si>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</si>
  <si>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</si>
  <si>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</si>
  <si>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</si>
  <si>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</si>
  <si>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</si>
  <si>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</si>
  <si>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</si>
  <si>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</si>
  <si>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</si>
  <si>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</si>
  <si>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</si>
  <si>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</si>
  <si>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</si>
  <si>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</si>
  <si>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</si>
  <si>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</si>
  <si>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</si>
  <si>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</si>
  <si>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</si>
  <si>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</si>
  <si>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</si>
  <si>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</si>
  <si>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</si>
  <si>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</si>
  <si>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</si>
  <si>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</si>
  <si>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</si>
  <si>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</si>
  <si>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</si>
  <si>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</si>
  <si>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</si>
  <si>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</si>
  <si>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</si>
  <si>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</si>
  <si>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</si>
  <si>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</si>
  <si>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</si>
  <si>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</si>
  <si>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</si>
  <si>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</si>
  <si>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</si>
  <si>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</si>
  <si>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</si>
  <si>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</si>
  <si>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</si>
  <si>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</si>
  <si>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</si>
  <si>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</si>
  <si>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</si>
  <si>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</si>
  <si>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</si>
  <si>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</si>
  <si>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</si>
  <si>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</si>
  <si>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</si>
  <si>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</si>
  <si>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</si>
  <si>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</si>
  <si>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</si>
  <si>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</si>
  <si>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</si>
  <si>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</si>
  <si>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</si>
  <si>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</si>
  <si>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</si>
  <si>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</si>
  <si>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</si>
  <si>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</si>
  <si>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</si>
  <si>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</si>
  <si>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</si>
  <si>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</si>
  <si>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</si>
  <si>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</si>
  <si>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</si>
  <si>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</si>
  <si>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</si>
  <si>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</si>
  <si>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</si>
  <si>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</si>
  <si>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</si>
  <si>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</si>
  <si>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</si>
  <si>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</si>
  <si>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</si>
  <si>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</si>
  <si>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</si>
  <si>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</si>
  <si>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</si>
  <si>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</si>
  <si>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</si>
  <si>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</si>
  <si>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</si>
  <si>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</si>
  <si>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</si>
  <si>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</si>
  <si>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</si>
  <si>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</si>
  <si>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</si>
  <si>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</si>
  <si>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</si>
  <si>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</si>
  <si>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</si>
  <si>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</si>
  <si>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</si>
  <si>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</si>
  <si>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</si>
  <si>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</si>
  <si>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</si>
  <si>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</si>
  <si>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</si>
  <si>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</si>
  <si>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</si>
  <si>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</si>
  <si>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</si>
  <si>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</si>
  <si>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</si>
  <si>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</si>
  <si>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</si>
  <si>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</si>
  <si>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</si>
  <si>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</si>
  <si>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</si>
  <si>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</si>
  <si>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</si>
  <si>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</si>
  <si>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</si>
  <si>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</si>
  <si>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</si>
  <si>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</si>
  <si>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</si>
  <si>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</si>
  <si>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</si>
  <si>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</si>
  <si>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</si>
  <si>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</si>
  <si>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</si>
  <si>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</si>
  <si>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</si>
  <si>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</si>
  <si>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</si>
  <si>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</si>
  <si>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</si>
  <si>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</si>
  <si>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</si>
  <si>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</si>
  <si>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</si>
  <si>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</si>
  <si>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</si>
  <si>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</si>
  <si>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</si>
  <si>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</si>
  <si>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</si>
  <si>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</si>
  <si>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</si>
  <si>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</si>
  <si>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</si>
  <si>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</si>
  <si>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</si>
  <si>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</si>
  <si>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</si>
  <si>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</si>
  <si>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</si>
  <si>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</si>
  <si>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</si>
  <si>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</si>
  <si>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</si>
  <si>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</si>
  <si>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</si>
  <si>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</si>
  <si>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</si>
  <si>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</si>
  <si>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</si>
  <si>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</si>
  <si>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</si>
  <si>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</si>
  <si>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</si>
  <si>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</si>
  <si>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</si>
  <si>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</si>
  <si>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</si>
  <si>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</si>
  <si>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</si>
  <si>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</si>
  <si>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</si>
  <si>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</si>
  <si>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</si>
  <si>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</si>
  <si>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</si>
  <si>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</si>
  <si>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</si>
  <si>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</si>
  <si>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</si>
  <si>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</si>
  <si>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</si>
  <si>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</si>
  <si>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</si>
  <si>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</si>
  <si>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</si>
  <si>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</si>
  <si>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</si>
  <si>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</si>
  <si>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</si>
  <si>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</si>
  <si>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</si>
  <si>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</si>
  <si>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</si>
  <si>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</si>
  <si>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</si>
  <si>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</si>
  <si>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</si>
  <si>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</si>
  <si>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</si>
  <si>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</si>
  <si>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</si>
  <si>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</si>
  <si>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</si>
  <si>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</si>
  <si>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</si>
  <si>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</si>
  <si>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</si>
  <si>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</si>
  <si>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</si>
  <si>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</si>
  <si>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</si>
  <si>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</si>
  <si>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</si>
  <si>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</si>
  <si>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</si>
  <si>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</si>
  <si>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</si>
  <si>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</si>
  <si>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</si>
  <si>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</si>
  <si>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</si>
  <si>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</si>
  <si>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</si>
  <si>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</si>
  <si>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</si>
  <si>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</si>
  <si>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</si>
  <si>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</si>
  <si>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</si>
  <si>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</si>
  <si>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</si>
  <si>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</si>
  <si>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</si>
  <si>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</si>
  <si>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</si>
  <si>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</si>
  <si>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</si>
  <si>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</si>
  <si>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</si>
  <si>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</si>
  <si>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</si>
  <si>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</si>
  <si>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</si>
  <si>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</si>
  <si>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</si>
  <si>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</si>
  <si>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</si>
  <si>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</si>
  <si>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</si>
  <si>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</si>
  <si>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</si>
  <si>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</si>
  <si>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</si>
  <si>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</si>
  <si>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</si>
  <si>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</si>
  <si>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</si>
  <si>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</si>
  <si>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</si>
  <si>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</si>
  <si>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</si>
  <si>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</si>
  <si>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</si>
  <si>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</si>
  <si>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</si>
  <si>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</si>
  <si>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</si>
  <si>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</si>
  <si>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</si>
  <si>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</si>
  <si>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</si>
  <si>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</si>
  <si>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</si>
  <si>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</si>
  <si>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</si>
  <si>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</si>
  <si>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</si>
  <si>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</si>
  <si>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</si>
  <si>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</si>
  <si>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</si>
  <si>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</si>
  <si>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</si>
  <si>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</si>
  <si>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</si>
  <si>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</si>
  <si>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</si>
  <si>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</si>
  <si>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</si>
  <si>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</si>
  <si>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</si>
  <si>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</si>
  <si>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</si>
  <si>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</si>
  <si>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</si>
  <si>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</si>
  <si>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</si>
  <si>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</si>
  <si>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</si>
  <si>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</si>
  <si>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</si>
  <si>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</si>
  <si>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</si>
  <si>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</si>
  <si>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</si>
  <si>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</si>
  <si>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</si>
  <si>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</si>
  <si>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</si>
  <si>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</si>
  <si>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</si>
  <si>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</si>
  <si>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</si>
  <si>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</si>
  <si>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</si>
  <si>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</si>
  <si>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</si>
  <si>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</si>
  <si>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</si>
  <si>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</si>
  <si>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</si>
  <si>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</si>
  <si>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</si>
  <si>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</si>
  <si>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</si>
  <si>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</si>
  <si>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</si>
  <si>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</si>
  <si>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</si>
  <si>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</si>
  <si>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</si>
  <si>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</si>
  <si>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</si>
  <si>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</si>
  <si>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</si>
  <si>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</si>
  <si>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</si>
  <si>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</si>
  <si>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</si>
  <si>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</si>
  <si>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</si>
  <si>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</si>
  <si>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</si>
  <si>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</si>
  <si>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</si>
  <si>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</si>
  <si>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</si>
  <si>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</si>
  <si>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</si>
  <si>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</si>
  <si>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</si>
  <si>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</si>
  <si>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</si>
  <si>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</si>
  <si>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</si>
  <si>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</si>
  <si>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</si>
  <si>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</si>
  <si>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</si>
  <si>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</si>
  <si>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</si>
  <si>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</si>
  <si>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</si>
  <si>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</si>
  <si>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</si>
  <si>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</si>
  <si>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</si>
  <si>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</si>
  <si>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</si>
  <si>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</si>
  <si>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</si>
  <si>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</si>
  <si>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</si>
  <si>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</si>
  <si>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</si>
  <si>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</si>
  <si>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</si>
  <si>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</si>
  <si>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</si>
  <si>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</si>
  <si>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</si>
  <si>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</si>
  <si>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</si>
  <si>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</si>
  <si>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</si>
  <si>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</si>
  <si>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</si>
  <si>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</si>
  <si>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</si>
  <si>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</si>
  <si>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</si>
  <si>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</si>
  <si>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</si>
  <si>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</si>
  <si>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</si>
  <si>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</si>
  <si>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</si>
  <si>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</si>
  <si>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</si>
  <si>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</si>
  <si>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</si>
  <si>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</si>
  <si>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</si>
  <si>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</si>
  <si>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</si>
  <si>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IVAN MOSIC</t>
  </si>
  <si>
    <t>MIODRAG STOJANOVIC</t>
  </si>
  <si>
    <t>MILOS KREMIC</t>
  </si>
  <si>
    <t>IVANA KRSTIC</t>
  </si>
  <si>
    <t>MIROSLAVA DERIKONJIC</t>
  </si>
  <si>
    <t>JOVANA DOJCINOVIC</t>
  </si>
  <si>
    <t>OSCAR CUESTA</t>
  </si>
  <si>
    <t>8:49</t>
  </si>
  <si>
    <t>5:56</t>
  </si>
  <si>
    <t>Thanks a lot for caring so much in that Brisset tap.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</si>
</sst>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33_324_TEL_ULK_E2025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46105.791666666664</v>
      </c>
      <c r="C3" s="178"/>
      <c r="D3" s="39">
        <v>705</v>
      </c>
      <c r="E3" s="29"/>
      <c r="F3" s="26">
        <f>SUBTOTAL(3,I17:I106)</f>
        <v>2</v>
      </c>
      <c r="G3" s="27">
        <f>IF(OR(D3="",D3=0),"",F3/D3)</f>
        <v>2.8368794326241137E-3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2.8368794326241137E-3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0.28368794326241137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3.7836879432624113</v>
      </c>
      <c r="N7" s="58"/>
      <c r="O7" s="2"/>
      <c r="P7" s="2"/>
      <c r="Q7" s="86">
        <f>SUM(R5,S5,AC16)</f>
        <v>3.7836879432624113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3.7836879432624113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324</v>
      </c>
      <c r="D17" s="32" t="s">
        <v>757</v>
      </c>
      <c r="E17" s="33">
        <v>2</v>
      </c>
      <c r="F17" s="36">
        <v>30</v>
      </c>
      <c r="G17" s="36">
        <v>22</v>
      </c>
      <c r="H17" s="38" t="str">
        <f>IF(I17="","",$I$14)</f>
        <v>SCOUTING</v>
      </c>
      <c r="I17" s="34">
        <v>177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324</v>
      </c>
      <c r="D18" s="32" t="s">
        <v>758</v>
      </c>
      <c r="E18" s="33">
        <v>4</v>
      </c>
      <c r="F18" s="36">
        <v>76</v>
      </c>
      <c r="G18" s="36">
        <v>72</v>
      </c>
      <c r="H18" s="38" t="str">
        <f t="shared" ref="H18:H81" si="8">IF(I18="","",$I$14)</f>
        <v>SCOUTING</v>
      </c>
      <c r="I18" s="34">
        <v>568</v>
      </c>
      <c r="J18" s="13" t="s">
        <v>4</v>
      </c>
      <c r="K18" s="13" t="s">
        <v>63</v>
      </c>
      <c r="L18" s="13" t="s">
        <v>7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REPORT_E2025324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"E2025324"</v>
      </c>
      <c r="F3" s="45" t="str">
        <f t="shared" ref="F3:F16" si="0">""""&amp;B3&amp;"""" &amp; " : " &amp;C3&amp;","</f>
        <v>"name" : "E2025324",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"E324"</v>
      </c>
      <c r="F4" s="45" t="str">
        <f t="shared" si="0"/>
        <v>"cod" : "E324",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324</v>
      </c>
      <c r="F6" s="45" t="str">
        <f t="shared" si="0"/>
        <v>"number" : 324,</v>
      </c>
    </row>
    <row r="7" spans="2:6" x14ac:dyDescent="0.25">
      <c r="B7" s="43" t="s">
        <v>116</v>
      </c>
      <c r="C7" s="43" t="str">
        <f ca="1">""""&amp;TEXT('SCOUT &amp; LOGISTICS'!B3,"dd/mm/aaaa")&amp;""""</f>
        <v>"24/03/2026"</v>
      </c>
      <c r="F7" s="45" t="str">
        <f t="shared" ca="1" si="0"/>
        <v>"date" : "24/03/2026",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"IVANA KRSTIC"</v>
      </c>
      <c r="F13" s="45" t="str">
        <f t="shared" si="0"/>
        <v>"Timerkeeper" : "IVANA KRSTIC",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705</v>
      </c>
      <c r="F25" s="45" t="str">
        <f t="shared" ref="F25:F48" si="1">""""&amp;C25&amp;"""" &amp; " : " &amp;D25&amp;","</f>
        <v>"total_actions" : 705,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"Thanks a lot for caring so much in that Brisset tap."</v>
      </c>
      <c r="F51" s="45" t="str">
        <f>""""&amp;B51&amp;"""" &amp; " : " &amp;C51&amp;","</f>
        <v>"comments" : "Thanks a lot for caring so much in that Brisset tap.",</v>
      </c>
    </row>
    <row r="52" spans="2:6" x14ac:dyDescent="0.25">
      <c r="B52" s="43" t="s">
        <v>153</v>
      </c>
      <c r="C52" s="43" t="str">
        <f>TEXT('SCOUT &amp; LOGISTICS'!F1,"0,0")</f>
        <v>33_324_TEL_ULK_E2025</v>
      </c>
      <c r="F52" s="45" t="str">
        <f>""""&amp;B52&amp;"""" &amp; " : " &amp;C52</f>
        <v>"result" : 33_324_TEL_ULK_E2025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E324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MILOS KREMIC</v>
      </c>
      <c r="M8" s="201"/>
      <c r="N8" s="201"/>
      <c r="O8" s="201"/>
      <c r="P8" s="201"/>
      <c r="Q8" s="201" t="str">
        <f>IF('SCOUT &amp; LOGISTICS'!D9="","",'SCOUT &amp; LOGISTICS'!D9)</f>
        <v>IVANA KRSTIC</v>
      </c>
      <c r="R8" s="201"/>
      <c r="S8" s="201"/>
      <c r="T8" s="201"/>
      <c r="U8" s="201"/>
      <c r="V8" s="201" t="str">
        <f>IF('SCOUT &amp; LOGISTICS'!D10="","",'SCOUT &amp; LOGISTICS'!D10)</f>
        <v>MIROSLAVA DERIKONJIC</v>
      </c>
      <c r="W8" s="201"/>
      <c r="X8" s="201"/>
      <c r="Y8" s="201"/>
      <c r="Z8" s="201"/>
      <c r="AA8" s="201" t="str">
        <f>IF('SCOUT &amp; LOGISTICS'!D11="","",'SCOUT &amp; LOGISTICS'!D11)</f>
        <v>JOVANA DOJCINOVIC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705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2.8368794326241137E-3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Thanks a lot for caring so much in that Brisset tap.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3.7836879432624113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98142C9-2BB5-41DF-A851-2386351CD91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2026-03-25T20:25:27Z</cp:lastPrinted>
  <dcterms:created xsi:type="dcterms:W3CDTF">2023-09-19T19:50:35Z</dcterms:created>
  <dcterms:modified xsi:type="dcterms:W3CDTF">2026-04-08T12:52:02Z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