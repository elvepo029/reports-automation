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9DA765E-6063-4B9D-9041-5C2328DBFAF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<sst xmlns="http://schemas.openxmlformats.org/spreadsheetml/2006/main" count="3235" uniqueCount="752">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</sst>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33_324_TEL_ULK_E2025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324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46105.791666666664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Fenerbahce Beko Istanbul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ULK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REPORT_E2025324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"E2025324"</v>
      </c>
      <c r="F3" s="45" t="str">
        <f t="shared" ref="F3:F16" si="0">""""&amp;B3&amp;"""" &amp; " : " &amp;C3&amp;","</f>
        <v>"name" : "E2025324",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"E324"</v>
      </c>
      <c r="F4" s="45" t="str">
        <f t="shared" si="0"/>
        <v>"cod" : "E324",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324</v>
      </c>
      <c r="F6" s="45" t="str">
        <f t="shared" si="0"/>
        <v>"number" : 324,</v>
      </c>
    </row>
    <row r="7" spans="2:6" x14ac:dyDescent="0.2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">
      <c r="B9" s="43" t="s">
        <v>126</v>
      </c>
      <c r="C9" s="43" t="str">
        <f>""""&amp;'SCOUT &amp; LOGISTICS'!D5&amp;""""</f>
        <v>"Fenerbahce Beko Istanbul"</v>
      </c>
      <c r="F9" s="45" t="str">
        <f t="shared" si="0"/>
        <v>"away_team" : "Fenerbahce Beko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33_324_TEL_ULK_E2025</v>
      </c>
      <c r="F52" s="45" t="str">
        <f>""""&amp;B52&amp;"""" &amp; " : " &amp;C52</f>
        <v>"result" : 33_324_TEL_ULK_E2025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E324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24/03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Fenerbahce Beko Istanbul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8542A07-3EC0-4E86-AEB6-E66D5DBF408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