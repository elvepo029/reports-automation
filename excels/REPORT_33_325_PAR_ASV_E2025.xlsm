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0" documentId="13_ncr:1_{A629695B-21D0-42CA-8520-0C0BE12B5F42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<sst xmlns="http://schemas.openxmlformats.org/spreadsheetml/2006/main" count="3255" uniqueCount="759">
  <si>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</si>
  <si>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</si>
  <si>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</si>
  <si>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</si>
  <si>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</si>
  <si>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</si>
  <si>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</si>
  <si>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</si>
  <si>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</si>
  <si>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</si>
  <si>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</si>
  <si>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</si>
  <si>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</si>
  <si>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</si>
  <si>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</si>
  <si>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</si>
  <si>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</si>
  <si>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</si>
  <si>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</si>
  <si>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</si>
  <si>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</si>
  <si>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</si>
  <si>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</si>
  <si>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</si>
  <si>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</si>
  <si>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</si>
  <si>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</si>
  <si>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</si>
  <si>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</si>
  <si>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</si>
  <si>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</si>
  <si>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</si>
  <si>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</si>
  <si>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</si>
  <si>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</si>
  <si>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</si>
  <si>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</si>
  <si>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</si>
  <si>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</si>
  <si>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</si>
  <si>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</si>
  <si>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</si>
  <si>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</si>
  <si>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</si>
  <si>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</si>
  <si>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</si>
  <si>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</si>
  <si>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</si>
  <si>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</si>
  <si>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</si>
  <si>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</si>
  <si>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</si>
  <si>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</si>
  <si>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</si>
  <si>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</si>
  <si>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</si>
  <si>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</si>
  <si>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</si>
  <si>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</si>
  <si>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</si>
  <si>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</si>
  <si>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</si>
  <si>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</si>
  <si>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</si>
  <si>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</si>
  <si>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</si>
  <si>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</si>
  <si>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</si>
  <si>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</si>
  <si>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</si>
  <si>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</si>
  <si>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</si>
  <si>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</si>
  <si>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</si>
  <si>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</si>
  <si>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</si>
  <si>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</si>
  <si>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</si>
  <si>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</si>
  <si>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</si>
  <si>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</si>
  <si>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</si>
  <si>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</si>
  <si>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</si>
  <si>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</si>
  <si>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</si>
  <si>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</si>
  <si>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</si>
  <si>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</si>
  <si>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</si>
  <si>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</si>
  <si>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</si>
  <si>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</si>
  <si>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</si>
  <si>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</si>
  <si>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</si>
  <si>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</si>
  <si>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</si>
  <si>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</si>
  <si>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</si>
  <si>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</si>
  <si>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</si>
  <si>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</si>
  <si>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</si>
  <si>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</si>
  <si>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</si>
  <si>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</si>
  <si>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</si>
  <si>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</si>
  <si>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</si>
  <si>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</si>
  <si>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</si>
  <si>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</si>
  <si>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</si>
  <si>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</si>
  <si>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</si>
  <si>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</si>
  <si>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</si>
  <si>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</si>
  <si>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</si>
  <si>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</si>
  <si>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</si>
  <si>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</si>
  <si>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</si>
  <si>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</si>
  <si>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</si>
  <si>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</si>
  <si>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</si>
  <si>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</si>
  <si>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</si>
  <si>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</si>
  <si>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</si>
  <si>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</si>
  <si>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</si>
  <si>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</si>
  <si>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</si>
  <si>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</si>
  <si>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</si>
  <si>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</si>
  <si>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</si>
  <si>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</si>
  <si>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</si>
  <si>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</si>
  <si>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</si>
  <si>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</si>
  <si>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</si>
  <si>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</si>
  <si>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</si>
  <si>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</si>
  <si>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</si>
  <si>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</si>
  <si>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</si>
  <si>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</si>
  <si>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</si>
  <si>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</si>
  <si>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</si>
  <si>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</si>
  <si>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</si>
  <si>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</si>
  <si>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</si>
  <si>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</si>
  <si>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</si>
  <si>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</si>
  <si>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</si>
  <si>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</si>
  <si>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</si>
  <si>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</si>
  <si>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</si>
  <si>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</si>
  <si>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</si>
  <si>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</si>
  <si>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</si>
  <si>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</si>
  <si>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</si>
  <si>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</si>
  <si>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</si>
  <si>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</si>
  <si>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</si>
  <si>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</si>
  <si>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</si>
  <si>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</si>
  <si>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</si>
  <si>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</si>
  <si>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</si>
  <si>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</si>
  <si>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</si>
  <si>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</si>
  <si>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</si>
  <si>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</si>
  <si>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</si>
  <si>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</si>
  <si>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</si>
  <si>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</si>
  <si>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</si>
  <si>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</si>
  <si>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</si>
  <si>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</si>
  <si>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</si>
  <si>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</si>
  <si>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</si>
  <si>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</si>
  <si>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</si>
  <si>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</si>
  <si>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</si>
  <si>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</si>
  <si>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</si>
  <si>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</si>
  <si>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</si>
  <si>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</si>
  <si>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</si>
  <si>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</si>
  <si>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</si>
  <si>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</si>
  <si>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</si>
  <si>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</si>
  <si>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</si>
  <si>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</si>
  <si>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</si>
  <si>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</si>
  <si>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</si>
  <si>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</si>
  <si>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</si>
  <si>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</si>
  <si>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</si>
  <si>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</si>
  <si>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</si>
  <si>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</si>
  <si>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</si>
  <si>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</si>
  <si>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</si>
  <si>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</si>
  <si>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</si>
  <si>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</si>
  <si>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</si>
  <si>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</si>
  <si>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</si>
  <si>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</si>
  <si>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</si>
  <si>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</si>
  <si>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</si>
  <si>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</si>
  <si>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</si>
  <si>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</si>
  <si>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</si>
  <si>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</si>
  <si>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</si>
  <si>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</si>
  <si>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</si>
  <si>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</si>
  <si>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</si>
  <si>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</si>
  <si>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</si>
  <si>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</si>
  <si>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</si>
  <si>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</si>
  <si>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</si>
  <si>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</si>
  <si>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</si>
  <si>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</si>
  <si>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</si>
  <si>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</si>
  <si>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</si>
  <si>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</si>
  <si>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</si>
  <si>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</si>
  <si>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</si>
  <si>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</si>
  <si>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</si>
  <si>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</si>
  <si>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</si>
  <si>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</si>
  <si>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</si>
  <si>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</si>
  <si>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</si>
  <si>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</si>
  <si>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</si>
  <si>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</si>
  <si>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</si>
  <si>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</si>
  <si>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</si>
  <si>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</si>
  <si>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</si>
  <si>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</si>
  <si>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</si>
  <si>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</si>
  <si>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</si>
  <si>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</si>
  <si>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</si>
  <si>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</si>
  <si>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</si>
  <si>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</si>
  <si>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</si>
  <si>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</si>
  <si>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</si>
  <si>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</si>
  <si>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</si>
  <si>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</si>
  <si>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</si>
  <si>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</si>
  <si>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</si>
  <si>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</si>
  <si>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</si>
  <si>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</si>
  <si>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</si>
  <si>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</si>
  <si>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</si>
  <si>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</si>
  <si>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</si>
  <si>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</si>
  <si>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</si>
  <si>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</si>
  <si>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</si>
  <si>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</si>
  <si>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</si>
  <si>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</si>
  <si>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</si>
  <si>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</si>
  <si>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</si>
  <si>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</si>
  <si>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</si>
  <si>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</si>
  <si>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</si>
  <si>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</si>
  <si>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</si>
  <si>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</si>
  <si>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</si>
  <si>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</si>
  <si>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</si>
  <si>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</si>
  <si>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</si>
  <si>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</si>
  <si>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</si>
  <si>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</si>
  <si>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</si>
  <si>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</si>
  <si>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</si>
  <si>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</si>
  <si>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</si>
  <si>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</si>
  <si>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</si>
  <si>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</si>
  <si>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</si>
  <si>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</si>
  <si>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</si>
  <si>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</si>
  <si>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</si>
  <si>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</si>
  <si>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</si>
  <si>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</si>
  <si>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</si>
  <si>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</si>
  <si>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</si>
  <si>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</si>
  <si>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</si>
  <si>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</si>
  <si>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</si>
  <si>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</si>
  <si>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</si>
  <si>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</si>
  <si>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</si>
  <si>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</si>
  <si>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</si>
  <si>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</si>
  <si>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</si>
  <si>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</si>
  <si>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</si>
  <si>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</si>
  <si>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</si>
  <si>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</si>
  <si>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</si>
  <si>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</si>
  <si>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</si>
  <si>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</si>
  <si>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</si>
  <si>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</si>
  <si>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</si>
  <si>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</si>
  <si>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</si>
  <si>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</si>
  <si>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</si>
  <si>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</si>
  <si>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</si>
  <si>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</si>
  <si>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</si>
  <si>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</si>
  <si>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</si>
  <si>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</si>
  <si>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</si>
  <si>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</si>
  <si>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</si>
  <si>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</si>
  <si>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</si>
  <si>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</si>
  <si>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</si>
  <si>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</si>
  <si>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</si>
  <si>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</si>
  <si>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</si>
  <si>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</si>
  <si>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</si>
  <si>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</si>
  <si>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</si>
  <si>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</si>
  <si>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</si>
  <si>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</si>
  <si>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</si>
  <si>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</si>
  <si>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</si>
  <si>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</si>
  <si>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</si>
  <si>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</si>
  <si>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</si>
  <si>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</si>
  <si>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</si>
  <si>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</si>
  <si>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</si>
  <si>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</si>
  <si>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</si>
  <si>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</si>
  <si>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</si>
  <si>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</si>
  <si>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</si>
  <si>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</si>
  <si>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</si>
  <si>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</si>
  <si>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</si>
  <si>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</si>
  <si>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</si>
  <si>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</si>
  <si>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</si>
  <si>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</si>
  <si>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</si>
  <si>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</si>
  <si>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</si>
  <si>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</si>
  <si>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</si>
  <si>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</si>
  <si>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</si>
  <si>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</si>
  <si>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</si>
  <si>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</si>
  <si>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</si>
  <si>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</si>
  <si>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</si>
  <si>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</si>
  <si>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</si>
  <si>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</si>
  <si>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</si>
  <si>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</si>
  <si>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</si>
  <si>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</si>
  <si>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</si>
  <si>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</si>
  <si>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</si>
  <si>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</si>
  <si>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</si>
  <si>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</si>
  <si>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</si>
  <si>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</si>
  <si>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</si>
  <si>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</si>
  <si>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</si>
  <si>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</si>
  <si>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</si>
  <si>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</si>
  <si>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</si>
  <si>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</si>
  <si>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</si>
  <si>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</si>
  <si>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</si>
  <si>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</si>
  <si>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</si>
  <si>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</si>
  <si>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</si>
  <si>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</si>
  <si>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</si>
  <si>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</si>
  <si>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</si>
  <si>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</si>
  <si>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</si>
  <si>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</si>
  <si>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</si>
  <si>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</si>
  <si>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</si>
  <si>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</si>
  <si>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</si>
  <si>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</si>
  <si>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</si>
  <si>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</si>
  <si>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</si>
  <si>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</si>
  <si>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</si>
  <si>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</si>
  <si>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</si>
  <si>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</si>
  <si>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</si>
  <si>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</si>
  <si>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</si>
  <si>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</si>
  <si>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</si>
  <si>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</si>
  <si>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</si>
  <si>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</si>
  <si>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</si>
  <si>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</si>
  <si>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</si>
  <si>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</si>
  <si>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</si>
  <si>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</si>
  <si>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</si>
  <si>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</si>
  <si>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</si>
  <si>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</si>
  <si>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</si>
  <si>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</si>
  <si>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</si>
  <si>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</si>
  <si>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</si>
  <si>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</si>
  <si>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</si>
  <si>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</si>
  <si>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</si>
  <si>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</si>
  <si>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</si>
  <si>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</si>
  <si>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</si>
  <si>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</si>
  <si>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</si>
  <si>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</si>
  <si>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</si>
  <si>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</si>
  <si>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</si>
  <si>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</si>
  <si>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</si>
  <si>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</si>
  <si>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</si>
  <si>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</si>
  <si>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</si>
  <si>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</si>
  <si>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</si>
  <si>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</si>
  <si>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</si>
  <si>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</si>
  <si>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</si>
  <si>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</si>
  <si>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</si>
  <si>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</si>
  <si>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</si>
  <si>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</si>
  <si>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</si>
  <si>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</si>
  <si>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</si>
  <si>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</si>
  <si>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</si>
  <si>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</si>
  <si>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</si>
  <si>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</si>
  <si>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</si>
  <si>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</si>
  <si>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</si>
  <si>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</si>
  <si>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</si>
  <si>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</si>
  <si>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</si>
  <si>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</si>
  <si>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</si>
  <si>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</si>
  <si>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</si>
  <si>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</si>
  <si>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</si>
  <si>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</si>
  <si>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</si>
  <si>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</si>
  <si>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</si>
  <si>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</si>
  <si>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</si>
  <si>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</si>
  <si>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</si>
  <si>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</si>
  <si>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</si>
  <si>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</si>
  <si>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</si>
  <si>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</si>
  <si>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</si>
  <si>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</si>
  <si>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</si>
  <si>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</si>
  <si>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</si>
  <si>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</si>
  <si>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</si>
  <si>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</si>
  <si>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</si>
  <si>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</si>
  <si>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</si>
  <si>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</si>
  <si>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</si>
  <si>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</si>
  <si>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</si>
  <si>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</si>
  <si>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</si>
  <si>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</si>
  <si>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</si>
  <si>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</si>
  <si>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</si>
  <si>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</si>
  <si>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</si>
  <si>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</si>
  <si>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</si>
  <si>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</si>
  <si>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</si>
  <si>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</si>
  <si>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</si>
  <si>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</si>
  <si>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</si>
  <si>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</si>
  <si>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</si>
  <si>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</si>
  <si>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</si>
  <si>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</si>
  <si>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</si>
  <si>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</si>
  <si>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</si>
  <si>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</si>
  <si>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</si>
  <si>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</si>
  <si>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</si>
  <si>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</si>
  <si>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</si>
  <si>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</si>
  <si>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</si>
  <si>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</si>
  <si>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</si>
  <si>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</si>
  <si>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</si>
  <si>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</si>
  <si>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</si>
  <si>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</si>
  <si>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</si>
  <si>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</si>
  <si>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</si>
  <si>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</si>
  <si>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</si>
  <si>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</si>
  <si>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</si>
  <si>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</si>
  <si>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</si>
  <si>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</si>
  <si>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</si>
  <si>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</si>
  <si>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</si>
  <si>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</si>
  <si>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</si>
  <si>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</si>
  <si>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</si>
  <si>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</si>
  <si>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</si>
  <si>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</si>
  <si>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</si>
  <si>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</si>
  <si>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</si>
  <si>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</si>
  <si>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</si>
  <si>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</si>
  <si>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</si>
  <si>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</si>
  <si>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</si>
  <si>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</si>
  <si>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</si>
  <si>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</si>
  <si>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</si>
  <si>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</si>
  <si>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</si>
  <si>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</si>
  <si>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</si>
  <si>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</si>
  <si>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</si>
  <si>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</si>
  <si>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</si>
  <si>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</si>
  <si>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</si>
  <si>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</si>
  <si>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</si>
  <si>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</si>
  <si>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</si>
  <si>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</si>
  <si>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</si>
  <si>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</si>
  <si>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</si>
  <si>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</si>
  <si>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</si>
  <si>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</si>
  <si>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</si>
  <si>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</si>
  <si>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</si>
  <si>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</si>
  <si>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</si>
  <si>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</si>
  <si>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</si>
  <si>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</si>
  <si>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</si>
  <si>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</si>
  <si>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</si>
  <si>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</si>
  <si>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</si>
  <si>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</si>
  <si>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</si>
  <si>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</si>
  <si>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</si>
  <si>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</si>
  <si>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</si>
  <si>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</si>
  <si>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</si>
  <si>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</si>
  <si>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</si>
  <si>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</si>
  <si>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</si>
  <si>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</si>
  <si>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</si>
  <si>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</si>
  <si>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</si>
  <si>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</si>
  <si>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</si>
  <si>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</si>
  <si>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</si>
  <si>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</si>
  <si>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</si>
  <si>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</si>
  <si>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</si>
  <si>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</si>
  <si>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</si>
  <si>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</si>
  <si>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</si>
  <si>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</si>
  <si>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</si>
  <si>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</si>
  <si>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</si>
  <si>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</si>
  <si>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</si>
  <si>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</si>
  <si>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</si>
  <si>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</si>
  <si>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</si>
  <si>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</si>
  <si>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</si>
  <si>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</si>
  <si>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</si>
  <si>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</si>
  <si>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</si>
  <si>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</si>
  <si>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</si>
  <si>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1:59</t>
  </si>
  <si>
    <t>0:08</t>
  </si>
  <si>
    <t>OSCAR CUESTA</t>
  </si>
  <si>
    <t>ANA ANDREJIC</t>
  </si>
  <si>
    <t>MARKO KRSTIC</t>
  </si>
  <si>
    <t>SONJA STANKOVIC</t>
  </si>
  <si>
    <t>JELENA RASINAC</t>
  </si>
  <si>
    <t>JOAVNA KRIVOKUCA-MILOVANOVIC</t>
  </si>
  <si>
    <t>Thanks for the huge job, guys!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</si>
</sst>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33_325_PAR_ASV_E2025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46105.854166666664</v>
      </c>
      <c r="C3" s="178"/>
      <c r="D3" s="39">
        <v>604</v>
      </c>
      <c r="E3" s="29"/>
      <c r="F3" s="26">
        <f>SUBTOTAL(3,I17:I106)</f>
        <v>2</v>
      </c>
      <c r="G3" s="27">
        <f>IF(OR(D3="",D3=0),"",F3/D3)</f>
        <v>3.3112582781456954E-3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3.3112582781456954E-3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0.33112582781456956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747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5.3311258278145699</v>
      </c>
      <c r="N7" s="58"/>
      <c r="O7" s="2"/>
      <c r="P7" s="2"/>
      <c r="Q7" s="86">
        <f>SUM(R5,S5,AC16)</f>
        <v>5.3311258278145699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5.3311258278145699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755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752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325</v>
      </c>
      <c r="D17" s="32" t="s">
        <v>750</v>
      </c>
      <c r="E17" s="33">
        <v>1</v>
      </c>
      <c r="F17" s="36">
        <v>14</v>
      </c>
      <c r="G17" s="36">
        <v>17</v>
      </c>
      <c r="H17" s="38" t="str">
        <f>IF(I17="","",$I$14)</f>
        <v>SCOUTING</v>
      </c>
      <c r="I17" s="34">
        <v>89</v>
      </c>
      <c r="J17" s="13" t="s">
        <v>4</v>
      </c>
      <c r="K17" s="13" t="s">
        <v>63</v>
      </c>
      <c r="L17" s="13" t="s">
        <v>7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325</v>
      </c>
      <c r="D18" s="32" t="s">
        <v>751</v>
      </c>
      <c r="E18" s="33">
        <v>2</v>
      </c>
      <c r="F18" s="36">
        <v>34</v>
      </c>
      <c r="G18" s="36">
        <v>32</v>
      </c>
      <c r="H18" s="38" t="str">
        <f t="shared" ref="H18:H81" si="8">IF(I18="","",$I$14)</f>
        <v>SCOUTING</v>
      </c>
      <c r="I18" s="34">
        <v>283</v>
      </c>
      <c r="J18" s="13" t="s">
        <v>4</v>
      </c>
      <c r="K18" s="13" t="s">
        <v>62</v>
      </c>
      <c r="L18" s="13" t="s">
        <v>7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REPORT_E2025325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"E2025325"</v>
      </c>
      <c r="F3" s="45" t="str">
        <f t="shared" ref="F3:F16" si="0">""""&amp;B3&amp;"""" &amp; " : " &amp;C3&amp;","</f>
        <v>"name" : "E2025325",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"E325"</v>
      </c>
      <c r="F4" s="45" t="str">
        <f t="shared" si="0"/>
        <v>"cod" : "E325",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325</v>
      </c>
      <c r="F6" s="45" t="str">
        <f t="shared" si="0"/>
        <v>"number" : 325,</v>
      </c>
    </row>
    <row r="7" spans="2:6" x14ac:dyDescent="0.25">
      <c r="B7" s="43" t="s">
        <v>116</v>
      </c>
      <c r="C7" s="43" t="str">
        <f ca="1">""""&amp;TEXT('SCOUT &amp; LOGISTICS'!B3,"dd/mm/aaaa")&amp;""""</f>
        <v>"24/03/2026"</v>
      </c>
      <c r="F7" s="45" t="str">
        <f t="shared" ca="1" si="0"/>
        <v>"date" : "24/03/2026",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 ANDREJIC"</v>
      </c>
      <c r="F11" s="45" t="str">
        <f t="shared" si="0"/>
        <v>"Caller_1" : "ANA ANDREJIC",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"MARKO KRSTIC"</v>
      </c>
      <c r="F12" s="45" t="str">
        <f t="shared" si="0"/>
        <v>"Caller_2" : "MARKO KRSTIC",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"JOAVNA KRIVOKUCA-MILOVANOVIC"</v>
      </c>
      <c r="F15" s="45" t="str">
        <f t="shared" si="0"/>
        <v>"IRS" : "JOAVNA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"Thanks for the huge job, guys!"</v>
      </c>
      <c r="F51" s="45" t="str">
        <f>""""&amp;B51&amp;"""" &amp; " : " &amp;C51&amp;","</f>
        <v>"comments" : "Thanks for the huge job, guys!",</v>
      </c>
    </row>
    <row r="52" spans="2:6" x14ac:dyDescent="0.25">
      <c r="B52" s="43" t="s">
        <v>153</v>
      </c>
      <c r="C52" s="43" t="str">
        <f>TEXT('SCOUT &amp; LOGISTICS'!F1,"0,0")</f>
        <v>33_325_PAR_ASV_E2025</v>
      </c>
      <c r="F52" s="45" t="str">
        <f>""""&amp;B52&amp;"""" &amp; " : " &amp;C52</f>
        <v>"result" : 33_325_PAR_ASV_E2025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E325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PETAR VASILJEVIC</v>
      </c>
      <c r="C8" s="201"/>
      <c r="D8" s="201"/>
      <c r="E8" s="201"/>
      <c r="F8" s="201"/>
      <c r="G8" s="201" t="str">
        <f>IF('SCOUT &amp; LOGISTICS'!D7="","",'SCOUT &amp; LOGISTICS'!D7)</f>
        <v>ANA ANDREJIC</v>
      </c>
      <c r="H8" s="201"/>
      <c r="I8" s="201"/>
      <c r="J8" s="201"/>
      <c r="K8" s="201"/>
      <c r="L8" s="201" t="str">
        <f>IF('SCOUT &amp; LOGISTICS'!D8="","",'SCOUT &amp; LOGISTICS'!D8)</f>
        <v>MARKO KRSTIC</v>
      </c>
      <c r="M8" s="201"/>
      <c r="N8" s="201"/>
      <c r="O8" s="201"/>
      <c r="P8" s="201"/>
      <c r="Q8" s="201" t="str">
        <f>IF('SCOUT &amp; LOGISTICS'!D9="","",'SCOUT &amp; LOGISTICS'!D9)</f>
        <v>SONJA STANKOVIC</v>
      </c>
      <c r="R8" s="201"/>
      <c r="S8" s="201"/>
      <c r="T8" s="201"/>
      <c r="U8" s="201"/>
      <c r="V8" s="201" t="str">
        <f>IF('SCOUT &amp; LOGISTICS'!D10="","",'SCOUT &amp; LOGISTICS'!D10)</f>
        <v>JELENA RASINAC</v>
      </c>
      <c r="W8" s="201"/>
      <c r="X8" s="201"/>
      <c r="Y8" s="201"/>
      <c r="Z8" s="201"/>
      <c r="AA8" s="201" t="str">
        <f>IF('SCOUT &amp; LOGISTICS'!D11="","",'SCOUT &amp; LOGISTICS'!D11)</f>
        <v>JOAVNA KRIVOKUCA-MILOVANOVIC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604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3.3112582781456954E-3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Thanks for the huge job, guys!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5.3311258278145699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1D0B5D01-F397-4664-A06B-EA7B670405BA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2026-03-25T20:15:04Z</cp:lastPrinted>
  <dcterms:created xsi:type="dcterms:W3CDTF">2023-09-19T19:50:35Z</dcterms:created>
  <dcterms:modified xsi:type="dcterms:W3CDTF">2026-04-08T12:52:09Z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