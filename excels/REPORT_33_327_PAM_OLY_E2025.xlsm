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2" documentId="8_{DD7D8627-18AD-4FF1-A073-644F44F4D2FC}" xr6:coauthVersionLast="47" xr6:coauthVersionMax="47" xr10:uidLastSave="{54401741-572C-4118-974D-964A4021F7FB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<sst xmlns="http://schemas.openxmlformats.org/spreadsheetml/2006/main" count="3271" uniqueCount="764">
  <si>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</si>
  <si>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</si>
  <si>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</si>
  <si>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</si>
  <si>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</si>
  <si>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</si>
  <si>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</si>
  <si>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</si>
  <si>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</si>
  <si>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</si>
  <si>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</si>
  <si>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</si>
  <si>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</si>
  <si>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</si>
  <si>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</si>
  <si>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</si>
  <si>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</si>
  <si>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</si>
  <si>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</si>
  <si>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</si>
  <si>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</si>
  <si>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</si>
  <si>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</si>
  <si>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</si>
  <si>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</si>
  <si>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</si>
  <si>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</si>
  <si>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</si>
  <si>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</si>
  <si>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</si>
  <si>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</si>
  <si>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</si>
  <si>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</si>
  <si>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</si>
  <si>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</si>
  <si>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</si>
  <si>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</si>
  <si>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</si>
  <si>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</si>
  <si>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</si>
  <si>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</si>
  <si>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</si>
  <si>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</si>
  <si>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</si>
  <si>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</si>
  <si>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</si>
  <si>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</si>
  <si>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</si>
  <si>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</si>
  <si>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</si>
  <si>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</si>
  <si>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</si>
  <si>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</si>
  <si>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</si>
  <si>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</si>
  <si>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</si>
  <si>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</si>
  <si>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</si>
  <si>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</si>
  <si>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</si>
  <si>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</si>
  <si>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</si>
  <si>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</si>
  <si>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</si>
  <si>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</si>
  <si>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</si>
  <si>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</si>
  <si>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</si>
  <si>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</si>
  <si>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</si>
  <si>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</si>
  <si>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</si>
  <si>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</si>
  <si>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</si>
  <si>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</si>
  <si>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</si>
  <si>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</si>
  <si>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</si>
  <si>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</si>
  <si>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</si>
  <si>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</si>
  <si>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</si>
  <si>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</si>
  <si>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</si>
  <si>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</si>
  <si>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</si>
  <si>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</si>
  <si>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</si>
  <si>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</si>
  <si>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</si>
  <si>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</si>
  <si>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</si>
  <si>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</si>
  <si>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</si>
  <si>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</si>
  <si>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</si>
  <si>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</si>
  <si>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</si>
  <si>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</si>
  <si>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</si>
  <si>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</si>
  <si>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</si>
  <si>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</si>
  <si>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</si>
  <si>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</si>
  <si>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</si>
  <si>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</si>
  <si>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</si>
  <si>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</si>
  <si>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</si>
  <si>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</si>
  <si>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</si>
  <si>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</si>
  <si>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</si>
  <si>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</si>
  <si>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</si>
  <si>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</si>
  <si>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</si>
  <si>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</si>
  <si>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</si>
  <si>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</si>
  <si>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</si>
  <si>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</si>
  <si>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</si>
  <si>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</si>
  <si>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</si>
  <si>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</si>
  <si>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</si>
  <si>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</si>
  <si>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</si>
  <si>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</si>
  <si>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</si>
  <si>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</si>
  <si>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</si>
  <si>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</si>
  <si>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</si>
  <si>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</si>
  <si>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</si>
  <si>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</si>
  <si>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</si>
  <si>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</si>
  <si>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</si>
  <si>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</si>
  <si>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</si>
  <si>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</si>
  <si>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</si>
  <si>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</si>
  <si>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</si>
  <si>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</si>
  <si>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</si>
  <si>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</si>
  <si>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</si>
  <si>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</si>
  <si>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</si>
  <si>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</si>
  <si>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</si>
  <si>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</si>
  <si>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</si>
  <si>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</si>
  <si>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</si>
  <si>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</si>
  <si>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</si>
  <si>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</si>
  <si>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</si>
  <si>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</si>
  <si>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</si>
  <si>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</si>
  <si>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</si>
  <si>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</si>
  <si>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</si>
  <si>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</si>
  <si>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</si>
  <si>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</si>
  <si>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</si>
  <si>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</si>
  <si>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</si>
  <si>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</si>
  <si>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</si>
  <si>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</si>
  <si>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</si>
  <si>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</si>
  <si>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</si>
  <si>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</si>
  <si>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</si>
  <si>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</si>
  <si>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</si>
  <si>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</si>
  <si>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</si>
  <si>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</si>
  <si>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</si>
  <si>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</si>
  <si>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</si>
  <si>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</si>
  <si>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</si>
  <si>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</si>
  <si>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</si>
  <si>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</si>
  <si>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</si>
  <si>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</si>
  <si>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</si>
  <si>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</si>
  <si>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</si>
  <si>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</si>
  <si>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</si>
  <si>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</si>
  <si>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</si>
  <si>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</si>
  <si>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</si>
  <si>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</si>
  <si>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</si>
  <si>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</si>
  <si>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</si>
  <si>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</si>
  <si>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</si>
  <si>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</si>
  <si>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</si>
  <si>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</si>
  <si>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</si>
  <si>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</si>
  <si>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</si>
  <si>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</si>
  <si>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</si>
  <si>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</si>
  <si>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</si>
  <si>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</si>
  <si>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</si>
  <si>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</si>
  <si>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</si>
  <si>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</si>
  <si>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</si>
  <si>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</si>
  <si>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</si>
  <si>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</si>
  <si>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</si>
  <si>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</si>
  <si>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</si>
  <si>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</si>
  <si>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</si>
  <si>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</si>
  <si>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</si>
  <si>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</si>
  <si>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</si>
  <si>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</si>
  <si>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</si>
  <si>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</si>
  <si>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</si>
  <si>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</si>
  <si>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</si>
  <si>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</si>
  <si>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</si>
  <si>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</si>
  <si>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</si>
  <si>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</si>
  <si>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</si>
  <si>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</si>
  <si>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</si>
  <si>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</si>
  <si>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</si>
  <si>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</si>
  <si>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</si>
  <si>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</si>
  <si>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</si>
  <si>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</si>
  <si>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</si>
  <si>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</si>
  <si>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</si>
  <si>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</si>
  <si>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</si>
  <si>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</si>
  <si>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</si>
  <si>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</si>
  <si>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</si>
  <si>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</si>
  <si>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</si>
  <si>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</si>
  <si>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</si>
  <si>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</si>
  <si>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</si>
  <si>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</si>
  <si>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</si>
  <si>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</si>
  <si>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</si>
  <si>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</si>
  <si>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</si>
  <si>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</si>
  <si>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</si>
  <si>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</si>
  <si>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</si>
  <si>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</si>
  <si>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</si>
  <si>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</si>
  <si>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</si>
  <si>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</si>
  <si>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</si>
  <si>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</si>
  <si>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</si>
  <si>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</si>
  <si>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</si>
  <si>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</si>
  <si>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</si>
  <si>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</si>
  <si>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</si>
  <si>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</si>
  <si>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</si>
  <si>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</si>
  <si>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</si>
  <si>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</si>
  <si>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</si>
  <si>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</si>
  <si>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</si>
  <si>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</si>
  <si>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</si>
  <si>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</si>
  <si>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</si>
  <si>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</si>
  <si>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</si>
  <si>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</si>
  <si>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</si>
  <si>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</si>
  <si>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</si>
  <si>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</si>
  <si>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</si>
  <si>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</si>
  <si>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</si>
  <si>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</si>
  <si>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</si>
  <si>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</si>
  <si>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</si>
  <si>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</si>
  <si>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</si>
  <si>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</si>
  <si>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</si>
  <si>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</si>
  <si>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</si>
  <si>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</si>
  <si>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</si>
  <si>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</si>
  <si>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</si>
  <si>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</si>
  <si>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</si>
  <si>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</si>
  <si>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</si>
  <si>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</si>
  <si>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</si>
  <si>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</si>
  <si>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</si>
  <si>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</si>
  <si>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</si>
  <si>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</si>
  <si>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</si>
  <si>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</si>
  <si>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</si>
  <si>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</si>
  <si>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</si>
  <si>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</si>
  <si>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</si>
  <si>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</si>
  <si>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</si>
  <si>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</si>
  <si>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</si>
  <si>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</si>
  <si>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</si>
  <si>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</si>
  <si>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</si>
  <si>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</si>
  <si>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</si>
  <si>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</si>
  <si>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</si>
  <si>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</si>
  <si>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</si>
  <si>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</si>
  <si>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</si>
  <si>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</si>
  <si>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</si>
  <si>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</si>
  <si>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</si>
  <si>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</si>
  <si>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</si>
  <si>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</si>
  <si>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</si>
  <si>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</si>
  <si>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</si>
  <si>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</si>
  <si>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</si>
  <si>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</si>
  <si>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</si>
  <si>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</si>
  <si>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</si>
  <si>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</si>
  <si>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</si>
  <si>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</si>
  <si>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</si>
  <si>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</si>
  <si>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</si>
  <si>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</si>
  <si>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</si>
  <si>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</si>
  <si>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</si>
  <si>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</si>
  <si>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</si>
  <si>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</si>
  <si>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</si>
  <si>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</si>
  <si>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</si>
  <si>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</si>
  <si>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</si>
  <si>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</si>
  <si>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</si>
  <si>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</si>
  <si>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</si>
  <si>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</si>
  <si>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</si>
  <si>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</si>
  <si>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</si>
  <si>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</si>
  <si>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</si>
  <si>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</si>
  <si>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</si>
  <si>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</si>
  <si>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</si>
  <si>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</si>
  <si>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</si>
  <si>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</si>
  <si>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</si>
  <si>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</si>
  <si>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</si>
  <si>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</si>
  <si>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</si>
  <si>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</si>
  <si>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</si>
  <si>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</si>
  <si>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</si>
  <si>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</si>
  <si>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</si>
  <si>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</si>
  <si>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</si>
  <si>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</si>
  <si>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</si>
  <si>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</si>
  <si>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</si>
  <si>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</si>
  <si>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</si>
  <si>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</si>
  <si>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</si>
  <si>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</si>
  <si>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</si>
  <si>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</si>
  <si>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</si>
  <si>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</si>
  <si>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</si>
  <si>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</si>
  <si>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</si>
  <si>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</si>
  <si>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</si>
  <si>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</si>
  <si>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</si>
  <si>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</si>
  <si>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</si>
  <si>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</si>
  <si>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</si>
  <si>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</si>
  <si>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</si>
  <si>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</si>
  <si>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</si>
  <si>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</si>
  <si>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</si>
  <si>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</si>
  <si>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</si>
  <si>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</si>
  <si>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</si>
  <si>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</si>
  <si>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</si>
  <si>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</si>
  <si>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</si>
  <si>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</si>
  <si>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</si>
  <si>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</si>
  <si>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</si>
  <si>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</si>
  <si>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</si>
  <si>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</si>
  <si>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</si>
  <si>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</si>
  <si>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</si>
  <si>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</si>
  <si>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</si>
  <si>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</si>
  <si>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</si>
  <si>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</si>
  <si>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</si>
  <si>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</si>
  <si>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</si>
  <si>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</si>
  <si>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</si>
  <si>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</si>
  <si>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</si>
  <si>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</si>
  <si>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</si>
  <si>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</si>
  <si>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</si>
  <si>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</si>
  <si>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</si>
  <si>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</si>
  <si>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</si>
  <si>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</si>
  <si>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</si>
  <si>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</si>
  <si>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</si>
  <si>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</si>
  <si>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</si>
  <si>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</si>
  <si>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</si>
  <si>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</si>
  <si>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</si>
  <si>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</si>
  <si>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</si>
  <si>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</si>
  <si>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</si>
  <si>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</si>
  <si>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</si>
  <si>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</si>
  <si>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</si>
  <si>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</si>
  <si>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</si>
  <si>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</si>
  <si>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</si>
  <si>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</si>
  <si>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</si>
  <si>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</si>
  <si>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</si>
  <si>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</si>
  <si>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</si>
  <si>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</si>
  <si>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</si>
  <si>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</si>
  <si>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</si>
  <si>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</si>
  <si>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</si>
  <si>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</si>
  <si>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</si>
  <si>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</si>
  <si>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</si>
  <si>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</si>
  <si>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</si>
  <si>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</si>
  <si>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</si>
  <si>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</si>
  <si>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</si>
  <si>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</si>
  <si>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</si>
  <si>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</si>
  <si>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</si>
  <si>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</si>
  <si>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</si>
  <si>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</si>
  <si>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</si>
  <si>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</si>
  <si>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</si>
  <si>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</si>
  <si>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</si>
  <si>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</si>
  <si>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</si>
  <si>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</si>
  <si>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</si>
  <si>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</si>
  <si>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</si>
  <si>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</si>
  <si>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</si>
  <si>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</si>
  <si>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</si>
  <si>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</si>
  <si>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</si>
  <si>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</si>
  <si>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</si>
  <si>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</si>
  <si>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</si>
  <si>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</si>
  <si>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</si>
  <si>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</si>
  <si>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</si>
  <si>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</si>
  <si>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</si>
  <si>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</si>
  <si>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</si>
  <si>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</si>
  <si>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</si>
  <si>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</si>
  <si>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</si>
  <si>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</si>
  <si>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</si>
  <si>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</si>
  <si>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</si>
  <si>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</si>
  <si>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</si>
  <si>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</si>
  <si>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</si>
  <si>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</si>
  <si>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</si>
  <si>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</si>
  <si>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</si>
  <si>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</si>
  <si>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</si>
  <si>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</si>
  <si>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</si>
  <si>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</si>
  <si>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</si>
  <si>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</si>
  <si>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</si>
  <si>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</si>
  <si>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</si>
  <si>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</si>
  <si>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</si>
  <si>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</si>
  <si>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</si>
  <si>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</si>
  <si>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</si>
  <si>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</si>
  <si>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</si>
  <si>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</si>
  <si>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</si>
  <si>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</si>
  <si>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</si>
  <si>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</si>
  <si>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</si>
  <si>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</si>
  <si>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</si>
  <si>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</si>
  <si>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</si>
  <si>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</si>
  <si>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</si>
  <si>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</si>
  <si>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</si>
  <si>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</si>
  <si>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</si>
  <si>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</si>
  <si>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</si>
  <si>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</si>
  <si>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</si>
  <si>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</si>
  <si>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</si>
  <si>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</si>
  <si>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</si>
  <si>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</si>
  <si>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</si>
  <si>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</si>
  <si>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</si>
  <si>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</si>
  <si>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</si>
  <si>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</si>
  <si>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</si>
  <si>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</si>
  <si>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</si>
  <si>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</si>
  <si>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</si>
  <si>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</si>
  <si>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</si>
  <si>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</si>
  <si>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</si>
  <si>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</si>
  <si>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</si>
  <si>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</si>
  <si>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</si>
  <si>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</si>
  <si>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</si>
  <si>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</si>
  <si>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</si>
  <si>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</si>
  <si>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</si>
  <si>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</si>
  <si>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</si>
  <si>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</si>
  <si>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</si>
  <si>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</si>
  <si>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</si>
  <si>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</si>
  <si>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</si>
  <si>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</si>
  <si>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</si>
  <si>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</si>
  <si>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</si>
  <si>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</si>
  <si>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</si>
  <si>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</si>
  <si>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</si>
  <si>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</si>
  <si>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</si>
  <si>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</si>
  <si>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</si>
  <si>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</si>
  <si>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</si>
  <si>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</si>
  <si>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</si>
  <si>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</si>
  <si>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</si>
  <si>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</si>
  <si>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</si>
  <si>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</si>
  <si>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</si>
  <si>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</si>
  <si>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</si>
  <si>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</si>
  <si>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</si>
  <si>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</si>
  <si>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</si>
  <si>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</si>
  <si>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</si>
  <si>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</si>
  <si>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</si>
  <si>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</si>
  <si>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</si>
  <si>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</si>
  <si>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</si>
  <si>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</si>
  <si>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</si>
  <si>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</si>
  <si>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</si>
  <si>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</si>
  <si>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</si>
  <si>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</si>
  <si>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</si>
  <si>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</si>
  <si>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</si>
  <si>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</si>
  <si>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</si>
  <si>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</si>
  <si>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</si>
  <si>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</si>
  <si>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</si>
  <si>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</si>
  <si>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</si>
  <si>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</si>
  <si>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</si>
  <si>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</si>
  <si>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</si>
  <si>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</si>
  <si>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</si>
  <si>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</si>
  <si>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</si>
  <si>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</si>
  <si>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</si>
  <si>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</si>
  <si>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</si>
  <si>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</si>
  <si>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</si>
  <si>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</si>
  <si>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</si>
  <si>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</si>
  <si>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</si>
  <si>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</si>
  <si>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</si>
  <si>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JACOBO LAPRESTA</t>
  </si>
  <si>
    <t>JOSE ANTONIO RODRIGUEZ</t>
  </si>
  <si>
    <t>JOSE VICENTE ARQUES</t>
  </si>
  <si>
    <t>CRISTINA TORRES</t>
  </si>
  <si>
    <t>NOELIA OTERO</t>
  </si>
  <si>
    <t>BORJA RODRIGUEZ</t>
  </si>
  <si>
    <t>03:54</t>
  </si>
  <si>
    <t>06:03</t>
  </si>
  <si>
    <t>Missed this missed Three Pointer and the consecutive rebound</t>
  </si>
  <si>
    <t>02:47</t>
  </si>
  <si>
    <t>00:38</t>
  </si>
  <si>
    <t>Excellent work throughout the match, with a very close score. The excellent communication at all times was particularly noteworthy.</t>
  </si>
  <si>
    <t>C:\Users\nerea.fraile\EUROLEAGUE\EB STATS - Documents\General\SEASON 2025-26\Reports\Euroleague\PDF</t>
  </si>
  <si>
    <t>C:\Users\nerea.fraile\EUROLEAGUE\EB STATS - Documents\General\SEASON 2025-26\Reports\Euroleague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</si>
</sst>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33_327_PAM_OLY_E2025</v>
      </c>
      <c r="G1" s="5"/>
      <c r="H1" s="5"/>
      <c r="I1" s="5"/>
      <c r="J1" s="8" t="s">
        <v>707</v>
      </c>
      <c r="K1" s="121" t="s">
        <v>763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327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46105.854166666664</v>
      </c>
      <c r="C3" s="157"/>
      <c r="D3" s="39">
        <v>636</v>
      </c>
      <c r="E3" s="29"/>
      <c r="F3" s="26">
        <f>SUBTOTAL(3,I17:I106)</f>
        <v>5</v>
      </c>
      <c r="G3" s="27">
        <f>IF(OR(D3="",D3=0),"",F3/D3)</f>
        <v>7.8616352201257862E-3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7.8616352201257862E-3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1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0.78616352201257866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1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6.7861635220125791</v>
      </c>
      <c r="N7" s="58"/>
      <c r="O7" s="2"/>
      <c r="P7" s="2"/>
      <c r="Q7" s="86">
        <f>SUM(R5,S5,AC16)</f>
        <v>6.7861635220125791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6.7861635220125791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327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327</v>
      </c>
      <c r="D17" s="32" t="s">
        <v>756</v>
      </c>
      <c r="E17" s="33">
        <v>2</v>
      </c>
      <c r="F17" s="36">
        <v>35</v>
      </c>
      <c r="G17" s="36">
        <v>35</v>
      </c>
      <c r="H17" s="38" t="str">
        <f>IF(I17="","",$I$14)</f>
        <v>SCOUTING</v>
      </c>
      <c r="I17" s="34">
        <v>224</v>
      </c>
      <c r="J17" s="13" t="s">
        <v>4</v>
      </c>
      <c r="K17" s="13" t="s">
        <v>63</v>
      </c>
      <c r="L17" s="13" t="s">
        <v>47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327</v>
      </c>
      <c r="D18" s="32" t="s">
        <v>757</v>
      </c>
      <c r="E18" s="33">
        <v>3</v>
      </c>
      <c r="F18" s="36">
        <v>52</v>
      </c>
      <c r="G18" s="36">
        <v>52</v>
      </c>
      <c r="H18" s="38" t="str">
        <f t="shared" ref="H18:H81" si="8">IF(I18="","",$I$14)</f>
        <v>SCOUTING</v>
      </c>
      <c r="I18" s="34">
        <v>369</v>
      </c>
      <c r="J18" s="13" t="s">
        <v>4</v>
      </c>
      <c r="K18" s="13" t="s">
        <v>62</v>
      </c>
      <c r="L18" s="13" t="s">
        <v>6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327</v>
      </c>
      <c r="D19" s="32" t="s">
        <v>757</v>
      </c>
      <c r="E19" s="33">
        <v>3</v>
      </c>
      <c r="F19" s="36">
        <v>52</v>
      </c>
      <c r="G19" s="36">
        <v>52</v>
      </c>
      <c r="H19" s="38" t="str">
        <f t="shared" si="8"/>
        <v>SCOUTING</v>
      </c>
      <c r="I19" s="34">
        <v>370</v>
      </c>
      <c r="J19" s="13" t="s">
        <v>4</v>
      </c>
      <c r="K19" s="13" t="s">
        <v>62</v>
      </c>
      <c r="L19" s="13" t="s">
        <v>7</v>
      </c>
      <c r="M19" s="13" t="s">
        <v>26</v>
      </c>
      <c r="N19" s="35" t="s">
        <v>758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327</v>
      </c>
      <c r="D20" s="32" t="s">
        <v>759</v>
      </c>
      <c r="E20" s="33">
        <v>3</v>
      </c>
      <c r="F20" s="36">
        <v>58</v>
      </c>
      <c r="G20" s="36">
        <v>59</v>
      </c>
      <c r="H20" s="38" t="str">
        <f t="shared" si="8"/>
        <v>SCOUTING</v>
      </c>
      <c r="I20" s="34">
        <v>436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327</v>
      </c>
      <c r="D21" s="32" t="s">
        <v>760</v>
      </c>
      <c r="E21" s="33">
        <v>3</v>
      </c>
      <c r="F21" s="36">
        <v>62</v>
      </c>
      <c r="G21" s="36">
        <v>67</v>
      </c>
      <c r="H21" s="38" t="str">
        <f t="shared" si="8"/>
        <v>SCOUTING</v>
      </c>
      <c r="I21" s="34">
        <v>465</v>
      </c>
      <c r="J21" s="13" t="s">
        <v>4</v>
      </c>
      <c r="K21" s="13" t="s">
        <v>62</v>
      </c>
      <c r="L21" s="13" t="s">
        <v>75</v>
      </c>
      <c r="M21" s="13" t="s">
        <v>36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1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REPORT_E2025327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"E2025327"</v>
      </c>
      <c r="F3" s="45" t="str">
        <f t="shared" ref="F3:F16" si="0">""""&amp;B3&amp;"""" &amp; " : " &amp;C3&amp;","</f>
        <v>"name" : "E2025327",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"E327"</v>
      </c>
      <c r="F4" s="45" t="str">
        <f t="shared" si="0"/>
        <v>"cod" : "E327",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327</v>
      </c>
      <c r="F6" s="45" t="str">
        <f t="shared" si="0"/>
        <v>"number" : 327,</v>
      </c>
    </row>
    <row r="7" spans="2:6" x14ac:dyDescent="0.25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ANTONIO RODRIGUEZ"</v>
      </c>
      <c r="F11" s="45" t="str">
        <f t="shared" si="0"/>
        <v>"Caller_1" : "JOSE ANTONIO RODRIGUEZ",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VICENTE ARQUES"</v>
      </c>
      <c r="F12" s="45" t="str">
        <f t="shared" si="0"/>
        <v>"Caller_2" : "JOSE VICENTE ARQUES",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"CRISTINA TORRES"</v>
      </c>
      <c r="F13" s="45" t="str">
        <f t="shared" si="0"/>
        <v>"Timerkeeper" : "CRISTINA TORRES",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"NOELIA OTERO"</v>
      </c>
      <c r="F14" s="45" t="str">
        <f t="shared" si="0"/>
        <v>"Shotclock" : "NOELIA OTERO",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636</v>
      </c>
      <c r="F25" s="45" t="str">
        <f t="shared" ref="F25:F48" si="1">""""&amp;C25&amp;"""" &amp; " : " &amp;D25&amp;","</f>
        <v>"total_actions" : 636,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work throughout the match, with a very close score. The excellent communication at all times was particularly noteworthy."</v>
      </c>
      <c r="F51" s="45" t="str">
        <f>""""&amp;B51&amp;"""" &amp; " : " &amp;C51&amp;","</f>
        <v>"comments" : "Excellent work throughout the match, with a very close score. The excellent communication at all times was particularly noteworthy.",</v>
      </c>
    </row>
    <row r="52" spans="2:6" x14ac:dyDescent="0.25">
      <c r="B52" s="43" t="s">
        <v>153</v>
      </c>
      <c r="C52" s="43" t="str">
        <f>TEXT('SCOUT &amp; LOGISTICS'!F1,"0,0")</f>
        <v>33_327_PAM_OLY_E2025</v>
      </c>
      <c r="F52" s="45" t="str">
        <f>""""&amp;B52&amp;"""" &amp; " : " &amp;C52</f>
        <v>"result" : 33_327_PAM_OLY_E2025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E327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24/03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ANTONIO RODRIGUEZ</v>
      </c>
      <c r="H8" s="206"/>
      <c r="I8" s="206"/>
      <c r="J8" s="206"/>
      <c r="K8" s="206"/>
      <c r="L8" s="206" t="str">
        <f>IF('SCOUT &amp; LOGISTICS'!D8="","",'SCOUT &amp; LOGISTICS'!D8)</f>
        <v>JOSE VICENTE ARQUES</v>
      </c>
      <c r="M8" s="206"/>
      <c r="N8" s="206"/>
      <c r="O8" s="206"/>
      <c r="P8" s="206"/>
      <c r="Q8" s="206" t="str">
        <f>IF('SCOUT &amp; LOGISTICS'!D9="","",'SCOUT &amp; LOGISTICS'!D9)</f>
        <v>CRISTINA TORRES</v>
      </c>
      <c r="R8" s="206"/>
      <c r="S8" s="206"/>
      <c r="T8" s="206"/>
      <c r="U8" s="206"/>
      <c r="V8" s="206" t="str">
        <f>IF('SCOUT &amp; LOGISTICS'!D10="","",'SCOUT &amp; LOGISTICS'!D10)</f>
        <v>NOELIA OTERO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636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7.8616352201257862E-3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Excellent work throughout the match, with a very close score. The excellent communication at all times was particularly noteworthy.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6.7861635220125791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2A2810-A436-41FD-963E-633FB65E7D7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2026-03-24T21:56:40Z</cp:lastPrinted>
  <dcterms:created xsi:type="dcterms:W3CDTF">2023-09-19T19:50:35Z</dcterms:created>
  <dcterms:modified xsi:type="dcterms:W3CDTF">2026-03-24T21:56:45Z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