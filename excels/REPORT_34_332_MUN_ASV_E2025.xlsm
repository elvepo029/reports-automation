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79940192-091D-42A1-9E35-1BAA9278E3E1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<sst xmlns="http://schemas.openxmlformats.org/spreadsheetml/2006/main" count="3250" uniqueCount="754">
  <si>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</si>
  <si>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</si>
  <si>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</si>
  <si>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</si>
  <si>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</si>
  <si>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</si>
  <si>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</si>
  <si>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</si>
  <si>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</si>
  <si>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</si>
  <si>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</si>
  <si>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</si>
  <si>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</si>
  <si>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</si>
  <si>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</si>
  <si>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</si>
  <si>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</si>
  <si>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</si>
  <si>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</si>
  <si>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</si>
  <si>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</si>
  <si>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</si>
  <si>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</si>
  <si>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</si>
  <si>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</si>
  <si>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</si>
  <si>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</si>
  <si>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</si>
  <si>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</si>
  <si>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</si>
  <si>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</si>
  <si>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</si>
  <si>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</si>
  <si>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</si>
  <si>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</si>
  <si>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</si>
  <si>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</si>
  <si>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</si>
  <si>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</si>
  <si>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</si>
  <si>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</si>
  <si>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</si>
  <si>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</si>
  <si>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</si>
  <si>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</si>
  <si>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</si>
  <si>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</si>
  <si>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</si>
  <si>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</si>
  <si>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</si>
  <si>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</si>
  <si>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</si>
  <si>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</si>
  <si>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</si>
  <si>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</si>
  <si>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</si>
  <si>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</si>
  <si>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</si>
  <si>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</si>
  <si>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</si>
  <si>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</si>
  <si>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</si>
  <si>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</si>
  <si>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</si>
  <si>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</si>
  <si>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</si>
  <si>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</si>
  <si>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</si>
  <si>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</si>
  <si>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</si>
  <si>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</si>
  <si>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</si>
  <si>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</si>
  <si>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</si>
  <si>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</si>
  <si>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</si>
  <si>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</si>
  <si>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</si>
  <si>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</si>
  <si>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</si>
  <si>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</si>
  <si>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</si>
  <si>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</si>
  <si>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</si>
  <si>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</si>
  <si>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</si>
  <si>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</si>
  <si>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</si>
  <si>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</si>
  <si>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</si>
  <si>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</si>
  <si>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</si>
  <si>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</si>
  <si>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</si>
  <si>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</si>
  <si>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</si>
  <si>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</si>
  <si>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</si>
  <si>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</si>
  <si>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</si>
  <si>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</si>
  <si>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</si>
  <si>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</si>
  <si>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</si>
  <si>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</si>
  <si>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</si>
  <si>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</si>
  <si>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</si>
  <si>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</si>
  <si>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</si>
  <si>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</si>
  <si>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</si>
  <si>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</si>
  <si>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</si>
  <si>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</si>
  <si>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</si>
  <si>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</si>
  <si>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</si>
  <si>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</si>
  <si>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</si>
  <si>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</si>
  <si>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</si>
  <si>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</si>
  <si>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</si>
  <si>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</si>
  <si>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</si>
  <si>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</si>
  <si>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</si>
  <si>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</si>
  <si>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</si>
  <si>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</si>
  <si>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</si>
  <si>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</si>
  <si>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</si>
  <si>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</si>
  <si>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</si>
  <si>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</si>
  <si>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</si>
  <si>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</si>
  <si>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</si>
  <si>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</si>
  <si>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</si>
  <si>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</si>
  <si>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</si>
  <si>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</si>
  <si>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</si>
  <si>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</si>
  <si>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</si>
  <si>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</si>
  <si>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</si>
  <si>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</si>
  <si>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</si>
  <si>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</si>
  <si>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</si>
  <si>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</si>
  <si>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</si>
  <si>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</si>
  <si>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</si>
  <si>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</si>
  <si>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</si>
  <si>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</si>
  <si>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</si>
  <si>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</si>
  <si>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</si>
  <si>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</si>
  <si>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</si>
  <si>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</si>
  <si>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</si>
  <si>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</si>
  <si>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</si>
  <si>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</si>
  <si>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</si>
  <si>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</si>
  <si>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</si>
  <si>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</si>
  <si>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</si>
  <si>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</si>
  <si>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</si>
  <si>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</si>
  <si>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</si>
  <si>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</si>
  <si>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</si>
  <si>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</si>
  <si>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</si>
  <si>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</si>
  <si>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</si>
  <si>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</si>
  <si>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</si>
  <si>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</si>
  <si>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</si>
  <si>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</si>
  <si>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</si>
  <si>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</si>
  <si>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</si>
  <si>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</si>
  <si>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</si>
  <si>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</si>
  <si>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</si>
  <si>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</si>
  <si>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</si>
  <si>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</si>
  <si>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</si>
  <si>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</si>
  <si>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</si>
  <si>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</si>
  <si>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</si>
  <si>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</si>
  <si>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</si>
  <si>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</si>
  <si>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</si>
  <si>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</si>
  <si>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</si>
  <si>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</si>
  <si>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</si>
  <si>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</si>
  <si>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</si>
  <si>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</si>
  <si>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</si>
  <si>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</si>
  <si>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</si>
  <si>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</si>
  <si>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</si>
  <si>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</si>
  <si>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</si>
  <si>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</si>
  <si>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</si>
  <si>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</si>
  <si>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</si>
  <si>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</si>
  <si>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</si>
  <si>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</si>
  <si>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</si>
  <si>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</si>
  <si>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</si>
  <si>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</si>
  <si>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</si>
  <si>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</si>
  <si>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</si>
  <si>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</si>
  <si>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</si>
  <si>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</si>
  <si>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</si>
  <si>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</si>
  <si>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</si>
  <si>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</si>
  <si>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</si>
  <si>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</si>
  <si>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</si>
  <si>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</si>
  <si>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</si>
  <si>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</si>
  <si>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</si>
  <si>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</si>
  <si>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</si>
  <si>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</si>
  <si>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</si>
  <si>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</si>
  <si>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</si>
  <si>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</si>
  <si>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</si>
  <si>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</si>
  <si>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</si>
  <si>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</si>
  <si>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</si>
  <si>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</si>
  <si>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</si>
  <si>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</si>
  <si>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</si>
  <si>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</si>
  <si>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</si>
  <si>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</si>
  <si>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</si>
  <si>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</si>
  <si>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</si>
  <si>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</si>
  <si>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</si>
  <si>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</si>
  <si>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</si>
  <si>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</si>
  <si>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</si>
  <si>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</si>
  <si>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</si>
  <si>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</si>
  <si>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</si>
  <si>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</si>
  <si>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</si>
  <si>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</si>
  <si>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</si>
  <si>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</si>
  <si>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</si>
  <si>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</si>
  <si>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</si>
  <si>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</si>
  <si>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</si>
  <si>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</si>
  <si>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</si>
  <si>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</si>
  <si>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</si>
  <si>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</si>
  <si>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</si>
  <si>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</si>
  <si>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</si>
  <si>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</si>
  <si>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</si>
  <si>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</si>
  <si>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</si>
  <si>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</si>
  <si>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</si>
  <si>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</si>
  <si>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</si>
  <si>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</si>
  <si>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</si>
  <si>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</si>
  <si>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</si>
  <si>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</si>
  <si>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</si>
  <si>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</si>
  <si>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</si>
  <si>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</si>
  <si>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</si>
  <si>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</si>
  <si>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</si>
  <si>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</si>
  <si>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</si>
  <si>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</si>
  <si>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</si>
  <si>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</si>
  <si>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</si>
  <si>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</si>
  <si>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</si>
  <si>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</si>
  <si>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</si>
  <si>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</si>
  <si>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</si>
  <si>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</si>
  <si>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</si>
  <si>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</si>
  <si>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</si>
  <si>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</si>
  <si>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</si>
  <si>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</si>
  <si>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</si>
  <si>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</si>
  <si>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</si>
  <si>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</si>
  <si>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</si>
  <si>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</si>
  <si>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</si>
  <si>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</si>
  <si>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</si>
  <si>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</si>
  <si>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</si>
  <si>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</si>
  <si>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</si>
  <si>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</si>
  <si>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</si>
  <si>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</si>
  <si>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</si>
  <si>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</si>
  <si>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</si>
  <si>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</si>
  <si>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</si>
  <si>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</si>
  <si>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</si>
  <si>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</si>
  <si>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</si>
  <si>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</si>
  <si>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</si>
  <si>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</si>
  <si>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</si>
  <si>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</si>
  <si>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</si>
  <si>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</si>
  <si>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</si>
  <si>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</si>
  <si>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</si>
  <si>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</si>
  <si>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</si>
  <si>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</si>
  <si>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</si>
  <si>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</si>
  <si>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</si>
  <si>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</si>
  <si>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</si>
  <si>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</si>
  <si>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</si>
  <si>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</si>
  <si>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</si>
  <si>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</si>
  <si>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</si>
  <si>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</si>
  <si>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</si>
  <si>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</si>
  <si>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</si>
  <si>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</si>
  <si>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</si>
  <si>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</si>
  <si>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</si>
  <si>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</si>
  <si>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</si>
  <si>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</si>
  <si>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</si>
  <si>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</si>
  <si>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</si>
  <si>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</si>
  <si>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</si>
  <si>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</si>
  <si>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</si>
  <si>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</si>
  <si>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</si>
  <si>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</si>
  <si>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</si>
  <si>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</si>
  <si>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</si>
  <si>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</si>
  <si>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</si>
  <si>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</si>
  <si>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</si>
  <si>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</si>
  <si>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</si>
  <si>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</si>
  <si>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</si>
  <si>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</si>
  <si>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</si>
  <si>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</si>
  <si>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</si>
  <si>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</si>
  <si>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</si>
  <si>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</si>
  <si>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</si>
  <si>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</si>
  <si>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</si>
  <si>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</si>
  <si>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</si>
  <si>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</si>
  <si>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</si>
  <si>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</si>
  <si>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</si>
  <si>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</si>
  <si>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</si>
  <si>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</si>
  <si>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</si>
  <si>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</si>
  <si>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</si>
  <si>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</si>
  <si>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</si>
  <si>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</si>
  <si>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</si>
  <si>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</si>
  <si>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</si>
  <si>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</si>
  <si>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</si>
  <si>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</si>
  <si>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</si>
  <si>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</si>
  <si>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</si>
  <si>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</si>
  <si>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</si>
  <si>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</si>
  <si>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</si>
  <si>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</si>
  <si>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</si>
  <si>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</si>
  <si>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</si>
  <si>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</si>
  <si>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</si>
  <si>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</si>
  <si>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</si>
  <si>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</si>
  <si>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</si>
  <si>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</si>
  <si>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</si>
  <si>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</si>
  <si>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</si>
  <si>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</si>
  <si>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</si>
  <si>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</si>
  <si>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</si>
  <si>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</si>
  <si>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</si>
  <si>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</si>
  <si>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</si>
  <si>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</si>
  <si>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</si>
  <si>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</si>
  <si>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</si>
  <si>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</si>
  <si>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</si>
  <si>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</si>
  <si>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</si>
  <si>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</si>
  <si>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</si>
  <si>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</si>
  <si>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</si>
  <si>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</si>
  <si>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</si>
  <si>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</si>
  <si>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</si>
  <si>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</si>
  <si>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</si>
  <si>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</si>
  <si>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</si>
  <si>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</si>
  <si>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</si>
  <si>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</si>
  <si>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</si>
  <si>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</si>
  <si>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</si>
  <si>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</si>
  <si>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</si>
  <si>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</si>
  <si>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</si>
  <si>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</si>
  <si>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</si>
  <si>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</si>
  <si>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</si>
  <si>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</si>
  <si>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</si>
  <si>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</si>
  <si>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</si>
  <si>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</si>
  <si>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</si>
  <si>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</si>
  <si>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</si>
  <si>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</si>
  <si>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</si>
  <si>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</si>
  <si>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</si>
  <si>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</si>
  <si>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</si>
  <si>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</si>
  <si>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</si>
  <si>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</si>
  <si>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</si>
  <si>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</si>
  <si>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</si>
  <si>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</si>
  <si>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</si>
  <si>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</si>
  <si>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</si>
  <si>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</si>
  <si>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</si>
  <si>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</si>
  <si>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</si>
  <si>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</si>
  <si>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</si>
  <si>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</si>
  <si>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</si>
  <si>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</si>
  <si>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</si>
  <si>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</si>
  <si>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</si>
  <si>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</si>
  <si>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</si>
  <si>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</si>
  <si>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</si>
  <si>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</si>
  <si>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</si>
  <si>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</si>
  <si>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</si>
  <si>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</si>
  <si>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</si>
  <si>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</si>
  <si>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</si>
  <si>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</si>
  <si>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</si>
  <si>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</si>
  <si>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</si>
  <si>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</si>
  <si>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</si>
  <si>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</si>
  <si>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</si>
  <si>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</si>
  <si>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</si>
  <si>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</si>
  <si>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</si>
  <si>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</si>
  <si>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</si>
  <si>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</si>
  <si>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</si>
  <si>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</si>
  <si>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</si>
  <si>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</si>
  <si>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</si>
  <si>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</si>
  <si>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</si>
  <si>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</si>
  <si>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</si>
  <si>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</si>
  <si>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</si>
  <si>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</si>
  <si>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</si>
  <si>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</si>
  <si>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</si>
  <si>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</si>
  <si>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</si>
  <si>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</si>
  <si>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</si>
  <si>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</si>
  <si>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</si>
  <si>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</si>
  <si>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</si>
  <si>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</si>
  <si>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</si>
  <si>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</si>
  <si>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</si>
  <si>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</si>
  <si>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</si>
  <si>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</si>
  <si>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</si>
  <si>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</si>
  <si>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</si>
  <si>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</si>
  <si>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</si>
  <si>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</si>
  <si>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</si>
  <si>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</si>
  <si>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</si>
  <si>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</si>
  <si>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</si>
  <si>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</si>
  <si>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</si>
  <si>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</si>
  <si>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</si>
  <si>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</si>
  <si>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</si>
  <si>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</si>
  <si>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</si>
  <si>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</si>
  <si>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</si>
  <si>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</si>
  <si>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</si>
  <si>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</si>
  <si>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</si>
  <si>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</si>
  <si>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</si>
  <si>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</si>
  <si>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</si>
  <si>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</si>
  <si>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</si>
  <si>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</si>
  <si>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</si>
  <si>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</si>
  <si>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</si>
  <si>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</si>
  <si>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</si>
  <si>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</si>
  <si>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</si>
  <si>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</si>
  <si>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</si>
  <si>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</si>
  <si>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</si>
  <si>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</si>
  <si>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</si>
  <si>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</si>
  <si>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</si>
  <si>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</si>
  <si>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</si>
  <si>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</si>
  <si>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</si>
  <si>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</si>
  <si>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</si>
  <si>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</si>
  <si>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</si>
  <si>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</si>
  <si>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</si>
  <si>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</si>
  <si>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</si>
  <si>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</si>
  <si>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</si>
  <si>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</si>
  <si>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</si>
  <si>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</si>
  <si>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</si>
  <si>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</si>
  <si>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</si>
  <si>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</si>
  <si>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</si>
  <si>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</si>
  <si>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</si>
  <si>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</si>
  <si>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</si>
  <si>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</si>
  <si>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</si>
  <si>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</si>
  <si>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</si>
  <si>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</si>
  <si>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</si>
  <si>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</si>
  <si>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</si>
  <si>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</si>
  <si>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</si>
  <si>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</si>
  <si>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</si>
  <si>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</si>
  <si>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</si>
  <si>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</si>
  <si>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</si>
  <si>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</si>
  <si>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</si>
  <si>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</si>
  <si>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</si>
  <si>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</si>
  <si>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</si>
  <si>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</si>
  <si>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</si>
  <si>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</si>
  <si>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</si>
  <si>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</si>
  <si>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</si>
  <si>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</si>
  <si>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</si>
  <si>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</si>
  <si>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</si>
  <si>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</si>
  <si>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</si>
  <si>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</si>
  <si>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</si>
  <si>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</si>
  <si>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</si>
  <si>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</si>
  <si>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</si>
  <si>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</si>
  <si>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</si>
  <si>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</si>
  <si>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</si>
  <si>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</si>
  <si>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</si>
  <si>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</si>
  <si>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</si>
  <si>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</si>
  <si>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</si>
  <si>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</si>
  <si>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</si>
  <si>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</si>
  <si>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</si>
  <si>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</si>
  <si>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</si>
  <si>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</si>
  <si>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</si>
  <si>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</si>
  <si>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</si>
  <si>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</si>
  <si>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</si>
  <si>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</si>
  <si>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</si>
  <si>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</si>
  <si>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</si>
  <si>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</si>
  <si>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</si>
  <si>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MARKUS IDSTEIN</t>
  </si>
  <si>
    <t>OSCAR CUESTA</t>
  </si>
  <si>
    <t>5:41</t>
  </si>
  <si>
    <t>Superb match. So good to advert that foul, I was more aware of the assist 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</si>
</sst>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34_332_MUN_ASV_E2025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332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46107.854166666664</v>
      </c>
      <c r="C3" s="157"/>
      <c r="D3" s="39">
        <v>628</v>
      </c>
      <c r="E3" s="29"/>
      <c r="F3" s="26">
        <f>SUBTOTAL(3,I17:I106)</f>
        <v>1</v>
      </c>
      <c r="G3" s="27">
        <f>IF(OR(D3="",D3=0),"",F3/D3)</f>
        <v>1.5923566878980893E-3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Bayern Munich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67" t="s">
        <v>753</v>
      </c>
      <c r="N4" s="168"/>
      <c r="O4" s="2"/>
      <c r="P4" s="2"/>
      <c r="Q4" s="84" t="s">
        <v>175</v>
      </c>
      <c r="R4" s="94">
        <f>(IF(G3="",0,G3))</f>
        <v>1.5923566878980893E-3</v>
      </c>
      <c r="S4" s="61">
        <f>SUM(I13:M13)</f>
        <v>1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LDLC ASVEL Villeurbanne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0.15923566878980894</v>
      </c>
      <c r="S5" s="70">
        <f t="shared" ref="S5" si="0">S4*S3</f>
        <v>1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724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723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1.6592356687898089</v>
      </c>
      <c r="N7" s="58"/>
      <c r="O7" s="2"/>
      <c r="P7" s="2"/>
      <c r="Q7" s="86">
        <f>SUM(R5,S5,AC16)</f>
        <v>1.6592356687898089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725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1.6592356687898089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750</v>
      </c>
      <c r="E9" s="179"/>
      <c r="F9" s="179"/>
      <c r="G9" s="18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727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728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332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332</v>
      </c>
      <c r="D17" s="32" t="s">
        <v>752</v>
      </c>
      <c r="E17" s="33">
        <v>3</v>
      </c>
      <c r="F17" s="36">
        <v>51</v>
      </c>
      <c r="G17" s="36">
        <v>52</v>
      </c>
      <c r="H17" s="38" t="str">
        <f>IF(I17="","",$I$14)</f>
        <v>SCOUTING</v>
      </c>
      <c r="I17" s="34">
        <v>389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REPORT_E2025332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"E2025332"</v>
      </c>
      <c r="F3" s="45" t="str">
        <f t="shared" ref="F3:F16" si="0">""""&amp;B3&amp;"""" &amp; " : " &amp;C3&amp;","</f>
        <v>"name" : "E2025332",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"E332"</v>
      </c>
      <c r="F4" s="45" t="str">
        <f t="shared" si="0"/>
        <v>"cod" : "E332",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332</v>
      </c>
      <c r="F6" s="45" t="str">
        <f t="shared" si="0"/>
        <v>"number" : 332,</v>
      </c>
    </row>
    <row r="7" spans="2:6" x14ac:dyDescent="0.25">
      <c r="B7" s="43" t="s">
        <v>116</v>
      </c>
      <c r="C7" s="43" t="str">
        <f ca="1">""""&amp;TEXT('SCOUT &amp; LOGISTICS'!B3,"dd/mm/aaaa")&amp;""""</f>
        <v>"26/03/2026"</v>
      </c>
      <c r="F7" s="45" t="str">
        <f t="shared" ca="1" si="0"/>
        <v>"date" : "26/03/2026",</v>
      </c>
    </row>
    <row r="8" spans="2:6" x14ac:dyDescent="0.25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5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"MANUEL HERZOG"</v>
      </c>
      <c r="F10" s="45" t="str">
        <f t="shared" si="0"/>
        <v>"Data_entry" : "MANUEL HERZOG",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"SEBASTIAN BLANZ"</v>
      </c>
      <c r="F11" s="45" t="str">
        <f t="shared" si="0"/>
        <v>"Caller_1" : "SEBASTIAN BLANZ",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"THOMAS ROEHLICH"</v>
      </c>
      <c r="F12" s="45" t="str">
        <f t="shared" si="0"/>
        <v>"Caller_2" : "THOMAS ROEHLICH",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"MARKUS IDSTEIN"</v>
      </c>
      <c r="F13" s="45" t="str">
        <f t="shared" si="0"/>
        <v>"Timerkeeper" : "MARKUS IDSTEIN",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"ANDREAS GREPPMAYR"</v>
      </c>
      <c r="F14" s="45" t="str">
        <f t="shared" si="0"/>
        <v>"Shotclock" : "ANDREAS GREPPMAYR",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"ROBERT TAVASZI"</v>
      </c>
      <c r="F15" s="45" t="str">
        <f t="shared" si="0"/>
        <v>"IRS" : "ROBERT TAVASZI",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628</v>
      </c>
      <c r="F25" s="45" t="str">
        <f t="shared" ref="F25:F48" si="1">""""&amp;C25&amp;"""" &amp; " : " &amp;D25&amp;","</f>
        <v>"total_actions" : 628,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"Superb match. So good to advert that foul, I was more aware of the assist ;)"</v>
      </c>
      <c r="F51" s="45" t="str">
        <f>""""&amp;B51&amp;"""" &amp; " : " &amp;C51&amp;","</f>
        <v>"comments" : "Superb match. So good to advert that foul, I was more aware of the assist ;)",</v>
      </c>
    </row>
    <row r="52" spans="2:6" x14ac:dyDescent="0.25">
      <c r="B52" s="43" t="s">
        <v>153</v>
      </c>
      <c r="C52" s="43" t="str">
        <f>TEXT('SCOUT &amp; LOGISTICS'!F1,"0,0")</f>
        <v>34_332_MUN_ASV_E2025</v>
      </c>
      <c r="F52" s="45" t="str">
        <f>""""&amp;B52&amp;"""" &amp; " : " &amp;C52</f>
        <v>"result" : 34_332_MUN_ASV_E2025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E332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26/03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Fc Bayern Munich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Ldlc Asvel Villeurbanne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MANUEL HERZOG</v>
      </c>
      <c r="C8" s="206"/>
      <c r="D8" s="206"/>
      <c r="E8" s="206"/>
      <c r="F8" s="206"/>
      <c r="G8" s="206" t="str">
        <f>IF('SCOUT &amp; LOGISTICS'!D7="","",'SCOUT &amp; LOGISTICS'!D7)</f>
        <v>SEBASTIAN BLANZ</v>
      </c>
      <c r="H8" s="206"/>
      <c r="I8" s="206"/>
      <c r="J8" s="206"/>
      <c r="K8" s="206"/>
      <c r="L8" s="206" t="str">
        <f>IF('SCOUT &amp; LOGISTICS'!D8="","",'SCOUT &amp; LOGISTICS'!D8)</f>
        <v>THOMAS ROEHLICH</v>
      </c>
      <c r="M8" s="206"/>
      <c r="N8" s="206"/>
      <c r="O8" s="206"/>
      <c r="P8" s="206"/>
      <c r="Q8" s="206" t="str">
        <f>IF('SCOUT &amp; LOGISTICS'!D9="","",'SCOUT &amp; LOGISTICS'!D9)</f>
        <v>MARKUS IDSTEIN</v>
      </c>
      <c r="R8" s="206"/>
      <c r="S8" s="206"/>
      <c r="T8" s="206"/>
      <c r="U8" s="206"/>
      <c r="V8" s="206" t="str">
        <f>IF('SCOUT &amp; LOGISTICS'!D10="","",'SCOUT &amp; LOGISTICS'!D10)</f>
        <v>ANDREAS GREPPMAYR</v>
      </c>
      <c r="W8" s="206"/>
      <c r="X8" s="206"/>
      <c r="Y8" s="206"/>
      <c r="Z8" s="206"/>
      <c r="AA8" s="206" t="str">
        <f>IF('SCOUT &amp; LOGISTICS'!D11="","",'SCOUT &amp; LOGISTICS'!D11)</f>
        <v>ROBERT TAVASZI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OK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628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1.5923566878980893E-3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Superb match. So good to advert that foul, I was more aware of the assist ;)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1.6592356687898089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9F45025-BE48-4641-9A2E-12442DEEA48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2026-03-26T21:57:01Z</cp:lastPrinted>
  <dcterms:created xsi:type="dcterms:W3CDTF">2023-09-19T19:50:35Z</dcterms:created>
  <dcterms:modified xsi:type="dcterms:W3CDTF">2026-03-26T21:58:27Z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