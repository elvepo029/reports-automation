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5" documentId="8_{48ED3CBE-DF8A-4BE7-9CFB-20D10ACF732D}" xr6:coauthVersionLast="47" xr6:coauthVersionMax="47" xr10:uidLastSave="{32B17411-890F-478D-8A63-05956B99CD71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<sst xmlns="http://schemas.openxmlformats.org/spreadsheetml/2006/main" count="3250" uniqueCount="760">
  <si>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</si>
  <si>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</si>
  <si>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</si>
  <si>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</si>
  <si>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</si>
  <si>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</si>
  <si>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</si>
  <si>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</si>
  <si>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</si>
  <si>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</si>
  <si>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</si>
  <si>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</si>
  <si>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</si>
  <si>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</si>
  <si>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</si>
  <si>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</si>
  <si>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</si>
  <si>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</si>
  <si>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</si>
  <si>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</si>
  <si>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</si>
  <si>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</si>
  <si>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</si>
  <si>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</si>
  <si>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</si>
  <si>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</si>
  <si>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</si>
  <si>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</si>
  <si>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</si>
  <si>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</si>
  <si>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</si>
  <si>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</si>
  <si>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</si>
  <si>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</si>
  <si>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</si>
  <si>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</si>
  <si>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</si>
  <si>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</si>
  <si>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</si>
  <si>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</si>
  <si>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</si>
  <si>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</si>
  <si>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</si>
  <si>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</si>
  <si>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</si>
  <si>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</si>
  <si>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</si>
  <si>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</si>
  <si>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</si>
  <si>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</si>
  <si>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</si>
  <si>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</si>
  <si>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</si>
  <si>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</si>
  <si>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</si>
  <si>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</si>
  <si>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</si>
  <si>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</si>
  <si>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</si>
  <si>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</si>
  <si>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</si>
  <si>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</si>
  <si>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</si>
  <si>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</si>
  <si>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</si>
  <si>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</si>
  <si>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</si>
  <si>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</si>
  <si>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</si>
  <si>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</si>
  <si>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</si>
  <si>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</si>
  <si>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</si>
  <si>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</si>
  <si>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</si>
  <si>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</si>
  <si>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</si>
  <si>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</si>
  <si>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</si>
  <si>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</si>
  <si>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</si>
  <si>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</si>
  <si>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</si>
  <si>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</si>
  <si>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</si>
  <si>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</si>
  <si>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</si>
  <si>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</si>
  <si>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</si>
  <si>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</si>
  <si>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</si>
  <si>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</si>
  <si>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</si>
  <si>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</si>
  <si>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</si>
  <si>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</si>
  <si>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</si>
  <si>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</si>
  <si>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</si>
  <si>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</si>
  <si>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</si>
  <si>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</si>
  <si>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</si>
  <si>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</si>
  <si>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</si>
  <si>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</si>
  <si>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</si>
  <si>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</si>
  <si>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</si>
  <si>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</si>
  <si>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</si>
  <si>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</si>
  <si>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</si>
  <si>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</si>
  <si>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</si>
  <si>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</si>
  <si>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</si>
  <si>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</si>
  <si>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</si>
  <si>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</si>
  <si>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</si>
  <si>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</si>
  <si>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</si>
  <si>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</si>
  <si>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</si>
  <si>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</si>
  <si>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</si>
  <si>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</si>
  <si>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</si>
  <si>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</si>
  <si>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</si>
  <si>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</si>
  <si>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</si>
  <si>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</si>
  <si>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</si>
  <si>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</si>
  <si>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</si>
  <si>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</si>
  <si>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</si>
  <si>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</si>
  <si>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</si>
  <si>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</si>
  <si>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</si>
  <si>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</si>
  <si>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</si>
  <si>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</si>
  <si>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</si>
  <si>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</si>
  <si>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</si>
  <si>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</si>
  <si>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</si>
  <si>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</si>
  <si>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</si>
  <si>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</si>
  <si>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</si>
  <si>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</si>
  <si>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</si>
  <si>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</si>
  <si>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</si>
  <si>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</si>
  <si>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</si>
  <si>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</si>
  <si>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</si>
  <si>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</si>
  <si>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</si>
  <si>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</si>
  <si>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</si>
  <si>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</si>
  <si>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</si>
  <si>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</si>
  <si>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</si>
  <si>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</si>
  <si>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</si>
  <si>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</si>
  <si>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</si>
  <si>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</si>
  <si>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</si>
  <si>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</si>
  <si>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</si>
  <si>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</si>
  <si>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</si>
  <si>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</si>
  <si>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</si>
  <si>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</si>
  <si>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</si>
  <si>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</si>
  <si>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</si>
  <si>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</si>
  <si>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</si>
  <si>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</si>
  <si>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</si>
  <si>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</si>
  <si>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</si>
  <si>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</si>
  <si>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</si>
  <si>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</si>
  <si>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</si>
  <si>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</si>
  <si>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</si>
  <si>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</si>
  <si>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</si>
  <si>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</si>
  <si>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</si>
  <si>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</si>
  <si>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</si>
  <si>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</si>
  <si>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</si>
  <si>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</si>
  <si>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</si>
  <si>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</si>
  <si>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</si>
  <si>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</si>
  <si>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</si>
  <si>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</si>
  <si>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</si>
  <si>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</si>
  <si>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</si>
  <si>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</si>
  <si>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</si>
  <si>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</si>
  <si>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</si>
  <si>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</si>
  <si>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</si>
  <si>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</si>
  <si>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</si>
  <si>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</si>
  <si>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</si>
  <si>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</si>
  <si>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</si>
  <si>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</si>
  <si>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</si>
  <si>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</si>
  <si>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</si>
  <si>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</si>
  <si>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</si>
  <si>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</si>
  <si>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</si>
  <si>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</si>
  <si>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</si>
  <si>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</si>
  <si>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</si>
  <si>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</si>
  <si>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</si>
  <si>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</si>
  <si>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</si>
  <si>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</si>
  <si>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</si>
  <si>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</si>
  <si>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</si>
  <si>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</si>
  <si>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</si>
  <si>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</si>
  <si>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</si>
  <si>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</si>
  <si>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</si>
  <si>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</si>
  <si>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</si>
  <si>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</si>
  <si>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</si>
  <si>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</si>
  <si>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</si>
  <si>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</si>
  <si>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</si>
  <si>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</si>
  <si>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</si>
  <si>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</si>
  <si>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</si>
  <si>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</si>
  <si>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</si>
  <si>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</si>
  <si>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</si>
  <si>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</si>
  <si>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</si>
  <si>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</si>
  <si>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</si>
  <si>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</si>
  <si>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</si>
  <si>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</si>
  <si>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</si>
  <si>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</si>
  <si>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</si>
  <si>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</si>
  <si>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</si>
  <si>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</si>
  <si>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</si>
  <si>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</si>
  <si>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</si>
  <si>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</si>
  <si>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</si>
  <si>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</si>
  <si>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</si>
  <si>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</si>
  <si>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</si>
  <si>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</si>
  <si>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</si>
  <si>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</si>
  <si>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</si>
  <si>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</si>
  <si>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</si>
  <si>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</si>
  <si>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</si>
  <si>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</si>
  <si>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</si>
  <si>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</si>
  <si>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</si>
  <si>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</si>
  <si>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</si>
  <si>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</si>
  <si>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</si>
  <si>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</si>
  <si>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</si>
  <si>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</si>
  <si>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</si>
  <si>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</si>
  <si>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</si>
  <si>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</si>
  <si>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</si>
  <si>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</si>
  <si>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</si>
  <si>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</si>
  <si>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</si>
  <si>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</si>
  <si>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</si>
  <si>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</si>
  <si>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</si>
  <si>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</si>
  <si>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</si>
  <si>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</si>
  <si>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</si>
  <si>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</si>
  <si>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</si>
  <si>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</si>
  <si>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</si>
  <si>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</si>
  <si>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</si>
  <si>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</si>
  <si>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</si>
  <si>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</si>
  <si>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</si>
  <si>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</si>
  <si>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</si>
  <si>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</si>
  <si>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</si>
  <si>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</si>
  <si>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</si>
  <si>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</si>
  <si>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</si>
  <si>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</si>
  <si>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</si>
  <si>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</si>
  <si>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</si>
  <si>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</si>
  <si>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</si>
  <si>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</si>
  <si>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</si>
  <si>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</si>
  <si>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</si>
  <si>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</si>
  <si>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</si>
  <si>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</si>
  <si>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</si>
  <si>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</si>
  <si>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</si>
  <si>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</si>
  <si>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</si>
  <si>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</si>
  <si>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</si>
  <si>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</si>
  <si>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</si>
  <si>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</si>
  <si>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</si>
  <si>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</si>
  <si>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</si>
  <si>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</si>
  <si>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</si>
  <si>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</si>
  <si>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</si>
  <si>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</si>
  <si>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</si>
  <si>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</si>
  <si>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</si>
  <si>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</si>
  <si>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</si>
  <si>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</si>
  <si>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</si>
  <si>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</si>
  <si>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</si>
  <si>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</si>
  <si>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</si>
  <si>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</si>
  <si>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</si>
  <si>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</si>
  <si>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</si>
  <si>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</si>
  <si>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</si>
  <si>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</si>
  <si>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</si>
  <si>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</si>
  <si>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</si>
  <si>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</si>
  <si>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</si>
  <si>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</si>
  <si>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</si>
  <si>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</si>
  <si>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</si>
  <si>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</si>
  <si>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</si>
  <si>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</si>
  <si>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</si>
  <si>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</si>
  <si>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</si>
  <si>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</si>
  <si>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</si>
  <si>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</si>
  <si>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</si>
  <si>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</si>
  <si>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</si>
  <si>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</si>
  <si>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</si>
  <si>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</si>
  <si>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</si>
  <si>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</si>
  <si>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</si>
  <si>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</si>
  <si>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</si>
  <si>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</si>
  <si>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</si>
  <si>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</si>
  <si>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</si>
  <si>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</si>
  <si>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</si>
  <si>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</si>
  <si>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</si>
  <si>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</si>
  <si>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</si>
  <si>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</si>
  <si>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</si>
  <si>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</si>
  <si>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</si>
  <si>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</si>
  <si>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</si>
  <si>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</si>
  <si>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</si>
  <si>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</si>
  <si>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</si>
  <si>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</si>
  <si>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</si>
  <si>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</si>
  <si>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</si>
  <si>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</si>
  <si>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</si>
  <si>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</si>
  <si>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</si>
  <si>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</si>
  <si>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</si>
  <si>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</si>
  <si>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</si>
  <si>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</si>
  <si>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</si>
  <si>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</si>
  <si>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</si>
  <si>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</si>
  <si>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</si>
  <si>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</si>
  <si>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</si>
  <si>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</si>
  <si>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</si>
  <si>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</si>
  <si>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</si>
  <si>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</si>
  <si>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</si>
  <si>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</si>
  <si>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</si>
  <si>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</si>
  <si>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</si>
  <si>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</si>
  <si>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</si>
  <si>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</si>
  <si>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</si>
  <si>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</si>
  <si>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</si>
  <si>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</si>
  <si>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</si>
  <si>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</si>
  <si>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</si>
  <si>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</si>
  <si>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</si>
  <si>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</si>
  <si>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</si>
  <si>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</si>
  <si>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</si>
  <si>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</si>
  <si>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</si>
  <si>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</si>
  <si>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</si>
  <si>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</si>
  <si>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</si>
  <si>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</si>
  <si>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</si>
  <si>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</si>
  <si>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</si>
  <si>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</si>
  <si>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</si>
  <si>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</si>
  <si>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</si>
  <si>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</si>
  <si>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</si>
  <si>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</si>
  <si>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</si>
  <si>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</si>
  <si>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</si>
  <si>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</si>
  <si>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</si>
  <si>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</si>
  <si>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</si>
  <si>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</si>
  <si>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</si>
  <si>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</si>
  <si>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</si>
  <si>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</si>
  <si>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</si>
  <si>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</si>
  <si>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</si>
  <si>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</si>
  <si>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</si>
  <si>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</si>
  <si>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</si>
  <si>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</si>
  <si>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</si>
  <si>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</si>
  <si>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</si>
  <si>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</si>
  <si>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</si>
  <si>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</si>
  <si>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</si>
  <si>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</si>
  <si>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</si>
  <si>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</si>
  <si>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</si>
  <si>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</si>
  <si>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</si>
  <si>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</si>
  <si>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</si>
  <si>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</si>
  <si>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</si>
  <si>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</si>
  <si>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</si>
  <si>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</si>
  <si>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</si>
  <si>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</si>
  <si>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</si>
  <si>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</si>
  <si>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</si>
  <si>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</si>
  <si>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</si>
  <si>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</si>
  <si>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</si>
  <si>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</si>
  <si>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</si>
  <si>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</si>
  <si>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</si>
  <si>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</si>
  <si>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</si>
  <si>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</si>
  <si>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</si>
  <si>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</si>
  <si>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</si>
  <si>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</si>
  <si>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</si>
  <si>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</si>
  <si>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</si>
  <si>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</si>
  <si>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</si>
  <si>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</si>
  <si>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</si>
  <si>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</si>
  <si>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</si>
  <si>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</si>
  <si>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</si>
  <si>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</si>
  <si>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</si>
  <si>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</si>
  <si>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</si>
  <si>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</si>
  <si>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</si>
  <si>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</si>
  <si>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</si>
  <si>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</si>
  <si>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</si>
  <si>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</si>
  <si>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</si>
  <si>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</si>
  <si>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</si>
  <si>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</si>
  <si>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</si>
  <si>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</si>
  <si>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</si>
  <si>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</si>
  <si>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</si>
  <si>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</si>
  <si>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</si>
  <si>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</si>
  <si>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</si>
  <si>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</si>
  <si>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</si>
  <si>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</si>
  <si>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</si>
  <si>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</si>
  <si>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</si>
  <si>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</si>
  <si>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</si>
  <si>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</si>
  <si>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</si>
  <si>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</si>
  <si>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</si>
  <si>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</si>
  <si>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</si>
  <si>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</si>
  <si>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</si>
  <si>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</si>
  <si>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</si>
  <si>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</si>
  <si>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</si>
  <si>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</si>
  <si>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</si>
  <si>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</si>
  <si>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</si>
  <si>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</si>
  <si>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</si>
  <si>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</si>
  <si>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</si>
  <si>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</si>
  <si>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</si>
  <si>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</si>
  <si>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</si>
  <si>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</si>
  <si>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</si>
  <si>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</si>
  <si>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</si>
  <si>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</si>
  <si>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</si>
  <si>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</si>
  <si>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</si>
  <si>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</si>
  <si>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</si>
  <si>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</si>
  <si>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</si>
  <si>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</si>
  <si>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</si>
  <si>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</si>
  <si>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</si>
  <si>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</si>
  <si>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</si>
  <si>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</si>
  <si>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</si>
  <si>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</si>
  <si>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</si>
  <si>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</si>
  <si>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</si>
  <si>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</si>
  <si>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</si>
  <si>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</si>
  <si>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</si>
  <si>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</si>
  <si>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</si>
  <si>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</si>
  <si>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</si>
  <si>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</si>
  <si>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</si>
  <si>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</si>
  <si>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</si>
  <si>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</si>
  <si>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</si>
  <si>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</si>
  <si>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</si>
  <si>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</si>
  <si>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</si>
  <si>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</si>
  <si>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</si>
  <si>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</si>
  <si>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</si>
  <si>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</si>
  <si>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</si>
  <si>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</si>
  <si>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</si>
  <si>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</si>
  <si>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</si>
  <si>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</si>
  <si>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</si>
  <si>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</si>
  <si>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</si>
  <si>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</si>
  <si>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</si>
  <si>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</si>
  <si>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</si>
  <si>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</si>
  <si>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</si>
  <si>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</si>
  <si>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</si>
  <si>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</si>
  <si>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</si>
  <si>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</si>
  <si>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</si>
  <si>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</si>
  <si>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</si>
  <si>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</si>
  <si>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</si>
  <si>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</si>
  <si>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</si>
  <si>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</si>
  <si>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</si>
  <si>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</si>
  <si>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</si>
  <si>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</si>
  <si>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</si>
  <si>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</si>
  <si>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</si>
  <si>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</si>
  <si>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</si>
  <si>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</si>
  <si>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</si>
  <si>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</si>
  <si>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</si>
  <si>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</si>
  <si>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</si>
  <si>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</si>
  <si>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</si>
  <si>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</si>
  <si>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</si>
  <si>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</si>
  <si>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</si>
  <si>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</si>
  <si>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</si>
  <si>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</si>
  <si>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</si>
  <si>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</si>
  <si>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</si>
  <si>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</si>
  <si>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</si>
  <si>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</si>
  <si>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</si>
  <si>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</si>
  <si>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</si>
  <si>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</si>
  <si>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</si>
  <si>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</si>
  <si>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</si>
  <si>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</si>
  <si>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</si>
  <si>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</si>
  <si>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</si>
  <si>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RAQUEL GARCIA-SAMPEDRO</t>
  </si>
  <si>
    <t>LUIS MOULIAA</t>
  </si>
  <si>
    <t>FERNANDO ESTARRONA</t>
  </si>
  <si>
    <t>PATRICIA ORTIZA DE ZARATE</t>
  </si>
  <si>
    <t>IKER BASCONES</t>
  </si>
  <si>
    <t>ORIOL GARCIA</t>
  </si>
  <si>
    <t>03:13</t>
  </si>
  <si>
    <t>Only 1 missing Assist after a free throw, other corrections were already selfcorrected. Good job.</t>
  </si>
  <si>
    <t>C:\Users\oriol.garcia\OneDrive - EUROLEAGUE\Documents\Season 25-26\Reports\Euroleague\Baskonia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</si>
</sst>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41" sqref="N4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34_336_BAS_HTA_E2025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/>
      <c r="C3" s="157"/>
      <c r="D3" s="39">
        <v>584</v>
      </c>
      <c r="E3" s="29"/>
      <c r="F3" s="26">
        <f>SUBTOTAL(3,I17:I106)</f>
        <v>1</v>
      </c>
      <c r="G3" s="27">
        <f>IF(OR(D3="",D3=0),"",F3/D3)</f>
        <v>1.7123287671232876E-3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1.7123287671232876E-3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0.17123287671232876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3.6712328767123288</v>
      </c>
      <c r="N7" s="58"/>
      <c r="O7" s="2"/>
      <c r="P7" s="2"/>
      <c r="Q7" s="86">
        <f>SUM(R5,S5,AC16)</f>
        <v>3.6712328767123288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3.6712328767123288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336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336</v>
      </c>
      <c r="D17" s="32" t="s">
        <v>757</v>
      </c>
      <c r="E17" s="33">
        <v>4</v>
      </c>
      <c r="F17" s="36">
        <v>109</v>
      </c>
      <c r="G17" s="36">
        <v>97</v>
      </c>
      <c r="H17" s="38" t="str">
        <f>IF(I17="","",$I$14)</f>
        <v>SCOUTING</v>
      </c>
      <c r="I17" s="34">
        <v>548</v>
      </c>
      <c r="J17" s="13" t="s">
        <v>4</v>
      </c>
      <c r="K17" s="13" t="s">
        <v>62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REPORT_E2025336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"E2025336"</v>
      </c>
      <c r="F3" s="45" t="str">
        <f t="shared" ref="F3:F16" si="0">""""&amp;B3&amp;"""" &amp; " : " &amp;C3&amp;","</f>
        <v>"name" : "E2025336",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"E336"</v>
      </c>
      <c r="F4" s="45" t="str">
        <f t="shared" si="0"/>
        <v>"cod" : "E336",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336</v>
      </c>
      <c r="F6" s="45" t="str">
        <f t="shared" si="0"/>
        <v>"number" : 336,</v>
      </c>
    </row>
    <row r="7" spans="2:6" x14ac:dyDescent="0.25">
      <c r="B7" s="43" t="s">
        <v>116</v>
      </c>
      <c r="C7" s="43" t="str">
        <f>""""&amp;TEXT('SCOUT &amp; LOGISTICS'!B3,"dd/mm/aaaa")&amp;""""</f>
        <v>"00/01/Saturday"</v>
      </c>
      <c r="F7" s="45" t="str">
        <f t="shared" si="0"/>
        <v>"date" : "00/01/Saturday",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"FERNANDO ESTARRONA"</v>
      </c>
      <c r="F13" s="45" t="str">
        <f t="shared" si="0"/>
        <v>"Timerkeeper" : "FERNANDO ESTARRONA",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"PATRICIA ORTIZA DE ZARATE"</v>
      </c>
      <c r="F14" s="45" t="str">
        <f t="shared" si="0"/>
        <v>"Shotclock" : "PATRICIA ORTIZA DE ZARATE",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"Only 1 missing Assist after a free throw, other corrections were already selfcorrected. Good job."</v>
      </c>
      <c r="F51" s="45" t="str">
        <f>""""&amp;B51&amp;"""" &amp; " : " &amp;C51&amp;","</f>
        <v>"comments" : "Only 1 missing Assist after a free throw, other corrections were already selfcorrected. Good job.",</v>
      </c>
    </row>
    <row r="52" spans="2:6" x14ac:dyDescent="0.25">
      <c r="B52" s="43" t="s">
        <v>153</v>
      </c>
      <c r="C52" s="43" t="str">
        <f>TEXT('SCOUT &amp; LOGISTICS'!F1,"0,0")</f>
        <v>34_336_BAS_HTA_E2025</v>
      </c>
      <c r="F52" s="45" t="str">
        <f>""""&amp;B52&amp;"""" &amp; " : " &amp;C52</f>
        <v>"result" : 34_336_BAS_HTA_E2025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E336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>"DATE: " &amp; TEXT('SCOUT &amp; LOGISTICS'!B3,"dd/mm")</f>
        <v>DATE: 00/01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FERNANDO ESTARRONA</v>
      </c>
      <c r="R8" s="206"/>
      <c r="S8" s="206"/>
      <c r="T8" s="206"/>
      <c r="U8" s="206"/>
      <c r="V8" s="206" t="str">
        <f>IF('SCOUT &amp; LOGISTICS'!D10="","",'SCOUT &amp; LOGISTICS'!D10)</f>
        <v>PATRICIA ORTIZA DE ZARATE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1.7123287671232876E-3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Only 1 missing Assist after a free throw, other corrections were already selfcorrected. Good job.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3.6712328767123288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A6A7F4-8AA9-4D79-B86A-47E40F0FA5C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2026-04-07T16:17:45Z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