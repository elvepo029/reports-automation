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1" documentId="8_{45555F79-B1B7-4DBE-97BD-702BD118FAB2}" xr6:coauthVersionLast="47" xr6:coauthVersionMax="47" xr10:uidLastSave="{FABB1546-47E6-40D6-8DEB-2F2E4506BF8B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<sst xmlns="http://schemas.openxmlformats.org/spreadsheetml/2006/main" count="3265" uniqueCount="762">
  <si>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</si>
  <si>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</si>
  <si>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</si>
  <si>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</si>
  <si>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</si>
  <si>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</si>
  <si>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</si>
  <si>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</si>
  <si>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</si>
  <si>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</si>
  <si>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</si>
  <si>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</si>
  <si>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</si>
  <si>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</si>
  <si>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</si>
  <si>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</si>
  <si>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</si>
  <si>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</si>
  <si>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</si>
  <si>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</si>
  <si>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</si>
  <si>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</si>
  <si>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</si>
  <si>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</si>
  <si>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</si>
  <si>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</si>
  <si>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</si>
  <si>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</si>
  <si>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</si>
  <si>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</si>
  <si>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</si>
  <si>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</si>
  <si>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</si>
  <si>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</si>
  <si>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</si>
  <si>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</si>
  <si>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</si>
  <si>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</si>
  <si>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</si>
  <si>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</si>
  <si>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</si>
  <si>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</si>
  <si>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</si>
  <si>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</si>
  <si>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</si>
  <si>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</si>
  <si>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</si>
  <si>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</si>
  <si>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</si>
  <si>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</si>
  <si>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</si>
  <si>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</si>
  <si>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</si>
  <si>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</si>
  <si>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</si>
  <si>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</si>
  <si>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</si>
  <si>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</si>
  <si>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</si>
  <si>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</si>
  <si>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</si>
  <si>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</si>
  <si>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</si>
  <si>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</si>
  <si>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</si>
  <si>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</si>
  <si>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</si>
  <si>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</si>
  <si>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</si>
  <si>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</si>
  <si>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</si>
  <si>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</si>
  <si>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</si>
  <si>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</si>
  <si>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</si>
  <si>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</si>
  <si>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</si>
  <si>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</si>
  <si>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</si>
  <si>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</si>
  <si>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</si>
  <si>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</si>
  <si>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</si>
  <si>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</si>
  <si>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</si>
  <si>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</si>
  <si>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</si>
  <si>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</si>
  <si>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</si>
  <si>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</si>
  <si>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</si>
  <si>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</si>
  <si>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</si>
  <si>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</si>
  <si>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</si>
  <si>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</si>
  <si>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</si>
  <si>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</si>
  <si>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</si>
  <si>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</si>
  <si>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</si>
  <si>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</si>
  <si>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</si>
  <si>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</si>
  <si>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</si>
  <si>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</si>
  <si>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</si>
  <si>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</si>
  <si>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</si>
  <si>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</si>
  <si>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</si>
  <si>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</si>
  <si>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</si>
  <si>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</si>
  <si>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</si>
  <si>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</si>
  <si>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</si>
  <si>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</si>
  <si>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</si>
  <si>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</si>
  <si>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</si>
  <si>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</si>
  <si>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</si>
  <si>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</si>
  <si>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</si>
  <si>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</si>
  <si>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</si>
  <si>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</si>
  <si>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</si>
  <si>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</si>
  <si>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</si>
  <si>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</si>
  <si>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</si>
  <si>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</si>
  <si>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</si>
  <si>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</si>
  <si>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</si>
  <si>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</si>
  <si>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</si>
  <si>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</si>
  <si>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</si>
  <si>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</si>
  <si>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</si>
  <si>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</si>
  <si>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</si>
  <si>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</si>
  <si>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</si>
  <si>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</si>
  <si>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</si>
  <si>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</si>
  <si>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</si>
  <si>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</si>
  <si>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</si>
  <si>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</si>
  <si>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</si>
  <si>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</si>
  <si>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</si>
  <si>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</si>
  <si>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</si>
  <si>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</si>
  <si>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</si>
  <si>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</si>
  <si>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</si>
  <si>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</si>
  <si>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</si>
  <si>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</si>
  <si>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</si>
  <si>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</si>
  <si>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</si>
  <si>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</si>
  <si>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</si>
  <si>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</si>
  <si>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</si>
  <si>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</si>
  <si>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</si>
  <si>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</si>
  <si>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</si>
  <si>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</si>
  <si>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</si>
  <si>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</si>
  <si>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</si>
  <si>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</si>
  <si>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</si>
  <si>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</si>
  <si>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</si>
  <si>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</si>
  <si>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</si>
  <si>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</si>
  <si>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</si>
  <si>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</si>
  <si>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</si>
  <si>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</si>
  <si>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</si>
  <si>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</si>
  <si>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</si>
  <si>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</si>
  <si>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</si>
  <si>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</si>
  <si>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</si>
  <si>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</si>
  <si>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</si>
  <si>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</si>
  <si>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</si>
  <si>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</si>
  <si>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</si>
  <si>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</si>
  <si>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</si>
  <si>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</si>
  <si>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</si>
  <si>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</si>
  <si>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</si>
  <si>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</si>
  <si>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</si>
  <si>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</si>
  <si>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</si>
  <si>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</si>
  <si>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</si>
  <si>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</si>
  <si>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</si>
  <si>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</si>
  <si>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</si>
  <si>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</si>
  <si>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</si>
  <si>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</si>
  <si>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</si>
  <si>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</si>
  <si>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</si>
  <si>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</si>
  <si>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</si>
  <si>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</si>
  <si>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</si>
  <si>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</si>
  <si>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</si>
  <si>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</si>
  <si>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</si>
  <si>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</si>
  <si>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</si>
  <si>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</si>
  <si>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</si>
  <si>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</si>
  <si>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</si>
  <si>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</si>
  <si>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</si>
  <si>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</si>
  <si>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</si>
  <si>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</si>
  <si>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</si>
  <si>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</si>
  <si>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</si>
  <si>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</si>
  <si>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</si>
  <si>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</si>
  <si>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</si>
  <si>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</si>
  <si>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</si>
  <si>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</si>
  <si>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</si>
  <si>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</si>
  <si>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</si>
  <si>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</si>
  <si>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</si>
  <si>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</si>
  <si>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</si>
  <si>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</si>
  <si>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</si>
  <si>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</si>
  <si>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</si>
  <si>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</si>
  <si>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</si>
  <si>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</si>
  <si>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</si>
  <si>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</si>
  <si>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</si>
  <si>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</si>
  <si>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</si>
  <si>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</si>
  <si>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</si>
  <si>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</si>
  <si>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</si>
  <si>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</si>
  <si>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</si>
  <si>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</si>
  <si>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</si>
  <si>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</si>
  <si>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</si>
  <si>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</si>
  <si>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</si>
  <si>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</si>
  <si>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</si>
  <si>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</si>
  <si>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</si>
  <si>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</si>
  <si>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</si>
  <si>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</si>
  <si>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</si>
  <si>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</si>
  <si>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</si>
  <si>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</si>
  <si>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</si>
  <si>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</si>
  <si>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</si>
  <si>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</si>
  <si>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</si>
  <si>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</si>
  <si>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</si>
  <si>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</si>
  <si>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</si>
  <si>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</si>
  <si>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</si>
  <si>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</si>
  <si>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</si>
  <si>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</si>
  <si>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</si>
  <si>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</si>
  <si>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</si>
  <si>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</si>
  <si>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</si>
  <si>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</si>
  <si>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</si>
  <si>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</si>
  <si>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</si>
  <si>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</si>
  <si>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</si>
  <si>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</si>
  <si>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</si>
  <si>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</si>
  <si>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</si>
  <si>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</si>
  <si>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</si>
  <si>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</si>
  <si>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</si>
  <si>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</si>
  <si>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</si>
  <si>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</si>
  <si>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</si>
  <si>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</si>
  <si>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</si>
  <si>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</si>
  <si>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</si>
  <si>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</si>
  <si>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</si>
  <si>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</si>
  <si>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</si>
  <si>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</si>
  <si>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</si>
  <si>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</si>
  <si>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</si>
  <si>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</si>
  <si>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</si>
  <si>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</si>
  <si>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</si>
  <si>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</si>
  <si>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</si>
  <si>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</si>
  <si>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</si>
  <si>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</si>
  <si>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</si>
  <si>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</si>
  <si>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</si>
  <si>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</si>
  <si>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</si>
  <si>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</si>
  <si>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</si>
  <si>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</si>
  <si>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</si>
  <si>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</si>
  <si>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</si>
  <si>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</si>
  <si>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</si>
  <si>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</si>
  <si>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</si>
  <si>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</si>
  <si>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</si>
  <si>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</si>
  <si>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</si>
  <si>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</si>
  <si>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</si>
  <si>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</si>
  <si>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</si>
  <si>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</si>
  <si>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</si>
  <si>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</si>
  <si>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</si>
  <si>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</si>
  <si>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</si>
  <si>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</si>
  <si>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</si>
  <si>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</si>
  <si>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</si>
  <si>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</si>
  <si>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</si>
  <si>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</si>
  <si>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</si>
  <si>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</si>
  <si>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</si>
  <si>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</si>
  <si>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</si>
  <si>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</si>
  <si>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</si>
  <si>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</si>
  <si>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</si>
  <si>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</si>
  <si>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</si>
  <si>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</si>
  <si>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</si>
  <si>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</si>
  <si>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</si>
  <si>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</si>
  <si>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</si>
  <si>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</si>
  <si>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</si>
  <si>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</si>
  <si>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</si>
  <si>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</si>
  <si>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</si>
  <si>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</si>
  <si>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</si>
  <si>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</si>
  <si>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</si>
  <si>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</si>
  <si>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</si>
  <si>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</si>
  <si>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</si>
  <si>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</si>
  <si>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</si>
  <si>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</si>
  <si>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</si>
  <si>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</si>
  <si>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</si>
  <si>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</si>
  <si>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</si>
  <si>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</si>
  <si>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</si>
  <si>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</si>
  <si>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</si>
  <si>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</si>
  <si>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</si>
  <si>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</si>
  <si>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</si>
  <si>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</si>
  <si>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</si>
  <si>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</si>
  <si>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</si>
  <si>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</si>
  <si>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</si>
  <si>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</si>
  <si>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</si>
  <si>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</si>
  <si>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</si>
  <si>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</si>
  <si>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</si>
  <si>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</si>
  <si>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</si>
  <si>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</si>
  <si>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</si>
  <si>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</si>
  <si>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</si>
  <si>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</si>
  <si>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</si>
  <si>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</si>
  <si>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</si>
  <si>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</si>
  <si>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</si>
  <si>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</si>
  <si>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</si>
  <si>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</si>
  <si>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</si>
  <si>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</si>
  <si>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</si>
  <si>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</si>
  <si>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</si>
  <si>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</si>
  <si>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</si>
  <si>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</si>
  <si>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</si>
  <si>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</si>
  <si>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</si>
  <si>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</si>
  <si>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</si>
  <si>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</si>
  <si>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</si>
  <si>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</si>
  <si>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</si>
  <si>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</si>
  <si>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</si>
  <si>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</si>
  <si>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</si>
  <si>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</si>
  <si>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</si>
  <si>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</si>
  <si>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</si>
  <si>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</si>
  <si>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</si>
  <si>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</si>
  <si>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</si>
  <si>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</si>
  <si>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</si>
  <si>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</si>
  <si>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</si>
  <si>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</si>
  <si>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</si>
  <si>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</si>
  <si>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</si>
  <si>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</si>
  <si>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</si>
  <si>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</si>
  <si>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</si>
  <si>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</si>
  <si>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</si>
  <si>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</si>
  <si>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</si>
  <si>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</si>
  <si>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</si>
  <si>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</si>
  <si>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</si>
  <si>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</si>
  <si>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</si>
  <si>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</si>
  <si>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</si>
  <si>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</si>
  <si>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</si>
  <si>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</si>
  <si>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</si>
  <si>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</si>
  <si>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</si>
  <si>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</si>
  <si>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</si>
  <si>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</si>
  <si>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</si>
  <si>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</si>
  <si>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</si>
  <si>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</si>
  <si>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</si>
  <si>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</si>
  <si>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</si>
  <si>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</si>
  <si>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</si>
  <si>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</si>
  <si>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</si>
  <si>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</si>
  <si>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</si>
  <si>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</si>
  <si>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</si>
  <si>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</si>
  <si>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</si>
  <si>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</si>
  <si>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</si>
  <si>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</si>
  <si>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</si>
  <si>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</si>
  <si>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</si>
  <si>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</si>
  <si>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</si>
  <si>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</si>
  <si>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</si>
  <si>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</si>
  <si>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</si>
  <si>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</si>
  <si>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</si>
  <si>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</si>
  <si>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</si>
  <si>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</si>
  <si>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</si>
  <si>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</si>
  <si>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</si>
  <si>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</si>
  <si>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</si>
  <si>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</si>
  <si>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</si>
  <si>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</si>
  <si>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</si>
  <si>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</si>
  <si>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</si>
  <si>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</si>
  <si>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</si>
  <si>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</si>
  <si>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</si>
  <si>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</si>
  <si>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</si>
  <si>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</si>
  <si>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</si>
  <si>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</si>
  <si>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</si>
  <si>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</si>
  <si>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</si>
  <si>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</si>
  <si>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</si>
  <si>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</si>
  <si>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</si>
  <si>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</si>
  <si>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</si>
  <si>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</si>
  <si>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</si>
  <si>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</si>
  <si>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</si>
  <si>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</si>
  <si>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</si>
  <si>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</si>
  <si>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</si>
  <si>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</si>
  <si>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</si>
  <si>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</si>
  <si>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</si>
  <si>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</si>
  <si>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</si>
  <si>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</si>
  <si>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</si>
  <si>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</si>
  <si>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</si>
  <si>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</si>
  <si>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</si>
  <si>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</si>
  <si>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</si>
  <si>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</si>
  <si>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</si>
  <si>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</si>
  <si>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</si>
  <si>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</si>
  <si>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</si>
  <si>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</si>
  <si>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</si>
  <si>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</si>
  <si>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</si>
  <si>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</si>
  <si>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</si>
  <si>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</si>
  <si>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</si>
  <si>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</si>
  <si>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</si>
  <si>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</si>
  <si>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</si>
  <si>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</si>
  <si>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</si>
  <si>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</si>
  <si>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</si>
  <si>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</si>
  <si>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</si>
  <si>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</si>
  <si>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</si>
  <si>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</si>
  <si>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</si>
  <si>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</si>
  <si>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</si>
  <si>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</si>
  <si>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</si>
  <si>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</si>
  <si>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</si>
  <si>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</si>
  <si>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</si>
  <si>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</si>
  <si>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</si>
  <si>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</si>
  <si>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</si>
  <si>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</si>
  <si>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</si>
  <si>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</si>
  <si>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</si>
  <si>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</si>
  <si>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</si>
  <si>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</si>
  <si>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</si>
  <si>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</si>
  <si>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</si>
  <si>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</si>
  <si>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</si>
  <si>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</si>
  <si>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</si>
  <si>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</si>
  <si>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</si>
  <si>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</si>
  <si>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</si>
  <si>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</si>
  <si>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</si>
  <si>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</si>
  <si>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</si>
  <si>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</si>
  <si>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</si>
  <si>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</si>
  <si>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</si>
  <si>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</si>
  <si>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</si>
  <si>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</si>
  <si>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</si>
  <si>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</si>
  <si>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</si>
  <si>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</si>
  <si>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</si>
  <si>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</si>
  <si>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</si>
  <si>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</si>
  <si>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</si>
  <si>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</si>
  <si>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</si>
  <si>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</si>
  <si>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</si>
  <si>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</si>
  <si>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</si>
  <si>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</si>
  <si>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</si>
  <si>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</si>
  <si>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</si>
  <si>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</si>
  <si>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</si>
  <si>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</si>
  <si>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</si>
  <si>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</si>
  <si>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</si>
  <si>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</si>
  <si>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</si>
  <si>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</si>
  <si>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</si>
  <si>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</si>
  <si>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</si>
  <si>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</si>
  <si>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</si>
  <si>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</si>
  <si>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</si>
  <si>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</si>
  <si>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</si>
  <si>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</si>
  <si>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</si>
  <si>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</si>
  <si>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</si>
  <si>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</si>
  <si>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</si>
  <si>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</si>
  <si>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</si>
  <si>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</si>
  <si>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</si>
  <si>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</si>
  <si>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</si>
  <si>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</si>
  <si>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</si>
  <si>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</si>
  <si>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</si>
  <si>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</si>
  <si>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</si>
  <si>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</si>
  <si>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</si>
  <si>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</si>
  <si>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</si>
  <si>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</si>
  <si>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</si>
  <si>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</si>
  <si>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</si>
  <si>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</si>
  <si>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</si>
  <si>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</si>
  <si>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</si>
  <si>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</si>
  <si>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OSCAR CUESTA</t>
  </si>
  <si>
    <t>GERARD CAROD</t>
  </si>
  <si>
    <t>RICARD MONGE</t>
  </si>
  <si>
    <t>ROBER BAÑOS</t>
  </si>
  <si>
    <t>MANEL LUENGO</t>
  </si>
  <si>
    <t>FRANCIS RUIZ</t>
  </si>
  <si>
    <t>JESUS LOPEZ</t>
  </si>
  <si>
    <t>0:49</t>
  </si>
  <si>
    <t>4:09</t>
  </si>
  <si>
    <t>1:49</t>
  </si>
  <si>
    <t>0:24</t>
  </si>
  <si>
    <t>Trobo que està molt bé, no? Excel·lent treball, nanos!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</si>
</sst>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34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34_337_BAR_RED_E2025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337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46108.854166666664</v>
      </c>
      <c r="C3" s="157"/>
      <c r="D3" s="39">
        <v>639</v>
      </c>
      <c r="E3" s="29"/>
      <c r="F3" s="26">
        <f>SUBTOTAL(3,I17:I106)</f>
        <v>4</v>
      </c>
      <c r="G3" s="27">
        <f>IF(OR(D3="",D3=0),"",F3/D3)</f>
        <v>6.2597809076682318E-3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Barcelona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743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6.2597809076682318E-3</v>
      </c>
      <c r="S4" s="61">
        <f>SUM(I13:M13)</f>
        <v>0</v>
      </c>
      <c r="T4" s="78"/>
      <c r="U4" s="61">
        <f>AC18</f>
        <v>4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Crvena Zvezda Meridianbet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0.6259780907668232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2.6259780907668233</v>
      </c>
      <c r="N7" s="58"/>
      <c r="O7" s="2"/>
      <c r="P7" s="2"/>
      <c r="Q7" s="86">
        <f>SUM(R5,S5,AC16)</f>
        <v>2.6259780907668233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2.6259780907668233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337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337</v>
      </c>
      <c r="D17" s="32" t="s">
        <v>757</v>
      </c>
      <c r="E17" s="33">
        <v>1</v>
      </c>
      <c r="F17" s="36">
        <v>18</v>
      </c>
      <c r="G17" s="36">
        <v>19</v>
      </c>
      <c r="H17" s="38" t="str">
        <f>IF(I17="","",$I$14)</f>
        <v>SCOUTING</v>
      </c>
      <c r="I17" s="34">
        <v>113</v>
      </c>
      <c r="J17" s="13" t="s">
        <v>4</v>
      </c>
      <c r="K17" s="13" t="s">
        <v>62</v>
      </c>
      <c r="L17" s="13" t="s">
        <v>5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337</v>
      </c>
      <c r="D18" s="32" t="s">
        <v>758</v>
      </c>
      <c r="E18" s="33">
        <v>2</v>
      </c>
      <c r="F18" s="36">
        <v>35</v>
      </c>
      <c r="G18" s="36">
        <v>30</v>
      </c>
      <c r="H18" s="38" t="str">
        <f t="shared" ref="H18:H81" si="8">IF(I18="","",$I$14)</f>
        <v>SCOUTING</v>
      </c>
      <c r="I18" s="34">
        <v>214</v>
      </c>
      <c r="J18" s="13" t="s">
        <v>4</v>
      </c>
      <c r="K18" s="13" t="s">
        <v>63</v>
      </c>
      <c r="L18" s="13" t="s">
        <v>5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337</v>
      </c>
      <c r="D19" s="32" t="s">
        <v>759</v>
      </c>
      <c r="E19" s="33">
        <v>3</v>
      </c>
      <c r="F19" s="36">
        <v>57</v>
      </c>
      <c r="G19" s="36">
        <v>56</v>
      </c>
      <c r="H19" s="38" t="str">
        <f t="shared" si="8"/>
        <v>SCOUTING</v>
      </c>
      <c r="I19" s="34">
        <v>364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337</v>
      </c>
      <c r="D20" s="32" t="s">
        <v>760</v>
      </c>
      <c r="E20" s="33">
        <v>4</v>
      </c>
      <c r="F20" s="36">
        <v>75</v>
      </c>
      <c r="G20" s="36">
        <v>70</v>
      </c>
      <c r="H20" s="38" t="str">
        <f t="shared" si="8"/>
        <v>SCOUTING</v>
      </c>
      <c r="I20" s="34">
        <v>524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REPORT_E2025337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"E2025337"</v>
      </c>
      <c r="F3" s="45" t="str">
        <f t="shared" ref="F3:F16" si="0">""""&amp;B3&amp;"""" &amp; " : " &amp;C3&amp;","</f>
        <v>"name" : "E2025337",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"E337"</v>
      </c>
      <c r="F4" s="45" t="str">
        <f t="shared" si="0"/>
        <v>"cod" : "E337",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337</v>
      </c>
      <c r="F6" s="45" t="str">
        <f t="shared" si="0"/>
        <v>"number" : 337,</v>
      </c>
    </row>
    <row r="7" spans="2:6" x14ac:dyDescent="0.25">
      <c r="B7" s="43" t="s">
        <v>116</v>
      </c>
      <c r="C7" s="43" t="str">
        <f ca="1">""""&amp;TEXT('SCOUT &amp; LOGISTICS'!B3,"dd/mm/aaaa")&amp;""""</f>
        <v>"27/03/2026"</v>
      </c>
      <c r="F7" s="45" t="str">
        <f t="shared" ca="1" si="0"/>
        <v>"date" : "27/03/2026",</v>
      </c>
    </row>
    <row r="8" spans="2:6" x14ac:dyDescent="0.25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5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"GERARD CAROD"</v>
      </c>
      <c r="F10" s="45" t="str">
        <f t="shared" si="0"/>
        <v>"Data_entry" : "GERARD CAROD",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"RICARD MONGE"</v>
      </c>
      <c r="F11" s="45" t="str">
        <f t="shared" si="0"/>
        <v>"Caller_1" : "RICARD MONGE",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"ROBER BAÑOS"</v>
      </c>
      <c r="F12" s="45" t="str">
        <f t="shared" si="0"/>
        <v>"Caller_2" : "ROBER BAÑOS",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"MANEL LUENGO"</v>
      </c>
      <c r="F13" s="45" t="str">
        <f t="shared" si="0"/>
        <v>"Timerkeeper" : "MANEL LUENGO",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"FRANCIS RUIZ"</v>
      </c>
      <c r="F14" s="45" t="str">
        <f t="shared" si="0"/>
        <v>"Shotclock" : "FRANCIS RUIZ",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"JESUS LOPEZ"</v>
      </c>
      <c r="F15" s="45" t="str">
        <f t="shared" si="0"/>
        <v>"IRS" : "JESUS LOPEZ",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639</v>
      </c>
      <c r="F25" s="45" t="str">
        <f t="shared" ref="F25:F48" si="1">""""&amp;C25&amp;"""" &amp; " : " &amp;D25&amp;","</f>
        <v>"total_actions" : 639,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"0,6%"</v>
      </c>
      <c r="F27" s="45" t="str">
        <f t="shared" si="1"/>
        <v>"%_corrections" : "0,6%",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"Trobo que està molt bé, no? Excel·lent treball, nanos!"</v>
      </c>
      <c r="F51" s="45" t="str">
        <f>""""&amp;B51&amp;"""" &amp; " : " &amp;C51&amp;","</f>
        <v>"comments" : "Trobo que està molt bé, no? Excel·lent treball, nanos!",</v>
      </c>
    </row>
    <row r="52" spans="2:6" x14ac:dyDescent="0.25">
      <c r="B52" s="43" t="s">
        <v>153</v>
      </c>
      <c r="C52" s="43" t="str">
        <f>TEXT('SCOUT &amp; LOGISTICS'!F1,"0,0")</f>
        <v>34_337_BAR_RED_E2025</v>
      </c>
      <c r="F52" s="45" t="str">
        <f>""""&amp;B52&amp;"""" &amp; " : " &amp;C52</f>
        <v>"result" : 34_337_BAR_RED_E2025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E337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27/03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Fc Barcelona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Crvena Zvezda Meridianbet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GERARD CAROD</v>
      </c>
      <c r="C8" s="206"/>
      <c r="D8" s="206"/>
      <c r="E8" s="206"/>
      <c r="F8" s="206"/>
      <c r="G8" s="206" t="str">
        <f>IF('SCOUT &amp; LOGISTICS'!D7="","",'SCOUT &amp; LOGISTICS'!D7)</f>
        <v>RICARD MONGE</v>
      </c>
      <c r="H8" s="206"/>
      <c r="I8" s="206"/>
      <c r="J8" s="206"/>
      <c r="K8" s="206"/>
      <c r="L8" s="206" t="str">
        <f>IF('SCOUT &amp; LOGISTICS'!D8="","",'SCOUT &amp; LOGISTICS'!D8)</f>
        <v>ROBER BAÑOS</v>
      </c>
      <c r="M8" s="206"/>
      <c r="N8" s="206"/>
      <c r="O8" s="206"/>
      <c r="P8" s="206"/>
      <c r="Q8" s="206" t="str">
        <f>IF('SCOUT &amp; LOGISTICS'!D9="","",'SCOUT &amp; LOGISTICS'!D9)</f>
        <v>MANEL LUENGO</v>
      </c>
      <c r="R8" s="206"/>
      <c r="S8" s="206"/>
      <c r="T8" s="206"/>
      <c r="U8" s="206"/>
      <c r="V8" s="206" t="str">
        <f>IF('SCOUT &amp; LOGISTICS'!D10="","",'SCOUT &amp; LOGISTICS'!D10)</f>
        <v>FRANCIS RUIZ</v>
      </c>
      <c r="W8" s="206"/>
      <c r="X8" s="206"/>
      <c r="Y8" s="206"/>
      <c r="Z8" s="206"/>
      <c r="AA8" s="206" t="str">
        <f>IF('SCOUT &amp; LOGISTICS'!D11="","",'SCOUT &amp; LOGISTICS'!D11)</f>
        <v>JESUS LOPEZ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639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6.2597809076682318E-3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Trobo que està molt bé, no? Excel·lent treball, nanos!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2.6259780907668233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515CDB0-03F5-47AB-A776-C0CA209BBF5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2025-10-09T17:11:09Z</cp:lastPrinted>
  <dcterms:created xsi:type="dcterms:W3CDTF">2023-09-19T19:50:35Z</dcterms:created>
  <dcterms:modified xsi:type="dcterms:W3CDTF">2026-03-27T22:30:13Z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