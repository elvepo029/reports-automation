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C826F06-1C1A-43B1-B95C-C452CD001E2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<sst xmlns="http://schemas.openxmlformats.org/spreadsheetml/2006/main" count="3235" uniqueCount="752">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</sst>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34_338_ULK_ZAL_E2025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338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46108.864583333336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REPORT_E2025338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"E2025338"</v>
      </c>
      <c r="F3" s="45" t="str">
        <f t="shared" ref="F3:F16" si="0">""""&amp;B3&amp;"""" &amp; " : " &amp;C3&amp;","</f>
        <v>"name" : "E2025338",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"E338"</v>
      </c>
      <c r="F4" s="45" t="str">
        <f t="shared" si="0"/>
        <v>"cod" : "E338",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338</v>
      </c>
      <c r="F6" s="45" t="str">
        <f t="shared" si="0"/>
        <v>"number" : 338,</v>
      </c>
    </row>
    <row r="7" spans="2:6" x14ac:dyDescent="0.2">
      <c r="B7" s="43" t="s">
        <v>116</v>
      </c>
      <c r="C7" s="43" t="str">
        <f ca="1">""""&amp;TEXT('SCOUT &amp; LOGISTICS'!B3,"dd/mm/aaaa")&amp;""""</f>
        <v>"27/03/Friday"</v>
      </c>
      <c r="F7" s="45" t="str">
        <f t="shared" ca="1" si="0"/>
        <v>"date" : "27/03/Friday",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34_338_ULK_ZAL_E2025</v>
      </c>
      <c r="F52" s="45" t="str">
        <f>""""&amp;B52&amp;"""" &amp; " : " &amp;C52</f>
        <v>"result" : 34_338_ULK_ZAL_E2025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E338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27/03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C6D4557-FEEF-4705-AF98-2EC8D36D26E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