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6BB713ED-0EFB-4B9B-AE57-52A827B2886D}" xr6:coauthVersionLast="47" xr6:coauthVersionMax="47" xr10:uidLastSave="{2EEC0315-FFC0-44AA-A9E9-153EBCD0514C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<sst xmlns="http://schemas.openxmlformats.org/spreadsheetml/2006/main" count="3255" uniqueCount="757">
  <si>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</si>
  <si>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</si>
  <si>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</si>
  <si>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</si>
  <si>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</si>
  <si>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</si>
  <si>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</si>
  <si>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</si>
  <si>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</si>
  <si>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</si>
  <si>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</si>
  <si>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</si>
  <si>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</si>
  <si>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</si>
  <si>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</si>
  <si>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</si>
  <si>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</si>
  <si>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</si>
  <si>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</si>
  <si>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</si>
  <si>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</si>
  <si>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</si>
  <si>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</si>
  <si>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</si>
  <si>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</si>
  <si>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</si>
  <si>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</si>
  <si>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</si>
  <si>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</si>
  <si>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</si>
  <si>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</si>
  <si>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</si>
  <si>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</si>
  <si>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</si>
  <si>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</si>
  <si>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</si>
  <si>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</si>
  <si>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</si>
  <si>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</si>
  <si>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</si>
  <si>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</si>
  <si>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</si>
  <si>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</si>
  <si>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</si>
  <si>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</si>
  <si>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</si>
  <si>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</si>
  <si>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</si>
  <si>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</si>
  <si>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</si>
  <si>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</si>
  <si>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</si>
  <si>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</si>
  <si>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</si>
  <si>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</si>
  <si>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</si>
  <si>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</si>
  <si>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</si>
  <si>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</si>
  <si>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</si>
  <si>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</si>
  <si>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</si>
  <si>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</si>
  <si>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</si>
  <si>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</si>
  <si>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</si>
  <si>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</si>
  <si>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</si>
  <si>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</si>
  <si>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</si>
  <si>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</si>
  <si>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</si>
  <si>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</si>
  <si>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</si>
  <si>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</si>
  <si>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</si>
  <si>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</si>
  <si>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</si>
  <si>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</si>
  <si>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</si>
  <si>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</si>
  <si>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</si>
  <si>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</si>
  <si>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</si>
  <si>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</si>
  <si>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</si>
  <si>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</si>
  <si>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</si>
  <si>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</si>
  <si>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</si>
  <si>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</si>
  <si>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</si>
  <si>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</si>
  <si>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</si>
  <si>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</si>
  <si>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</si>
  <si>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</si>
  <si>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</si>
  <si>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</si>
  <si>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</si>
  <si>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</si>
  <si>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</si>
  <si>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</si>
  <si>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</si>
  <si>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</si>
  <si>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</si>
  <si>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</si>
  <si>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</si>
  <si>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</si>
  <si>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</si>
  <si>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</si>
  <si>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</si>
  <si>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</si>
  <si>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</si>
  <si>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</si>
  <si>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</si>
  <si>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</si>
  <si>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</si>
  <si>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</si>
  <si>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</si>
  <si>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</si>
  <si>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</si>
  <si>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</si>
  <si>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</si>
  <si>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</si>
  <si>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</si>
  <si>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</si>
  <si>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</si>
  <si>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</si>
  <si>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</si>
  <si>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</si>
  <si>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</si>
  <si>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</si>
  <si>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</si>
  <si>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</si>
  <si>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</si>
  <si>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</si>
  <si>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</si>
  <si>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</si>
  <si>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</si>
  <si>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</si>
  <si>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</si>
  <si>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</si>
  <si>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</si>
  <si>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</si>
  <si>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</si>
  <si>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</si>
  <si>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</si>
  <si>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</si>
  <si>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</si>
  <si>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</si>
  <si>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</si>
  <si>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</si>
  <si>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</si>
  <si>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</si>
  <si>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</si>
  <si>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</si>
  <si>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</si>
  <si>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</si>
  <si>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</si>
  <si>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</si>
  <si>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</si>
  <si>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</si>
  <si>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</si>
  <si>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</si>
  <si>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</si>
  <si>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</si>
  <si>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</si>
  <si>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</si>
  <si>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</si>
  <si>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</si>
  <si>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</si>
  <si>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</si>
  <si>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</si>
  <si>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</si>
  <si>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</si>
  <si>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</si>
  <si>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</si>
  <si>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</si>
  <si>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</si>
  <si>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</si>
  <si>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</si>
  <si>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</si>
  <si>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</si>
  <si>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</si>
  <si>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</si>
  <si>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</si>
  <si>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</si>
  <si>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</si>
  <si>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</si>
  <si>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</si>
  <si>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</si>
  <si>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</si>
  <si>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</si>
  <si>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</si>
  <si>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</si>
  <si>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</si>
  <si>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</si>
  <si>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</si>
  <si>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</si>
  <si>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</si>
  <si>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</si>
  <si>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</si>
  <si>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</si>
  <si>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</si>
  <si>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</si>
  <si>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</si>
  <si>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</si>
  <si>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</si>
  <si>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</si>
  <si>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</si>
  <si>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</si>
  <si>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</si>
  <si>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</si>
  <si>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</si>
  <si>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</si>
  <si>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</si>
  <si>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</si>
  <si>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</si>
  <si>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</si>
  <si>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</si>
  <si>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</si>
  <si>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</si>
  <si>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</si>
  <si>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</si>
  <si>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</si>
  <si>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</si>
  <si>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</si>
  <si>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</si>
  <si>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</si>
  <si>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</si>
  <si>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</si>
  <si>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</si>
  <si>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</si>
  <si>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</si>
  <si>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</si>
  <si>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</si>
  <si>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</si>
  <si>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</si>
  <si>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</si>
  <si>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</si>
  <si>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</si>
  <si>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</si>
  <si>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</si>
  <si>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</si>
  <si>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</si>
  <si>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</si>
  <si>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</si>
  <si>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</si>
  <si>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</si>
  <si>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</si>
  <si>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</si>
  <si>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</si>
  <si>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</si>
  <si>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</si>
  <si>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</si>
  <si>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</si>
  <si>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</si>
  <si>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</si>
  <si>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</si>
  <si>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</si>
  <si>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</si>
  <si>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</si>
  <si>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</si>
  <si>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</si>
  <si>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</si>
  <si>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</si>
  <si>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</si>
  <si>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</si>
  <si>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</si>
  <si>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</si>
  <si>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</si>
  <si>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</si>
  <si>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</si>
  <si>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</si>
  <si>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</si>
  <si>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</si>
  <si>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</si>
  <si>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</si>
  <si>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</si>
  <si>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</si>
  <si>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</si>
  <si>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</si>
  <si>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</si>
  <si>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</si>
  <si>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</si>
  <si>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</si>
  <si>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</si>
  <si>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</si>
  <si>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</si>
  <si>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</si>
  <si>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</si>
  <si>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</si>
  <si>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</si>
  <si>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</si>
  <si>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</si>
  <si>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</si>
  <si>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</si>
  <si>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</si>
  <si>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</si>
  <si>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</si>
  <si>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</si>
  <si>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</si>
  <si>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</si>
  <si>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</si>
  <si>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</si>
  <si>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</si>
  <si>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</si>
  <si>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</si>
  <si>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</si>
  <si>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</si>
  <si>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</si>
  <si>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</si>
  <si>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</si>
  <si>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</si>
  <si>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</si>
  <si>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</si>
  <si>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</si>
  <si>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</si>
  <si>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</si>
  <si>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</si>
  <si>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</si>
  <si>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</si>
  <si>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</si>
  <si>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</si>
  <si>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</si>
  <si>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</si>
  <si>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</si>
  <si>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</si>
  <si>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</si>
  <si>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</si>
  <si>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</si>
  <si>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</si>
  <si>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</si>
  <si>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</si>
  <si>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</si>
  <si>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</si>
  <si>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</si>
  <si>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</si>
  <si>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</si>
  <si>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</si>
  <si>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</si>
  <si>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</si>
  <si>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</si>
  <si>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</si>
  <si>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</si>
  <si>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</si>
  <si>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</si>
  <si>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</si>
  <si>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</si>
  <si>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</si>
  <si>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</si>
  <si>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</si>
  <si>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</si>
  <si>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</si>
  <si>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</si>
  <si>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</si>
  <si>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</si>
  <si>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</si>
  <si>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</si>
  <si>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</si>
  <si>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</si>
  <si>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</si>
  <si>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</si>
  <si>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</si>
  <si>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</si>
  <si>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</si>
  <si>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</si>
  <si>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</si>
  <si>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</si>
  <si>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</si>
  <si>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</si>
  <si>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</si>
  <si>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</si>
  <si>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</si>
  <si>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</si>
  <si>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</si>
  <si>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</si>
  <si>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</si>
  <si>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</si>
  <si>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</si>
  <si>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</si>
  <si>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</si>
  <si>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</si>
  <si>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</si>
  <si>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</si>
  <si>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</si>
  <si>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</si>
  <si>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</si>
  <si>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</si>
  <si>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</si>
  <si>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</si>
  <si>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</si>
  <si>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</si>
  <si>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</si>
  <si>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</si>
  <si>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</si>
  <si>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</si>
  <si>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</si>
  <si>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</si>
  <si>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</si>
  <si>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</si>
  <si>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</si>
  <si>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</si>
  <si>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</si>
  <si>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</si>
  <si>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</si>
  <si>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</si>
  <si>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</si>
  <si>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</si>
  <si>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</si>
  <si>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</si>
  <si>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</si>
  <si>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</si>
  <si>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</si>
  <si>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</si>
  <si>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</si>
  <si>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</si>
  <si>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</si>
  <si>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</si>
  <si>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</si>
  <si>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</si>
  <si>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</si>
  <si>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</si>
  <si>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</si>
  <si>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</si>
  <si>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</si>
  <si>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</si>
  <si>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</si>
  <si>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</si>
  <si>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</si>
  <si>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</si>
  <si>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</si>
  <si>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</si>
  <si>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</si>
  <si>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</si>
  <si>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</si>
  <si>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</si>
  <si>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</si>
  <si>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</si>
  <si>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</si>
  <si>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</si>
  <si>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</si>
  <si>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</si>
  <si>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</si>
  <si>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</si>
  <si>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</si>
  <si>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</si>
  <si>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</si>
  <si>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</si>
  <si>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</si>
  <si>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</si>
  <si>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</si>
  <si>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</si>
  <si>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</si>
  <si>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</si>
  <si>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</si>
  <si>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</si>
  <si>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</si>
  <si>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</si>
  <si>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</si>
  <si>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</si>
  <si>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</si>
  <si>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</si>
  <si>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</si>
  <si>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</si>
  <si>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</si>
  <si>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</si>
  <si>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</si>
  <si>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</si>
  <si>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</si>
  <si>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</si>
  <si>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</si>
  <si>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</si>
  <si>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</si>
  <si>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</si>
  <si>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</si>
  <si>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</si>
  <si>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</si>
  <si>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</si>
  <si>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</si>
  <si>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</si>
  <si>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</si>
  <si>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</si>
  <si>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</si>
  <si>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</si>
  <si>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</si>
  <si>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</si>
  <si>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</si>
  <si>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</si>
  <si>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</si>
  <si>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</si>
  <si>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</si>
  <si>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</si>
  <si>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</si>
  <si>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</si>
  <si>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</si>
  <si>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</si>
  <si>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</si>
  <si>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</si>
  <si>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</si>
  <si>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</si>
  <si>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</si>
  <si>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</si>
  <si>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</si>
  <si>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</si>
  <si>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</si>
  <si>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</si>
  <si>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</si>
  <si>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</si>
  <si>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</si>
  <si>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</si>
  <si>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</si>
  <si>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</si>
  <si>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</si>
  <si>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</si>
  <si>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</si>
  <si>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</si>
  <si>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</si>
  <si>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</si>
  <si>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</si>
  <si>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</si>
  <si>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</si>
  <si>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</si>
  <si>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</si>
  <si>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</si>
  <si>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</si>
  <si>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</si>
  <si>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</si>
  <si>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</si>
  <si>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</si>
  <si>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</si>
  <si>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</si>
  <si>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</si>
  <si>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</si>
  <si>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</si>
  <si>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</si>
  <si>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</si>
  <si>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</si>
  <si>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</si>
  <si>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</si>
  <si>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</si>
  <si>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</si>
  <si>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</si>
  <si>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</si>
  <si>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</si>
  <si>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</si>
  <si>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</si>
  <si>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</si>
  <si>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</si>
  <si>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</si>
  <si>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</si>
  <si>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</si>
  <si>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</si>
  <si>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</si>
  <si>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</si>
  <si>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</si>
  <si>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</si>
  <si>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</si>
  <si>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</si>
  <si>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</si>
  <si>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</si>
  <si>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</si>
  <si>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</si>
  <si>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</si>
  <si>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</si>
  <si>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</si>
  <si>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</si>
  <si>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</si>
  <si>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</si>
  <si>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</si>
  <si>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</si>
  <si>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</si>
  <si>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</si>
  <si>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</si>
  <si>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</si>
  <si>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</si>
  <si>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</si>
  <si>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</si>
  <si>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</si>
  <si>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</si>
  <si>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</si>
  <si>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</si>
  <si>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</si>
  <si>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</si>
  <si>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</si>
  <si>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</si>
  <si>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</si>
  <si>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</si>
  <si>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</si>
  <si>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</si>
  <si>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</si>
  <si>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</si>
  <si>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</si>
  <si>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</si>
  <si>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</si>
  <si>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</si>
  <si>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</si>
  <si>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</si>
  <si>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</si>
  <si>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</si>
  <si>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</si>
  <si>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</si>
  <si>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</si>
  <si>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</si>
  <si>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</si>
  <si>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</si>
  <si>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</si>
  <si>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</si>
  <si>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</si>
  <si>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</si>
  <si>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</si>
  <si>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</si>
  <si>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</si>
  <si>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</si>
  <si>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</si>
  <si>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</si>
  <si>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</si>
  <si>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</si>
  <si>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</si>
  <si>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</si>
  <si>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</si>
  <si>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</si>
  <si>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</si>
  <si>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</si>
  <si>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</si>
  <si>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</si>
  <si>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</si>
  <si>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</si>
  <si>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</si>
  <si>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</si>
  <si>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</si>
  <si>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</si>
  <si>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</si>
  <si>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</si>
  <si>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</si>
  <si>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</si>
  <si>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</si>
  <si>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</si>
  <si>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</si>
  <si>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</si>
  <si>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</si>
  <si>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</si>
  <si>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</si>
  <si>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</si>
  <si>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</si>
  <si>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</si>
  <si>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</si>
  <si>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</si>
  <si>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</si>
  <si>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</si>
  <si>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</si>
  <si>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</si>
  <si>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</si>
  <si>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</si>
  <si>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</si>
  <si>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</si>
  <si>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</si>
  <si>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</si>
  <si>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</si>
  <si>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</si>
  <si>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</si>
  <si>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</si>
  <si>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</si>
  <si>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</si>
  <si>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</si>
  <si>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</si>
  <si>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</si>
  <si>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</si>
  <si>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</si>
  <si>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</si>
  <si>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</si>
  <si>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</si>
  <si>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</si>
  <si>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</si>
  <si>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</si>
  <si>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</si>
  <si>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</si>
  <si>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</si>
  <si>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</si>
  <si>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</si>
  <si>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</si>
  <si>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</si>
  <si>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</si>
  <si>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</si>
  <si>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</si>
  <si>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</si>
  <si>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</si>
  <si>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</si>
  <si>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</si>
  <si>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</si>
  <si>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</si>
  <si>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</si>
  <si>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</si>
  <si>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</si>
  <si>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</si>
  <si>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</si>
  <si>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</si>
  <si>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</si>
  <si>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</si>
  <si>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</si>
  <si>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</si>
  <si>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</si>
  <si>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</si>
  <si>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</si>
  <si>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</si>
  <si>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</si>
  <si>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</si>
  <si>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</si>
  <si>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</si>
  <si>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</si>
  <si>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</si>
  <si>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</si>
  <si>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</si>
  <si>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</si>
  <si>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</si>
  <si>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</si>
  <si>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</si>
  <si>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</si>
  <si>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</si>
  <si>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</si>
  <si>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</si>
  <si>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</si>
  <si>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</si>
  <si>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</si>
  <si>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</si>
  <si>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</si>
  <si>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</si>
  <si>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</si>
  <si>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</si>
  <si>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</si>
  <si>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</si>
  <si>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</si>
  <si>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</si>
  <si>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</si>
  <si>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</si>
  <si>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</si>
  <si>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</si>
  <si>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</si>
  <si>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</si>
  <si>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</si>
  <si>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</si>
  <si>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</si>
  <si>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</si>
  <si>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</si>
  <si>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</si>
  <si>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</si>
  <si>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</si>
  <si>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</si>
  <si>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</si>
  <si>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</si>
  <si>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ATHINA KAROUMPALOU</t>
  </si>
  <si>
    <t>PANAGIOTIS KALESIORIS</t>
  </si>
  <si>
    <t>09:35</t>
  </si>
  <si>
    <t>03:46</t>
  </si>
  <si>
    <t>I won’t say anything. I think the work is excellent.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</si>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</sst>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34_339_PAN_MCO_E2025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46108.885416666664</v>
      </c>
      <c r="C3" s="157"/>
      <c r="D3" s="39">
        <v>582</v>
      </c>
      <c r="E3" s="29"/>
      <c r="F3" s="26">
        <f>SUBTOTAL(3,I17:I106)</f>
        <v>2</v>
      </c>
      <c r="G3" s="27">
        <f>IF(OR(D3="",D3=0),"",F3/D3)</f>
        <v>3.4364261168384879E-3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3.4364261168384879E-3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0.3436426116838488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1.3436426116838489</v>
      </c>
      <c r="N7" s="58"/>
      <c r="O7" s="2"/>
      <c r="P7" s="2"/>
      <c r="Q7" s="86">
        <f>SUM(R5,S5,AC16)</f>
        <v>1.3436426116838489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1.3436426116838489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339</v>
      </c>
      <c r="D17" s="32" t="s">
        <v>753</v>
      </c>
      <c r="E17" s="33">
        <v>1</v>
      </c>
      <c r="F17" s="36">
        <v>3</v>
      </c>
      <c r="G17" s="36">
        <v>0</v>
      </c>
      <c r="H17" s="38" t="str">
        <f>IF(I17="","",$I$14)</f>
        <v>SCOUTING</v>
      </c>
      <c r="I17" s="34">
        <v>11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339</v>
      </c>
      <c r="D18" s="32" t="s">
        <v>754</v>
      </c>
      <c r="E18" s="33">
        <v>4</v>
      </c>
      <c r="F18" s="36">
        <v>91</v>
      </c>
      <c r="G18" s="36">
        <v>81</v>
      </c>
      <c r="H18" s="38" t="str">
        <f t="shared" ref="H18:H81" si="8">IF(I18="","",$I$14)</f>
        <v>SCOUTING</v>
      </c>
      <c r="I18" s="34">
        <v>505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REPORT_E2025339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"E2025339"</v>
      </c>
      <c r="F3" s="45" t="str">
        <f t="shared" ref="F3:F16" si="0">""""&amp;B3&amp;"""" &amp; " : " &amp;C3&amp;","</f>
        <v>"name" : "E2025339",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"E339"</v>
      </c>
      <c r="F4" s="45" t="str">
        <f t="shared" si="0"/>
        <v>"cod" : "E339",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339</v>
      </c>
      <c r="F6" s="45" t="str">
        <f t="shared" si="0"/>
        <v>"number" : 339,</v>
      </c>
    </row>
    <row r="7" spans="2:6" x14ac:dyDescent="0.25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won’t say anything. I think the work is excellent."</v>
      </c>
      <c r="F51" s="45" t="str">
        <f>""""&amp;B51&amp;"""" &amp; " : " &amp;C51&amp;","</f>
        <v>"comments" : "I won’t say anything. I think the work is excellent.",</v>
      </c>
    </row>
    <row r="52" spans="2:6" x14ac:dyDescent="0.25">
      <c r="B52" s="43" t="s">
        <v>153</v>
      </c>
      <c r="C52" s="43" t="str">
        <f>TEXT('SCOUT &amp; LOGISTICS'!F1,"0,0")</f>
        <v>34_339_PAN_MCO_E2025</v>
      </c>
      <c r="F52" s="45" t="str">
        <f>""""&amp;B52&amp;"""" &amp; " : " &amp;C52</f>
        <v>"result" : 34_339_PAN_MCO_E2025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E339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27/03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PANAGIOTA TSICHLI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3.4364261168384879E-3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 won’t say anything. I think the work is excellent.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1.3436426116838489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00A516-2B24-4C6F-857C-FD165BB000F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2026-03-31T15:52:37Z</cp:lastPrinted>
  <dcterms:created xsi:type="dcterms:W3CDTF">2023-09-19T19:50:35Z</dcterms:created>
  <dcterms:modified xsi:type="dcterms:W3CDTF">2026-03-31T15:52:40Z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