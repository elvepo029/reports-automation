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A86D506C-35D8-494D-8F89-DCB4411213B4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<sst xmlns="http://schemas.openxmlformats.org/spreadsheetml/2006/main" count="3235" uniqueCount="752">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</sst>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35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35_341_TEL_IST_E2025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341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46113.864583333336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Maccabi Rapyd Tel Aviv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TEL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Anadolu Efes Istanbul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IST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REPORT_E2025341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"E2025341"</v>
      </c>
      <c r="F3" s="45" t="str">
        <f t="shared" ref="F3:F16" si="0">""""&amp;B3&amp;"""" &amp; " : " &amp;C3&amp;","</f>
        <v>"name" : "E2025341",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"E341"</v>
      </c>
      <c r="F4" s="45" t="str">
        <f t="shared" si="0"/>
        <v>"cod" : "E341",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341</v>
      </c>
      <c r="F6" s="45" t="str">
        <f t="shared" si="0"/>
        <v>"number" : 341,</v>
      </c>
    </row>
    <row r="7" spans="2:6" x14ac:dyDescent="0.2">
      <c r="B7" s="43" t="s">
        <v>116</v>
      </c>
      <c r="C7" s="43" t="str">
        <f ca="1">""""&amp;TEXT('SCOUT &amp; LOGISTICS'!B3,"dd/mm/aaaa")&amp;""""</f>
        <v>"01/04/Wednesday"</v>
      </c>
      <c r="F7" s="45" t="str">
        <f t="shared" ca="1" si="0"/>
        <v>"date" : "01/04/Wednesday",</v>
      </c>
    </row>
    <row r="8" spans="2:6" x14ac:dyDescent="0.2">
      <c r="B8" s="43" t="s">
        <v>125</v>
      </c>
      <c r="C8" s="43" t="str">
        <f>""""&amp;'SCOUT &amp; LOGISTICS'!D4 &amp;""""</f>
        <v>"Maccabi Rapyd Tel Aviv"</v>
      </c>
      <c r="F8" s="45" t="str">
        <f t="shared" si="0"/>
        <v>"home_team" : "Maccabi Rapyd Tel Aviv",</v>
      </c>
    </row>
    <row r="9" spans="2:6" x14ac:dyDescent="0.2">
      <c r="B9" s="43" t="s">
        <v>126</v>
      </c>
      <c r="C9" s="43" t="str">
        <f>""""&amp;'SCOUT &amp; LOGISTICS'!D5&amp;""""</f>
        <v>"Anadolu Efes Istanbul"</v>
      </c>
      <c r="F9" s="45" t="str">
        <f t="shared" si="0"/>
        <v>"away_team" : "Anadolu Efes Istanbul",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35_341_TEL_IST_E2025</v>
      </c>
      <c r="F52" s="45" t="str">
        <f>""""&amp;B52&amp;"""" &amp; " : " &amp;C52</f>
        <v>"result" : 35_341_TEL_IST_E2025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E341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01/04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Maccabi Rapyd Tel Aviv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Anadolu Efes Istanbul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03E8D0A-9CC5-4EA7-A549-CBC8EA264E65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