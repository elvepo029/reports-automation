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76" documentId="8_{AC1F69D7-18EA-4BAD-B39E-CB950A013C99}" xr6:coauthVersionLast="47" xr6:coauthVersionMax="47" xr10:uidLastSave="{12BA13C9-361B-45F0-8CA0-38E91E450CC9}"/>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<sst xmlns="http://schemas.openxmlformats.org/spreadsheetml/2006/main" count="3270" uniqueCount="763">
  <si>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</si>
  <si>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</si>
  <si>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</si>
  <si>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</si>
  <si>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</si>
  <si>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</si>
  <si>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</si>
  <si>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</si>
  <si>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</si>
  <si>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</si>
  <si>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</si>
  <si>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</si>
  <si>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</si>
  <si>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</si>
  <si>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</si>
  <si>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</si>
  <si>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</si>
  <si>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</si>
  <si>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</si>
  <si>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</si>
  <si>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</si>
  <si>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</si>
  <si>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</si>
  <si>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</si>
  <si>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</si>
  <si>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</si>
  <si>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</si>
  <si>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</si>
  <si>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</si>
  <si>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</si>
  <si>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</si>
  <si>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</si>
  <si>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</si>
  <si>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</si>
  <si>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</si>
  <si>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</si>
  <si>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</si>
  <si>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</si>
  <si>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</si>
  <si>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</si>
  <si>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</si>
  <si>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</si>
  <si>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</si>
  <si>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</si>
  <si>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</si>
  <si>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</si>
  <si>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</si>
  <si>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</si>
  <si>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</si>
  <si>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</si>
  <si>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</si>
  <si>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</si>
  <si>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</si>
  <si>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</si>
  <si>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</si>
  <si>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</si>
  <si>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</si>
  <si>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</si>
  <si>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</si>
  <si>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</si>
  <si>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</si>
  <si>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</si>
  <si>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</si>
  <si>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</si>
  <si>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</si>
  <si>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</si>
  <si>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</si>
  <si>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</si>
  <si>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</si>
  <si>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</si>
  <si>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</si>
  <si>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</si>
  <si>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</si>
  <si>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</si>
  <si>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</si>
  <si>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</si>
  <si>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</si>
  <si>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</si>
  <si>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</si>
  <si>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</si>
  <si>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</si>
  <si>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</si>
  <si>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</si>
  <si>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</si>
  <si>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</si>
  <si>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</si>
  <si>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</si>
  <si>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</si>
  <si>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</si>
  <si>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</si>
  <si>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</si>
  <si>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</si>
  <si>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</si>
  <si>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</si>
  <si>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</si>
  <si>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</si>
  <si>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</si>
  <si>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</si>
  <si>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</si>
  <si>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</si>
  <si>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</si>
  <si>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</si>
  <si>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</si>
  <si>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</si>
  <si>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</si>
  <si>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</si>
  <si>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</si>
  <si>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</si>
  <si>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</si>
  <si>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</si>
  <si>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</si>
  <si>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</si>
  <si>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</si>
  <si>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</si>
  <si>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</si>
  <si>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</si>
  <si>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</si>
  <si>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</si>
  <si>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</si>
  <si>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</si>
  <si>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</si>
  <si>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</si>
  <si>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</si>
  <si>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</si>
  <si>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</si>
  <si>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</si>
  <si>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</si>
  <si>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</si>
  <si>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</si>
  <si>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</si>
  <si>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</si>
  <si>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</si>
  <si>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</si>
  <si>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</si>
  <si>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</si>
  <si>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</si>
  <si>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</si>
  <si>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</si>
  <si>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</si>
  <si>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</si>
  <si>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</si>
  <si>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</si>
  <si>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</si>
  <si>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</si>
  <si>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</si>
  <si>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</si>
  <si>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</si>
  <si>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</si>
  <si>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</si>
  <si>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</si>
  <si>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</si>
  <si>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</si>
  <si>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</si>
  <si>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</si>
  <si>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</si>
  <si>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</si>
  <si>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</si>
  <si>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</si>
  <si>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</si>
  <si>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</si>
  <si>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</si>
  <si>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</si>
  <si>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</si>
  <si>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</si>
  <si>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</si>
  <si>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</si>
  <si>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</si>
  <si>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</si>
  <si>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</si>
  <si>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</si>
  <si>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</si>
  <si>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</si>
  <si>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</si>
  <si>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</si>
  <si>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</si>
  <si>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</si>
  <si>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</si>
  <si>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</si>
  <si>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</si>
  <si>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</si>
  <si>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</si>
  <si>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</si>
  <si>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</si>
  <si>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</si>
  <si>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</si>
  <si>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</si>
  <si>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</si>
  <si>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</si>
  <si>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</si>
  <si>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</si>
  <si>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</si>
  <si>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</si>
  <si>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</si>
  <si>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</si>
  <si>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</si>
  <si>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</si>
  <si>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</si>
  <si>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</si>
  <si>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</si>
  <si>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</si>
  <si>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</si>
  <si>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</si>
  <si>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</si>
  <si>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</si>
  <si>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</si>
  <si>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</si>
  <si>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</si>
  <si>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</si>
  <si>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</si>
  <si>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</si>
  <si>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</si>
  <si>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</si>
  <si>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</si>
  <si>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</si>
  <si>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</si>
  <si>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</si>
  <si>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</si>
  <si>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</si>
  <si>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</si>
  <si>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</si>
  <si>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</si>
  <si>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</si>
  <si>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</si>
  <si>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</si>
  <si>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</si>
  <si>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</si>
  <si>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</si>
  <si>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</si>
  <si>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</si>
  <si>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</si>
  <si>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</si>
  <si>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</si>
  <si>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</si>
  <si>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</si>
  <si>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</si>
  <si>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</si>
  <si>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</si>
  <si>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</si>
  <si>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</si>
  <si>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</si>
  <si>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</si>
  <si>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</si>
  <si>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</si>
  <si>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</si>
  <si>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</si>
  <si>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</si>
  <si>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</si>
  <si>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</si>
  <si>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</si>
  <si>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</si>
  <si>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</si>
  <si>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</si>
  <si>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</si>
  <si>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</si>
  <si>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</si>
  <si>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</si>
  <si>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</si>
  <si>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</si>
  <si>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</si>
  <si>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</si>
  <si>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</si>
  <si>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</si>
  <si>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</si>
  <si>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</si>
  <si>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</si>
  <si>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</si>
  <si>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</si>
  <si>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</si>
  <si>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</si>
  <si>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</si>
  <si>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</si>
  <si>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</si>
  <si>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</si>
  <si>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</si>
  <si>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</si>
  <si>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</si>
  <si>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</si>
  <si>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</si>
  <si>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</si>
  <si>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</si>
  <si>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</si>
  <si>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</si>
  <si>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</si>
  <si>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</si>
  <si>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</si>
  <si>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</si>
  <si>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</si>
  <si>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</si>
  <si>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</si>
  <si>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</si>
  <si>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</si>
  <si>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</si>
  <si>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</si>
  <si>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</si>
  <si>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</si>
  <si>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</si>
  <si>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</si>
  <si>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</si>
  <si>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</si>
  <si>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</si>
  <si>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</si>
  <si>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</si>
  <si>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</si>
  <si>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</si>
  <si>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</si>
  <si>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</si>
  <si>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</si>
  <si>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</si>
  <si>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</si>
  <si>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</si>
  <si>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</si>
  <si>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</si>
  <si>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</si>
  <si>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</si>
  <si>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</si>
  <si>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</si>
  <si>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</si>
  <si>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</si>
  <si>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</si>
  <si>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</si>
  <si>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</si>
  <si>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</si>
  <si>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</si>
  <si>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</si>
  <si>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</si>
  <si>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</si>
  <si>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</si>
  <si>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</si>
  <si>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</si>
  <si>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</si>
  <si>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</si>
  <si>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</si>
  <si>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</si>
  <si>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</si>
  <si>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</si>
  <si>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</si>
  <si>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</si>
  <si>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</si>
  <si>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</si>
  <si>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</si>
  <si>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</si>
  <si>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</si>
  <si>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</si>
  <si>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</si>
  <si>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</si>
  <si>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</si>
  <si>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</si>
  <si>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</si>
  <si>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</si>
  <si>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</si>
  <si>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</si>
  <si>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</si>
  <si>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</si>
  <si>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</si>
  <si>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</si>
  <si>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</si>
  <si>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</si>
  <si>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</si>
  <si>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</si>
  <si>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</si>
  <si>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</si>
  <si>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</si>
  <si>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</si>
  <si>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</si>
  <si>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</si>
  <si>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</si>
  <si>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</si>
  <si>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</si>
  <si>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</si>
  <si>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</si>
  <si>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</si>
  <si>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</si>
  <si>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</si>
  <si>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</si>
  <si>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</si>
  <si>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</si>
  <si>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</si>
  <si>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</si>
  <si>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</si>
  <si>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</si>
  <si>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</si>
  <si>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</si>
  <si>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</si>
  <si>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</si>
  <si>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</si>
  <si>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</si>
  <si>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</si>
  <si>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</si>
  <si>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</si>
  <si>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</si>
  <si>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</si>
  <si>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</si>
  <si>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</si>
  <si>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</si>
  <si>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</si>
  <si>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</si>
  <si>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</si>
  <si>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</si>
  <si>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</si>
  <si>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</si>
  <si>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</si>
  <si>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</si>
  <si>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</si>
  <si>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</si>
  <si>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</si>
  <si>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</si>
  <si>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</si>
  <si>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</si>
  <si>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</si>
  <si>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</si>
  <si>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</si>
  <si>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</si>
  <si>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</si>
  <si>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</si>
  <si>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</si>
  <si>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</si>
  <si>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</si>
  <si>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</si>
  <si>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</si>
  <si>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</si>
  <si>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</si>
  <si>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</si>
  <si>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</si>
  <si>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</si>
  <si>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</si>
  <si>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</si>
  <si>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</si>
  <si>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</si>
  <si>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</si>
  <si>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</si>
  <si>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</si>
  <si>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</si>
  <si>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</si>
  <si>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</si>
  <si>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</si>
  <si>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</si>
  <si>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</si>
  <si>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</si>
  <si>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</si>
  <si>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</si>
  <si>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</si>
  <si>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</si>
  <si>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</si>
  <si>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</si>
  <si>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</si>
  <si>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</si>
  <si>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</si>
  <si>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</si>
  <si>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</si>
  <si>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</si>
  <si>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</si>
  <si>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</si>
  <si>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</si>
  <si>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</si>
  <si>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</si>
  <si>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</si>
  <si>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</si>
  <si>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</si>
  <si>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</si>
  <si>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</si>
  <si>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</si>
  <si>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</si>
  <si>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</si>
  <si>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</si>
  <si>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</si>
  <si>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</si>
  <si>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</si>
  <si>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</si>
  <si>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</si>
  <si>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</si>
  <si>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</si>
  <si>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</si>
  <si>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</si>
  <si>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</si>
  <si>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</si>
  <si>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</si>
  <si>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</si>
  <si>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</si>
  <si>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</si>
  <si>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</si>
  <si>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</si>
  <si>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</si>
  <si>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</si>
  <si>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</si>
  <si>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</si>
  <si>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</si>
  <si>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</si>
  <si>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</si>
  <si>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</si>
  <si>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</si>
  <si>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</si>
  <si>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</si>
  <si>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</si>
  <si>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</si>
  <si>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</si>
  <si>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</si>
  <si>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</si>
  <si>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</si>
  <si>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</si>
  <si>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</si>
  <si>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</si>
  <si>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</si>
  <si>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</si>
  <si>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</si>
  <si>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</si>
  <si>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</si>
  <si>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</si>
  <si>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</si>
  <si>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</si>
  <si>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</si>
  <si>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</si>
  <si>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</si>
  <si>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</si>
  <si>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</si>
  <si>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</si>
  <si>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</si>
  <si>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</si>
  <si>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</si>
  <si>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</si>
  <si>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</si>
  <si>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</si>
  <si>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</si>
  <si>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</si>
  <si>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</si>
  <si>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</si>
  <si>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</si>
  <si>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</si>
  <si>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</si>
  <si>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</si>
  <si>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</si>
  <si>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</si>
  <si>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</si>
  <si>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</si>
  <si>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</si>
  <si>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</si>
  <si>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</si>
  <si>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</si>
  <si>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</si>
  <si>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</si>
  <si>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</si>
  <si>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</si>
  <si>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</si>
  <si>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</si>
  <si>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</si>
  <si>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</si>
  <si>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</si>
  <si>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</si>
  <si>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</si>
  <si>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</si>
  <si>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</si>
  <si>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</si>
  <si>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</si>
  <si>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</si>
  <si>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</si>
  <si>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</si>
  <si>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</si>
  <si>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</si>
  <si>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</si>
  <si>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</si>
  <si>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</si>
  <si>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</si>
  <si>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</si>
  <si>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</si>
  <si>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</si>
  <si>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</si>
  <si>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</si>
  <si>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</si>
  <si>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</si>
  <si>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</si>
  <si>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</si>
  <si>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</si>
  <si>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</si>
  <si>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</si>
  <si>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</si>
  <si>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</si>
  <si>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</si>
  <si>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</si>
  <si>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</si>
  <si>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</si>
  <si>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</si>
  <si>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</si>
  <si>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</si>
  <si>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</si>
  <si>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</si>
  <si>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</si>
  <si>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</si>
  <si>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</si>
  <si>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</si>
  <si>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</si>
  <si>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</si>
  <si>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</si>
  <si>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</si>
  <si>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</si>
  <si>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</si>
  <si>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</si>
  <si>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</si>
  <si>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</si>
  <si>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</si>
  <si>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</si>
  <si>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</si>
  <si>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</si>
  <si>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</si>
  <si>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</si>
  <si>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</si>
  <si>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</si>
  <si>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</si>
  <si>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</si>
  <si>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</si>
  <si>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</si>
  <si>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</si>
  <si>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</si>
  <si>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</si>
  <si>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</si>
  <si>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</si>
  <si>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</si>
  <si>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</si>
  <si>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</si>
  <si>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</si>
  <si>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</si>
  <si>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</si>
  <si>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</si>
  <si>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</si>
  <si>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</si>
  <si>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</si>
  <si>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</si>
  <si>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</si>
  <si>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</si>
  <si>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</si>
  <si>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</si>
  <si>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</si>
  <si>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</si>
  <si>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</si>
  <si>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</si>
  <si>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</si>
  <si>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</si>
  <si>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</si>
  <si>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</si>
  <si>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</si>
  <si>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</si>
  <si>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</si>
  <si>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</si>
  <si>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</si>
  <si>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</si>
  <si>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</si>
  <si>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</si>
  <si>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</si>
  <si>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</si>
  <si>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</si>
  <si>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</si>
  <si>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</si>
  <si>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</si>
  <si>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</si>
  <si>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</si>
  <si>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</si>
  <si>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</si>
  <si>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</si>
  <si>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</si>
  <si>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</si>
  <si>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</si>
  <si>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</si>
  <si>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</si>
  <si>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</si>
  <si>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</si>
  <si>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</si>
  <si>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</si>
  <si>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</si>
  <si>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</si>
  <si>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</si>
  <si>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</si>
  <si>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</si>
  <si>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</si>
  <si>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</si>
  <si>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</si>
  <si>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</si>
  <si>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</si>
  <si>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</si>
  <si>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</si>
  <si>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</si>
  <si>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</si>
  <si>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</si>
  <si>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</si>
  <si>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</si>
  <si>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</si>
  <si>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</si>
  <si>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</si>
  <si>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</si>
  <si>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</si>
  <si>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</si>
  <si>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</si>
  <si>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</si>
  <si>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</si>
  <si>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</si>
  <si>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</si>
  <si>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</si>
  <si>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</si>
  <si>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</si>
  <si>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</si>
  <si>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</si>
  <si>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</si>
  <si>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</si>
  <si>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</si>
  <si>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</si>
  <si>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</si>
  <si>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</si>
  <si>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</si>
  <si>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</si>
  <si>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</si>
  <si>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</si>
  <si>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</si>
  <si>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</si>
  <si>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</si>
  <si>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</si>
  <si>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</si>
  <si>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</si>
  <si>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</si>
  <si>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</si>
  <si>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</si>
  <si>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</si>
  <si>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</si>
  <si>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</si>
  <si>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</si>
  <si>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</si>
  <si>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</si>
  <si>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</si>
  <si>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</si>
  <si>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</si>
  <si>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</si>
  <si>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</si>
  <si>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</si>
  <si>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</si>
  <si>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</si>
  <si>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</si>
  <si>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</si>
  <si>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</si>
  <si>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</si>
  <si>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</si>
  <si>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</si>
  <si>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</si>
  <si>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</si>
  <si>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</si>
  <si>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</si>
  <si>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</si>
  <si>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</si>
  <si>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</si>
  <si>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</si>
  <si>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</si>
  <si>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</si>
  <si>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</si>
  <si>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</si>
  <si>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</si>
  <si>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</si>
  <si>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IVAN MOSIC</t>
  </si>
  <si>
    <t>MIODRAG STOJANOVIC</t>
  </si>
  <si>
    <t>MILOS MOSIC</t>
  </si>
  <si>
    <t>BOJANA KRALJEVIC</t>
  </si>
  <si>
    <t>JELENA BOGUCANIN</t>
  </si>
  <si>
    <t>JOVANA DOJCINOVIC</t>
  </si>
  <si>
    <t>02:36</t>
  </si>
  <si>
    <t>07:33</t>
  </si>
  <si>
    <t>00:06</t>
  </si>
  <si>
    <t>04:32</t>
  </si>
  <si>
    <t>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</si>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</sst>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35</v>
      </c>
      <c r="D1" s="124" t="s">
        <v>749</v>
      </c>
      <c r="E1" s="125">
        <v>2025</v>
      </c>
      <c r="F1" s="120" t="str">
        <f>TEXT(C1,"00") &amp; "_" &amp; TEXT(C2,"000")&amp; "_" &amp; H4 &amp; "_" &amp; H5 &amp; "_" &amp; B2</f>
        <v>35_342_RED_PAR_E2025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342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46114.833333333336</v>
      </c>
      <c r="C3" s="157"/>
      <c r="D3" s="39">
        <v>594</v>
      </c>
      <c r="E3" s="29"/>
      <c r="F3" s="26">
        <f>SUBTOTAL(3,I17:I106)</f>
        <v>5</v>
      </c>
      <c r="G3" s="27">
        <f>IF(OR(D3="",D3=0),"",F3/D3)</f>
        <v>8.4175084175084174E-3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743</v>
      </c>
      <c r="L4" s="5"/>
      <c r="M4" s="167" t="s">
        <v>761</v>
      </c>
      <c r="N4" s="168"/>
      <c r="O4" s="2"/>
      <c r="P4" s="2"/>
      <c r="Q4" s="84" t="s">
        <v>175</v>
      </c>
      <c r="R4" s="94">
        <f>(IF(G3="",0,G3))</f>
        <v>8.4175084175084174E-3</v>
      </c>
      <c r="S4" s="61">
        <f>SUM(I13:M13)</f>
        <v>0</v>
      </c>
      <c r="T4" s="78"/>
      <c r="U4" s="61">
        <f>AC18</f>
        <v>1</v>
      </c>
      <c r="V4" s="61">
        <f>+AC22</f>
        <v>2</v>
      </c>
      <c r="W4" s="61">
        <f>AC24</f>
        <v>0</v>
      </c>
      <c r="X4" s="61">
        <f>AC29</f>
        <v>0</v>
      </c>
      <c r="Y4" s="61">
        <f>AC25</f>
        <v>0</v>
      </c>
      <c r="Z4" s="84">
        <f>AC23</f>
        <v>1</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Partizan Mozzart Bet Belgrade</v>
      </c>
      <c r="E5" s="174"/>
      <c r="F5" s="174"/>
      <c r="G5" s="175"/>
      <c r="H5" s="118" t="str">
        <f>IF(ISERROR(VLOOKUP($B$2&amp;TEXT($C$2,"000"),GAMES!$A$3:$I$562,7,FALSE)),"VIS",VLOOKUP($B$2&amp;TEXT($C$2,"000"),GAMES!$A$3:$I$562,7,FALSE))</f>
        <v>PAR</v>
      </c>
      <c r="I5" s="5"/>
      <c r="J5" s="5"/>
      <c r="K5" s="5"/>
      <c r="L5" s="5"/>
      <c r="M5" s="169"/>
      <c r="N5" s="170"/>
      <c r="O5" s="2"/>
      <c r="P5" s="2"/>
      <c r="Q5" s="89" t="s">
        <v>174</v>
      </c>
      <c r="R5" s="94">
        <f>R4*R3</f>
        <v>0.84175084175084169</v>
      </c>
      <c r="S5" s="70">
        <f t="shared" ref="S5" si="0">S4*S3</f>
        <v>0</v>
      </c>
      <c r="T5" s="92"/>
      <c r="U5" s="70">
        <f t="shared" ref="U5:AG5" si="1">U4*U3</f>
        <v>0.5</v>
      </c>
      <c r="V5" s="70">
        <f t="shared" si="1"/>
        <v>2</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20.841750841750841</v>
      </c>
      <c r="N7" s="58"/>
      <c r="O7" s="2"/>
      <c r="P7" s="2"/>
      <c r="Q7" s="86">
        <f>SUM(R5,S5,AC16)</f>
        <v>20.841750841750841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20.841750841750841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342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20</v>
      </c>
      <c r="AD16" s="75">
        <f>SUM(AD17:AD24)</f>
        <v>45</v>
      </c>
      <c r="AE16" s="76" t="s">
        <v>42</v>
      </c>
      <c r="AF16" s="75">
        <f>SUM(AF17:AF24)</f>
        <v>3</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342</v>
      </c>
      <c r="D17" s="32" t="s">
        <v>757</v>
      </c>
      <c r="E17" s="33">
        <v>1</v>
      </c>
      <c r="F17" s="36">
        <v>15</v>
      </c>
      <c r="G17" s="36">
        <v>15</v>
      </c>
      <c r="H17" s="38" t="str">
        <f>IF(I17="","",$I$14)</f>
        <v>SCOUTING</v>
      </c>
      <c r="I17" s="34">
        <v>84</v>
      </c>
      <c r="J17" s="13" t="s">
        <v>3</v>
      </c>
      <c r="K17" s="13" t="s">
        <v>63</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2</v>
      </c>
      <c r="AB17" s="66" t="s">
        <v>19</v>
      </c>
      <c r="AC17" s="61">
        <f t="shared" ref="AC17:AC29" si="5">COUNTIF($L$17:$L$106,AB17)</f>
        <v>0</v>
      </c>
      <c r="AD17" s="61">
        <f t="shared" ref="AD17:AD25" si="6">P17</f>
        <v>10</v>
      </c>
      <c r="AE17" s="66" t="s">
        <v>11</v>
      </c>
      <c r="AF17" s="65">
        <f t="shared" ref="AF17:AF48" si="7">COUNTIF($M$17:$M$106,AE17)</f>
        <v>1</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342</v>
      </c>
      <c r="D18" s="32" t="s">
        <v>757</v>
      </c>
      <c r="E18" s="33">
        <v>1</v>
      </c>
      <c r="F18" s="36">
        <v>15</v>
      </c>
      <c r="G18" s="36">
        <v>15</v>
      </c>
      <c r="H18" s="38" t="str">
        <f t="shared" ref="H18:H81" si="8">IF(I18="","",$I$14)</f>
        <v>SCOUTING</v>
      </c>
      <c r="I18" s="34">
        <v>85</v>
      </c>
      <c r="J18" s="13" t="s">
        <v>4</v>
      </c>
      <c r="K18" s="13" t="s">
        <v>63</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1</v>
      </c>
      <c r="AD18" s="61">
        <f t="shared" si="6"/>
        <v>0.5</v>
      </c>
      <c r="AE18" s="66" t="s">
        <v>12</v>
      </c>
      <c r="AF18" s="65">
        <f t="shared" si="7"/>
        <v>1</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342</v>
      </c>
      <c r="D19" s="32" t="s">
        <v>758</v>
      </c>
      <c r="E19" s="33">
        <v>2</v>
      </c>
      <c r="F19" s="36">
        <v>22</v>
      </c>
      <c r="G19" s="36">
        <v>24</v>
      </c>
      <c r="H19" s="38" t="str">
        <f t="shared" si="8"/>
        <v>SCOUTING</v>
      </c>
      <c r="I19" s="34">
        <v>140</v>
      </c>
      <c r="J19" s="13" t="s">
        <v>4</v>
      </c>
      <c r="K19" s="13" t="s">
        <v>62</v>
      </c>
      <c r="L19" s="13" t="s">
        <v>6</v>
      </c>
      <c r="M19" s="13" t="s">
        <v>27</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342</v>
      </c>
      <c r="D20" s="32" t="s">
        <v>759</v>
      </c>
      <c r="E20" s="33">
        <v>3</v>
      </c>
      <c r="F20" s="36">
        <v>55</v>
      </c>
      <c r="G20" s="36">
        <v>58</v>
      </c>
      <c r="H20" s="38" t="str">
        <f t="shared" si="8"/>
        <v>SCOUTING</v>
      </c>
      <c r="I20" s="34">
        <v>408</v>
      </c>
      <c r="J20" s="13" t="s">
        <v>4</v>
      </c>
      <c r="K20" s="13" t="s">
        <v>62</v>
      </c>
      <c r="L20" s="13" t="s">
        <v>7</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342</v>
      </c>
      <c r="D21" s="32" t="s">
        <v>760</v>
      </c>
      <c r="E21" s="33">
        <v>4</v>
      </c>
      <c r="F21" s="36">
        <v>66</v>
      </c>
      <c r="G21" s="36">
        <v>80</v>
      </c>
      <c r="H21" s="38" t="str">
        <f t="shared" si="8"/>
        <v>SCOUTING</v>
      </c>
      <c r="I21" s="34">
        <v>502</v>
      </c>
      <c r="J21" s="13" t="s">
        <v>4</v>
      </c>
      <c r="K21" s="13" t="s">
        <v>62</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REPORT_E2025342</v>
      </c>
    </row>
    <row r="2" spans="2:6" x14ac:dyDescent="0.25">
      <c r="F2" s="45" t="s">
        <v>157</v>
      </c>
    </row>
    <row r="3" spans="2:6" x14ac:dyDescent="0.25">
      <c r="B3" s="43" t="s">
        <v>156</v>
      </c>
      <c r="C3" s="43" t="str">
        <f>""""&amp;'SCOUT &amp; LOGISTICS'!B2&amp;TEXT('SCOUT &amp; LOGISTICS'!C2,"000")&amp;""""</f>
        <v>"E2025342"</v>
      </c>
      <c r="F3" s="45" t="str">
        <f t="shared" ref="F3:F16" si="0">""""&amp;B3&amp;"""" &amp; " : " &amp;C3&amp;","</f>
        <v>"name" : "E2025342",</v>
      </c>
    </row>
    <row r="4" spans="2:6" x14ac:dyDescent="0.25">
      <c r="B4" s="43" t="s">
        <v>119</v>
      </c>
      <c r="C4" s="43" t="str">
        <f>""""&amp;LEFT('SCOUT &amp; LOGISTICS'!B2,1) &amp; TEXT('SCOUT &amp; LOGISTICS'!C2,"000")&amp;""""</f>
        <v>"E342"</v>
      </c>
      <c r="F4" s="45" t="str">
        <f t="shared" si="0"/>
        <v>"cod" : "E342",</v>
      </c>
    </row>
    <row r="5" spans="2:6" x14ac:dyDescent="0.25">
      <c r="B5" s="43" t="s">
        <v>117</v>
      </c>
      <c r="C5" s="43" t="str">
        <f>""""&amp;LEFT('SCOUT &amp; LOGISTICS'!B2,1)&amp;""""</f>
        <v>"E"</v>
      </c>
      <c r="F5" s="45" t="str">
        <f t="shared" si="0"/>
        <v>"competition" : "E",</v>
      </c>
    </row>
    <row r="6" spans="2:6" x14ac:dyDescent="0.25">
      <c r="B6" s="43" t="s">
        <v>118</v>
      </c>
      <c r="C6" s="43" t="str">
        <f>TEXT('SCOUT &amp; LOGISTICS'!C2,"000")</f>
        <v>342</v>
      </c>
      <c r="F6" s="45" t="str">
        <f t="shared" si="0"/>
        <v>"number" : 342,</v>
      </c>
    </row>
    <row r="7" spans="2:6" x14ac:dyDescent="0.25">
      <c r="B7" s="43" t="s">
        <v>116</v>
      </c>
      <c r="C7" s="43" t="str">
        <f ca="1">""""&amp;TEXT('SCOUT &amp; LOGISTICS'!B3,"dd/mm/aaaa")&amp;""""</f>
        <v>"02/04/Thursday"</v>
      </c>
      <c r="F7" s="45" t="str">
        <f t="shared" ca="1" si="0"/>
        <v>"date" : "02/04/Thursday",</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"Partizan Mozzart Bet Belgrade"</v>
      </c>
      <c r="F9" s="45" t="str">
        <f t="shared" si="0"/>
        <v>"away_team" : "Partizan Mozzart Bet Belgrade",</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MOSIC"</v>
      </c>
      <c r="F12" s="45" t="str">
        <f t="shared" si="0"/>
        <v>"Caller_2" : "MILOS MOSIC",</v>
      </c>
    </row>
    <row r="13" spans="2:6" x14ac:dyDescent="0.25">
      <c r="B13" s="43" t="s">
        <v>98</v>
      </c>
      <c r="C13" s="43" t="str">
        <f>""""&amp;IF('SCOUT &amp; LOGISTICS'!D9="","",'SCOUT &amp; LOGISTICS'!D9)&amp;""""</f>
        <v>"BOJANA KRALJEVIC"</v>
      </c>
      <c r="F13" s="45" t="str">
        <f t="shared" si="0"/>
        <v>"Timerkeeper" : "BOJANA KRALJEVIC",</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"JOVANA DOJCINOVIC"</v>
      </c>
      <c r="F15" s="45" t="str">
        <f t="shared" si="0"/>
        <v>"IRS" : "JOVANA DOJCINOVIC",</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594</v>
      </c>
      <c r="F25" s="45" t="str">
        <f t="shared" ref="F25:F48" si="1">""""&amp;C25&amp;"""" &amp; " : " &amp;D25&amp;","</f>
        <v>"total_actions" : 594,</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1</v>
      </c>
      <c r="F32" s="45" t="str">
        <f t="shared" si="1"/>
        <v>"q2" : 1,</v>
      </c>
    </row>
    <row r="33" spans="3:6" x14ac:dyDescent="0.25">
      <c r="C33" s="43" t="s">
        <v>137</v>
      </c>
      <c r="D33" s="43">
        <f>'SCOUT &amp; LOGISTICS'!AG19</f>
        <v>1</v>
      </c>
      <c r="F33" s="45" t="str">
        <f t="shared" si="1"/>
        <v>"q3" : 1,</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1</v>
      </c>
      <c r="F39" s="45" t="str">
        <f t="shared" si="1"/>
        <v>"missidentity" : 1,</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c r="F51" s="45" t="str">
        <f>""""&amp;B51&amp;"""" &amp; " : " &amp;C51&amp;","</f>
        <v>"comments" : "The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row>
    <row r="52" spans="2:6" x14ac:dyDescent="0.25">
      <c r="B52" s="43" t="s">
        <v>153</v>
      </c>
      <c r="C52" s="43" t="str">
        <f>TEXT('SCOUT &amp; LOGISTICS'!F1,"0,0")</f>
        <v>35_342_RED_PAR_E2025</v>
      </c>
      <c r="F52" s="45" t="str">
        <f>""""&amp;B52&amp;"""" &amp; " : " &amp;C52</f>
        <v>"result" : 35_342_RED_PAR_E2025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E342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02/04</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Partizan Mozzart Bet Belgrade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MOSIC</v>
      </c>
      <c r="M8" s="206"/>
      <c r="N8" s="206"/>
      <c r="O8" s="206"/>
      <c r="P8" s="206"/>
      <c r="Q8" s="206" t="str">
        <f>IF('SCOUT &amp; LOGISTICS'!D9="","",'SCOUT &amp; LOGISTICS'!D9)</f>
        <v>BOJANA KRALJEVIC</v>
      </c>
      <c r="R8" s="206"/>
      <c r="S8" s="206"/>
      <c r="T8" s="206"/>
      <c r="U8" s="206"/>
      <c r="V8" s="206" t="str">
        <f>IF('SCOUT &amp; LOGISTICS'!D10="","",'SCOUT &amp; LOGISTICS'!D10)</f>
        <v>JELENA BOGUCANIN</v>
      </c>
      <c r="W8" s="206"/>
      <c r="X8" s="206"/>
      <c r="Y8" s="206"/>
      <c r="Z8" s="206"/>
      <c r="AA8" s="206" t="str">
        <f>IF('SCOUT &amp; LOGISTICS'!D11="","",'SCOUT &amp; LOGISTICS'!D11)</f>
        <v>JOVANA DOJCINOVIC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594</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8.4175084175084174E-3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2</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1</v>
      </c>
      <c r="I22" s="197"/>
      <c r="J22" s="197"/>
      <c r="K22" s="197"/>
      <c r="L22" s="197"/>
      <c r="M22" s="197"/>
      <c r="N22" s="197">
        <f>'SCOUT &amp; LOGISTICS'!AG19</f>
        <v>1</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4</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1</v>
      </c>
      <c r="C27" s="197"/>
      <c r="D27" s="197"/>
      <c r="E27" s="197"/>
      <c r="F27" s="197"/>
      <c r="G27" s="197">
        <f>'SCOUT &amp; LOGISTICS'!AC22</f>
        <v>2</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foul assigned to Calathes is a misclick. The technical on Kalinic may be a misunderstanding with the referees. But these two actions can influence a game. In the first case, click on the assist from the play suggestion. In the second case, you must keep in mind that during an interval all players count as players on the court. I can’t review the situation and I don’t know what happened, but if you see that only one player is protesting, the technical will most likely be on that player. A technical on the bench would occur if an assistant coach, a follower, or several players protest at the same time.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20.841750841750841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6720B89D-C796-4052-9C99-44F5FB9E1DD4}"/>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2026-04-03T14:41:30Z</cp:lastPrinted>
  <dcterms:created xsi:type="dcterms:W3CDTF">2023-09-19T19:50:35Z</dcterms:created>
  <dcterms:modified xsi:type="dcterms:W3CDTF">2026-04-03T14:43:31Z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