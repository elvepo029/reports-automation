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2" documentId="8_{09488111-5CD8-45CA-958D-7179DBC74A36}" xr6:coauthVersionLast="47" xr6:coauthVersionMax="47" xr10:uidLastSave="{5D1EE069-625C-4D5B-A84F-C3061CA1EE1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<sst xmlns="http://schemas.openxmlformats.org/spreadsheetml/2006/main" count="3278" uniqueCount="763">
  <si>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</si>
  <si>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</si>
  <si>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</si>
  <si>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</si>
  <si>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</si>
  <si>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</si>
  <si>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</si>
  <si>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</si>
  <si>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</si>
  <si>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</si>
  <si>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</si>
  <si>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</si>
  <si>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</si>
  <si>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</si>
  <si>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</si>
  <si>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</si>
  <si>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</si>
  <si>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</si>
  <si>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</si>
  <si>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</si>
  <si>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</si>
  <si>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</si>
  <si>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</si>
  <si>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</si>
  <si>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</si>
  <si>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</si>
  <si>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</si>
  <si>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</si>
  <si>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</si>
  <si>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</si>
  <si>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</si>
  <si>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</si>
  <si>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</si>
  <si>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</si>
  <si>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</si>
  <si>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</si>
  <si>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</si>
  <si>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</si>
  <si>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</si>
  <si>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</si>
  <si>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</si>
  <si>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</si>
  <si>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</si>
  <si>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</si>
  <si>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</si>
  <si>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</si>
  <si>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</si>
  <si>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</si>
  <si>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</si>
  <si>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</si>
  <si>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</si>
  <si>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</si>
  <si>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</si>
  <si>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</si>
  <si>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</si>
  <si>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</si>
  <si>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</si>
  <si>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</si>
  <si>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</si>
  <si>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</si>
  <si>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</si>
  <si>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</si>
  <si>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</si>
  <si>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</si>
  <si>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</si>
  <si>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</si>
  <si>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</si>
  <si>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</si>
  <si>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</si>
  <si>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</si>
  <si>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</si>
  <si>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</si>
  <si>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</si>
  <si>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</si>
  <si>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</si>
  <si>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</si>
  <si>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</si>
  <si>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</si>
  <si>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</si>
  <si>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</si>
  <si>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</si>
  <si>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</si>
  <si>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</si>
  <si>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</si>
  <si>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</si>
  <si>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</si>
  <si>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</si>
  <si>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</si>
  <si>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</si>
  <si>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</si>
  <si>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</si>
  <si>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</si>
  <si>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</si>
  <si>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</si>
  <si>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</si>
  <si>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</si>
  <si>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</si>
  <si>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</si>
  <si>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</si>
  <si>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</si>
  <si>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</si>
  <si>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</si>
  <si>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</si>
  <si>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</si>
  <si>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</si>
  <si>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</si>
  <si>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</si>
  <si>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</si>
  <si>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</si>
  <si>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</si>
  <si>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</si>
  <si>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</si>
  <si>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</si>
  <si>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</si>
  <si>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</si>
  <si>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</si>
  <si>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</si>
  <si>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</si>
  <si>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</si>
  <si>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</si>
  <si>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</si>
  <si>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</si>
  <si>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</si>
  <si>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</si>
  <si>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</si>
  <si>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</si>
  <si>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</si>
  <si>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</si>
  <si>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</si>
  <si>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</si>
  <si>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</si>
  <si>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</si>
  <si>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</si>
  <si>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</si>
  <si>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</si>
  <si>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</si>
  <si>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</si>
  <si>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</si>
  <si>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</si>
  <si>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</si>
  <si>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</si>
  <si>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</si>
  <si>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</si>
  <si>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</si>
  <si>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</si>
  <si>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</si>
  <si>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</si>
  <si>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</si>
  <si>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</si>
  <si>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</si>
  <si>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</si>
  <si>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</si>
  <si>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</si>
  <si>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</si>
  <si>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</si>
  <si>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</si>
  <si>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</si>
  <si>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</si>
  <si>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</si>
  <si>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</si>
  <si>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</si>
  <si>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</si>
  <si>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</si>
  <si>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</si>
  <si>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</si>
  <si>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</si>
  <si>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</si>
  <si>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</si>
  <si>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</si>
  <si>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</si>
  <si>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</si>
  <si>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</si>
  <si>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</si>
  <si>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</si>
  <si>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</si>
  <si>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</si>
  <si>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</si>
  <si>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</si>
  <si>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</si>
  <si>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</si>
  <si>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</si>
  <si>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</si>
  <si>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</si>
  <si>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</si>
  <si>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</si>
  <si>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</si>
  <si>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</si>
  <si>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</si>
  <si>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</si>
  <si>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</si>
  <si>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</si>
  <si>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</si>
  <si>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</si>
  <si>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</si>
  <si>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</si>
  <si>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</si>
  <si>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</si>
  <si>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</si>
  <si>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</si>
  <si>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</si>
  <si>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</si>
  <si>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</si>
  <si>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</si>
  <si>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</si>
  <si>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</si>
  <si>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</si>
  <si>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</si>
  <si>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</si>
  <si>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</si>
  <si>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</si>
  <si>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</si>
  <si>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</si>
  <si>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</si>
  <si>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</si>
  <si>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</si>
  <si>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</si>
  <si>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</si>
  <si>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</si>
  <si>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</si>
  <si>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</si>
  <si>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</si>
  <si>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</si>
  <si>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</si>
  <si>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</si>
  <si>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</si>
  <si>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</si>
  <si>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</si>
  <si>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</si>
  <si>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</si>
  <si>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</si>
  <si>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</si>
  <si>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</si>
  <si>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</si>
  <si>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</si>
  <si>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</si>
  <si>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</si>
  <si>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</si>
  <si>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</si>
  <si>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</si>
  <si>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</si>
  <si>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</si>
  <si>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</si>
  <si>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</si>
  <si>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</si>
  <si>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</si>
  <si>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</si>
  <si>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</si>
  <si>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</si>
  <si>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</si>
  <si>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</si>
  <si>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</si>
  <si>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</si>
  <si>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</si>
  <si>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</si>
  <si>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</si>
  <si>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</si>
  <si>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</si>
  <si>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</si>
  <si>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</si>
  <si>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</si>
  <si>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</si>
  <si>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</si>
  <si>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</si>
  <si>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</si>
  <si>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</si>
  <si>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</si>
  <si>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</si>
  <si>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</si>
  <si>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</si>
  <si>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</si>
  <si>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</si>
  <si>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</si>
  <si>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</si>
  <si>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</si>
  <si>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</si>
  <si>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</si>
  <si>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</si>
  <si>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</si>
  <si>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</si>
  <si>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</si>
  <si>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</si>
  <si>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</si>
  <si>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</si>
  <si>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</si>
  <si>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</si>
  <si>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</si>
  <si>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</si>
  <si>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</si>
  <si>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</si>
  <si>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</si>
  <si>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</si>
  <si>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</si>
  <si>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</si>
  <si>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</si>
  <si>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</si>
  <si>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</si>
  <si>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</si>
  <si>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</si>
  <si>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</si>
  <si>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</si>
  <si>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</si>
  <si>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</si>
  <si>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</si>
  <si>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</si>
  <si>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</si>
  <si>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</si>
  <si>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</si>
  <si>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</si>
  <si>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</si>
  <si>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</si>
  <si>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</si>
  <si>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</si>
  <si>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</si>
  <si>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</si>
  <si>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</si>
  <si>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</si>
  <si>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</si>
  <si>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</si>
  <si>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</si>
  <si>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</si>
  <si>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</si>
  <si>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</si>
  <si>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</si>
  <si>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</si>
  <si>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</si>
  <si>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</si>
  <si>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</si>
  <si>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</si>
  <si>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</si>
  <si>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</si>
  <si>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</si>
  <si>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</si>
  <si>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</si>
  <si>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</si>
  <si>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</si>
  <si>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</si>
  <si>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</si>
  <si>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</si>
  <si>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</si>
  <si>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</si>
  <si>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</si>
  <si>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</si>
  <si>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</si>
  <si>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</si>
  <si>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</si>
  <si>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</si>
  <si>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</si>
  <si>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</si>
  <si>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</si>
  <si>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</si>
  <si>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</si>
  <si>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</si>
  <si>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</si>
  <si>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</si>
  <si>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</si>
  <si>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</si>
  <si>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</si>
  <si>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</si>
  <si>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</si>
  <si>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</si>
  <si>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</si>
  <si>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</si>
  <si>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</si>
  <si>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</si>
  <si>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</si>
  <si>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</si>
  <si>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</si>
  <si>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</si>
  <si>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</si>
  <si>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</si>
  <si>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</si>
  <si>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</si>
  <si>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</si>
  <si>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</si>
  <si>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</si>
  <si>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</si>
  <si>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</si>
  <si>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</si>
  <si>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</si>
  <si>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</si>
  <si>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</si>
  <si>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</si>
  <si>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</si>
  <si>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</si>
  <si>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</si>
  <si>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</si>
  <si>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</si>
  <si>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</si>
  <si>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</si>
  <si>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</si>
  <si>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</si>
  <si>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</si>
  <si>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</si>
  <si>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</si>
  <si>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</si>
  <si>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</si>
  <si>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</si>
  <si>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</si>
  <si>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</si>
  <si>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</si>
  <si>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</si>
  <si>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</si>
  <si>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</si>
  <si>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</si>
  <si>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</si>
  <si>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</si>
  <si>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</si>
  <si>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</si>
  <si>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</si>
  <si>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</si>
  <si>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</si>
  <si>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</si>
  <si>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</si>
  <si>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</si>
  <si>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</si>
  <si>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</si>
  <si>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</si>
  <si>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</si>
  <si>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</si>
  <si>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</si>
  <si>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</si>
  <si>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</si>
  <si>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</si>
  <si>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</si>
  <si>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</si>
  <si>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</si>
  <si>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</si>
  <si>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</si>
  <si>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</si>
  <si>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</si>
  <si>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</si>
  <si>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</si>
  <si>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</si>
  <si>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</si>
  <si>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</si>
  <si>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</si>
  <si>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</si>
  <si>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</si>
  <si>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</si>
  <si>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</si>
  <si>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</si>
  <si>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</si>
  <si>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</si>
  <si>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</si>
  <si>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</si>
  <si>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</si>
  <si>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</si>
  <si>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</si>
  <si>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</si>
  <si>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</si>
  <si>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</si>
  <si>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</si>
  <si>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</si>
  <si>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</si>
  <si>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</si>
  <si>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</si>
  <si>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</si>
  <si>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</si>
  <si>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</si>
  <si>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</si>
  <si>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</si>
  <si>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</si>
  <si>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</si>
  <si>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</si>
  <si>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</si>
  <si>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</si>
  <si>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</si>
  <si>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</si>
  <si>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</si>
  <si>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</si>
  <si>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</si>
  <si>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</si>
  <si>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</si>
  <si>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</si>
  <si>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</si>
  <si>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</si>
  <si>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</si>
  <si>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</si>
  <si>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</si>
  <si>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</si>
  <si>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</si>
  <si>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</si>
  <si>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</si>
  <si>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</si>
  <si>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</si>
  <si>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</si>
  <si>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</si>
  <si>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</si>
  <si>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</si>
  <si>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</si>
  <si>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</si>
  <si>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</si>
  <si>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</si>
  <si>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</si>
  <si>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</si>
  <si>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</si>
  <si>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</si>
  <si>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</si>
  <si>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</si>
  <si>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</si>
  <si>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</si>
  <si>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</si>
  <si>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</si>
  <si>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</si>
  <si>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</si>
  <si>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</si>
  <si>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</si>
  <si>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</si>
  <si>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</si>
  <si>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</si>
  <si>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</si>
  <si>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</si>
  <si>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</si>
  <si>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</si>
  <si>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</si>
  <si>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</si>
  <si>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</si>
  <si>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</si>
  <si>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</si>
  <si>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</si>
  <si>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</si>
  <si>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</si>
  <si>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</si>
  <si>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</si>
  <si>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</si>
  <si>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</si>
  <si>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</si>
  <si>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</si>
  <si>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</si>
  <si>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</si>
  <si>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</si>
  <si>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</si>
  <si>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</si>
  <si>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</si>
  <si>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</si>
  <si>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</si>
  <si>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</si>
  <si>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</si>
  <si>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</si>
  <si>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</si>
  <si>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</si>
  <si>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</si>
  <si>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</si>
  <si>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</si>
  <si>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</si>
  <si>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</si>
  <si>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</si>
  <si>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</si>
  <si>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</si>
  <si>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</si>
  <si>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</si>
  <si>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</si>
  <si>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</si>
  <si>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</si>
  <si>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</si>
  <si>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</si>
  <si>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</si>
  <si>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</si>
  <si>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</si>
  <si>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</si>
  <si>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</si>
  <si>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</si>
  <si>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</si>
  <si>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</si>
  <si>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</si>
  <si>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</si>
  <si>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</si>
  <si>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</si>
  <si>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</si>
  <si>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</si>
  <si>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</si>
  <si>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</si>
  <si>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</si>
  <si>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</si>
  <si>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</si>
  <si>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</si>
  <si>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</si>
  <si>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</si>
  <si>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</si>
  <si>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</si>
  <si>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</si>
  <si>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</si>
  <si>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</si>
  <si>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</si>
  <si>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</si>
  <si>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</si>
  <si>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</si>
  <si>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</si>
  <si>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</si>
  <si>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</si>
  <si>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</si>
  <si>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</si>
  <si>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</si>
  <si>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</si>
  <si>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</si>
  <si>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</si>
  <si>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</si>
  <si>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</si>
  <si>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</si>
  <si>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</si>
  <si>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</si>
  <si>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</si>
  <si>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</si>
  <si>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</si>
  <si>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</si>
  <si>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</si>
  <si>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</si>
  <si>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</si>
  <si>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</si>
  <si>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</si>
  <si>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</si>
  <si>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</si>
  <si>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</si>
  <si>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</si>
  <si>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</si>
  <si>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</si>
  <si>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</si>
  <si>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</si>
  <si>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</si>
  <si>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</si>
  <si>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</si>
  <si>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</si>
  <si>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</si>
  <si>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</si>
  <si>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</si>
  <si>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</si>
  <si>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</si>
  <si>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</si>
  <si>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</si>
  <si>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</si>
  <si>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</si>
  <si>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</si>
  <si>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</si>
  <si>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</si>
  <si>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</si>
  <si>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</si>
  <si>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</si>
  <si>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</si>
  <si>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</si>
  <si>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</si>
  <si>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</si>
  <si>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</si>
  <si>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</si>
  <si>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</si>
  <si>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</si>
  <si>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</si>
  <si>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</si>
  <si>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</si>
  <si>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</si>
  <si>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</si>
  <si>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</si>
  <si>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</si>
  <si>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</si>
  <si>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</si>
  <si>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</si>
  <si>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</si>
  <si>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</si>
  <si>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</si>
  <si>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</si>
  <si>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</si>
  <si>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</si>
  <si>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</si>
  <si>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</si>
  <si>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</si>
  <si>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</si>
  <si>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</si>
  <si>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</si>
  <si>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</si>
  <si>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</si>
  <si>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</si>
  <si>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</si>
  <si>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</si>
  <si>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</si>
  <si>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</si>
  <si>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</si>
  <si>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</si>
  <si>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</si>
  <si>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</si>
  <si>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</si>
  <si>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</si>
  <si>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</si>
  <si>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</si>
  <si>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</si>
  <si>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</si>
  <si>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</si>
  <si>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</si>
  <si>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</si>
  <si>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</si>
  <si>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</si>
  <si>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</si>
  <si>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</si>
  <si>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</si>
  <si>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</si>
  <si>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</si>
  <si>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</si>
  <si>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</si>
  <si>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</si>
  <si>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</si>
  <si>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</si>
  <si>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</si>
  <si>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</si>
  <si>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</si>
  <si>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</si>
  <si>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</si>
  <si>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</si>
  <si>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</si>
  <si>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</si>
  <si>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</si>
  <si>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</si>
  <si>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</si>
  <si>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</si>
  <si>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</si>
  <si>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</si>
  <si>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</si>
  <si>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</si>
  <si>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</si>
  <si>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</si>
  <si>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</si>
  <si>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</si>
  <si>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</si>
  <si>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</si>
  <si>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</si>
  <si>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</si>
  <si>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</si>
  <si>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</si>
  <si>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</si>
  <si>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</si>
  <si>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</si>
  <si>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</si>
  <si>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</si>
  <si>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</si>
  <si>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</si>
  <si>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</si>
  <si>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</si>
  <si>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</si>
  <si>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</si>
  <si>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</si>
  <si>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</si>
  <si>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</si>
  <si>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</si>
  <si>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</si>
  <si>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</si>
  <si>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</si>
  <si>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</si>
  <si>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</si>
  <si>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</si>
  <si>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</si>
  <si>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</si>
  <si>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</si>
  <si>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</si>
  <si>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KONSTANTINOS KRANIOTIS</t>
  </si>
  <si>
    <t>ISKREN IVANOV</t>
  </si>
  <si>
    <t>MONIKA NEDYALKOVA</t>
  </si>
  <si>
    <t>EVGENIA MALLOUCHOU</t>
  </si>
  <si>
    <t>VASILEIOS KARAGKIOULES</t>
  </si>
  <si>
    <t>05:58</t>
  </si>
  <si>
    <t>01:45</t>
  </si>
  <si>
    <t>07:52</t>
  </si>
  <si>
    <t>06:05</t>
  </si>
  <si>
    <t>06:27</t>
  </si>
  <si>
    <t>It was a tough match, with a very close score. Despite the mistakes with the substitutions time, which we had to correct after the game, your decisions during the play were generally very good. Good job!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</si>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</sst>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35_343_HTA_PAN_E2025</v>
      </c>
      <c r="G1" s="5"/>
      <c r="H1" s="5"/>
      <c r="I1" s="5"/>
      <c r="J1" s="8" t="s">
        <v>707</v>
      </c>
      <c r="K1" s="121" t="s">
        <v>762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46114.833333333336</v>
      </c>
      <c r="C3" s="157"/>
      <c r="D3" s="39">
        <v>529</v>
      </c>
      <c r="E3" s="29"/>
      <c r="F3" s="26">
        <f>SUBTOTAL(3,I17:I106)</f>
        <v>5</v>
      </c>
      <c r="G3" s="27">
        <f>IF(OR(D3="",D3=0),"",F3/D3)</f>
        <v>9.4517958412098299E-3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9.4517958412098299E-3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0.94517958412098302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7.9451795841209831</v>
      </c>
      <c r="N7" s="58"/>
      <c r="O7" s="2"/>
      <c r="P7" s="2"/>
      <c r="Q7" s="86">
        <f>SUM(R5,S5,AC16)</f>
        <v>7.9451795841209831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7.9451795841209831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343</v>
      </c>
      <c r="D17" s="32" t="s">
        <v>755</v>
      </c>
      <c r="E17" s="33">
        <v>1</v>
      </c>
      <c r="F17" s="36">
        <v>8</v>
      </c>
      <c r="G17" s="36">
        <v>3</v>
      </c>
      <c r="H17" s="38" t="str">
        <f>IF(I17="","",$I$14)</f>
        <v>SCOUTING</v>
      </c>
      <c r="I17" s="34">
        <v>55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343</v>
      </c>
      <c r="D18" s="32" t="s">
        <v>756</v>
      </c>
      <c r="E18" s="33">
        <v>1</v>
      </c>
      <c r="F18" s="36">
        <v>16</v>
      </c>
      <c r="G18" s="36">
        <v>17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343</v>
      </c>
      <c r="D19" s="32" t="s">
        <v>757</v>
      </c>
      <c r="E19" s="33">
        <v>3</v>
      </c>
      <c r="F19" s="36">
        <v>46</v>
      </c>
      <c r="G19" s="36">
        <v>52</v>
      </c>
      <c r="H19" s="38" t="str">
        <f t="shared" si="8"/>
        <v>SCOUTING</v>
      </c>
      <c r="I19" s="34">
        <v>311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343</v>
      </c>
      <c r="D20" s="32" t="s">
        <v>758</v>
      </c>
      <c r="E20" s="33">
        <v>3</v>
      </c>
      <c r="F20" s="36">
        <v>51</v>
      </c>
      <c r="G20" s="36">
        <v>58</v>
      </c>
      <c r="H20" s="38" t="str">
        <f t="shared" si="8"/>
        <v>SCOUTING</v>
      </c>
      <c r="I20" s="34">
        <v>329</v>
      </c>
      <c r="J20" s="13" t="s">
        <v>4</v>
      </c>
      <c r="K20" s="13" t="s">
        <v>63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343</v>
      </c>
      <c r="D21" s="32" t="s">
        <v>759</v>
      </c>
      <c r="E21" s="33">
        <v>4</v>
      </c>
      <c r="F21" s="36">
        <v>77</v>
      </c>
      <c r="G21" s="36">
        <v>80</v>
      </c>
      <c r="H21" s="38" t="str">
        <f t="shared" si="8"/>
        <v>SCOUTING</v>
      </c>
      <c r="I21" s="34">
        <v>443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>
        <v>2</v>
      </c>
      <c r="F22" s="36"/>
      <c r="G22" s="36"/>
      <c r="H22" s="38" t="str">
        <f t="shared" si="8"/>
        <v/>
      </c>
      <c r="I22" s="34"/>
      <c r="J22" s="13" t="s">
        <v>4</v>
      </c>
      <c r="K22" s="13" t="s">
        <v>61</v>
      </c>
      <c r="L22" s="13" t="s">
        <v>75</v>
      </c>
      <c r="M22" s="13" t="s">
        <v>78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>
        <v>2</v>
      </c>
      <c r="F23" s="36"/>
      <c r="G23" s="36"/>
      <c r="H23" s="38" t="str">
        <f t="shared" si="8"/>
        <v/>
      </c>
      <c r="I23" s="34"/>
      <c r="J23" s="13" t="s">
        <v>4</v>
      </c>
      <c r="K23" s="13" t="s">
        <v>61</v>
      </c>
      <c r="L23" s="13" t="s">
        <v>75</v>
      </c>
      <c r="M23" s="13" t="s">
        <v>78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2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REPORT_E2025343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"E2025343"</v>
      </c>
      <c r="F3" s="45" t="str">
        <f t="shared" ref="F3:F16" si="0">""""&amp;B3&amp;"""" &amp; " : " &amp;C3&amp;","</f>
        <v>"name" : "E2025343",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"E343"</v>
      </c>
      <c r="F4" s="45" t="str">
        <f t="shared" si="0"/>
        <v>"cod" : "E343",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343</v>
      </c>
      <c r="F6" s="45" t="str">
        <f t="shared" si="0"/>
        <v>"number" : 343,</v>
      </c>
    </row>
    <row r="7" spans="2:6" x14ac:dyDescent="0.25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"MONIKA NEDYALKOVA"</v>
      </c>
      <c r="F12" s="45" t="str">
        <f t="shared" si="0"/>
        <v>"Caller_2" : "MONIKA NEDYALKOVA",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529</v>
      </c>
      <c r="F25" s="45" t="str">
        <f t="shared" ref="F25:F48" si="1">""""&amp;C25&amp;"""" &amp; " : " &amp;D25&amp;","</f>
        <v>"total_actions" : 529,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 was a tough match, with a very close score. Despite the mistakes with the substitutions time, which we had to correct after the game, your decisions during the play were generally very good. Good job!"</v>
      </c>
      <c r="F51" s="45" t="str">
        <f>""""&amp;B51&amp;"""" &amp; " : " &amp;C51&amp;","</f>
        <v>"comments" : "It was a tough match, with a very close score. Despite the mistakes with the substitutions time, which we had to correct after the game, your decisions during the play were generally very good. Good job!",</v>
      </c>
    </row>
    <row r="52" spans="2:6" x14ac:dyDescent="0.25">
      <c r="B52" s="43" t="s">
        <v>153</v>
      </c>
      <c r="C52" s="43" t="str">
        <f>TEXT('SCOUT &amp; LOGISTICS'!F1,"0,0")</f>
        <v>35_343_HTA_PAN_E2025</v>
      </c>
      <c r="F52" s="45" t="str">
        <f>""""&amp;B52&amp;"""" &amp; " : " &amp;C52</f>
        <v>"result" : 35_343_HTA_PAN_E2025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E343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02/04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ISKREN IVANOV</v>
      </c>
      <c r="H8" s="206"/>
      <c r="I8" s="206"/>
      <c r="J8" s="206"/>
      <c r="K8" s="206"/>
      <c r="L8" s="206" t="str">
        <f>IF('SCOUT &amp; LOGISTICS'!D8="","",'SCOUT &amp; LOGISTICS'!D8)</f>
        <v>MONIKA NEDYALKOVA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529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9.4517958412098299E-3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It was a tough match, with a very close score. Despite the mistakes with the substitutions time, which we had to correct after the game, your decisions during the play were generally very good.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7.9451795841209831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738707-EAC6-4F04-88B1-649CBADD4DC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2026-04-02T19:55:43Z</cp:lastPrinted>
  <dcterms:created xsi:type="dcterms:W3CDTF">2023-09-19T19:50:35Z</dcterms:created>
  <dcterms:modified xsi:type="dcterms:W3CDTF">2026-04-02T19:55:47Z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