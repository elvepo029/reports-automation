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9AE104E4-8726-4247-9AF8-944206B36D83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<sst xmlns="http://schemas.openxmlformats.org/spreadsheetml/2006/main" count="3245" uniqueCount="758">
  <si>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</si>
  <si>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</si>
  <si>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</si>
  <si>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</si>
  <si>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</si>
  <si>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</si>
  <si>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</si>
  <si>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</si>
  <si>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</si>
  <si>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</si>
  <si>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</si>
  <si>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</si>
  <si>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</si>
  <si>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</si>
  <si>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</si>
  <si>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</si>
  <si>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</si>
  <si>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</si>
  <si>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</si>
  <si>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</si>
  <si>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</si>
  <si>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</si>
  <si>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</si>
  <si>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</si>
  <si>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</si>
  <si>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</si>
  <si>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</si>
  <si>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</si>
  <si>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</si>
  <si>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</si>
  <si>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</si>
  <si>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</si>
  <si>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</si>
  <si>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</si>
  <si>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</si>
  <si>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</si>
  <si>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</si>
  <si>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</si>
  <si>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</si>
  <si>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</si>
  <si>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</si>
  <si>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</si>
  <si>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</si>
  <si>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</si>
  <si>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</si>
  <si>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</si>
  <si>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</si>
  <si>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</si>
  <si>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</si>
  <si>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</si>
  <si>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</si>
  <si>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</si>
  <si>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</si>
  <si>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</si>
  <si>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</si>
  <si>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</si>
  <si>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</si>
  <si>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</si>
  <si>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</si>
  <si>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</si>
  <si>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</si>
  <si>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</si>
  <si>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</si>
  <si>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</si>
  <si>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</si>
  <si>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</si>
  <si>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</si>
  <si>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</si>
  <si>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</si>
  <si>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</si>
  <si>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</si>
  <si>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</si>
  <si>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</si>
  <si>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</si>
  <si>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</si>
  <si>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</si>
  <si>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</si>
  <si>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</si>
  <si>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</si>
  <si>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</si>
  <si>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</si>
  <si>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</si>
  <si>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</si>
  <si>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</si>
  <si>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</si>
  <si>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</si>
  <si>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</si>
  <si>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</si>
  <si>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</si>
  <si>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</si>
  <si>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</si>
  <si>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</si>
  <si>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</si>
  <si>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</si>
  <si>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</si>
  <si>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</si>
  <si>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</si>
  <si>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</si>
  <si>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</si>
  <si>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</si>
  <si>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</si>
  <si>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</si>
  <si>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</si>
  <si>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</si>
  <si>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</si>
  <si>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</si>
  <si>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</si>
  <si>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</si>
  <si>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</si>
  <si>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</si>
  <si>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</si>
  <si>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</si>
  <si>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</si>
  <si>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</si>
  <si>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</si>
  <si>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</si>
  <si>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</si>
  <si>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</si>
  <si>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</si>
  <si>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</si>
  <si>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</si>
  <si>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</si>
  <si>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</si>
  <si>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</si>
  <si>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</si>
  <si>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</si>
  <si>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</si>
  <si>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</si>
  <si>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</si>
  <si>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</si>
  <si>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</si>
  <si>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</si>
  <si>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</si>
  <si>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</si>
  <si>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</si>
  <si>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</si>
  <si>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</si>
  <si>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</si>
  <si>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</si>
  <si>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</si>
  <si>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</si>
  <si>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</si>
  <si>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</si>
  <si>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</si>
  <si>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</si>
  <si>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</si>
  <si>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</si>
  <si>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</si>
  <si>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</si>
  <si>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</si>
  <si>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</si>
  <si>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</si>
  <si>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</si>
  <si>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</si>
  <si>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</si>
  <si>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</si>
  <si>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</si>
  <si>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</si>
  <si>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</si>
  <si>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</si>
  <si>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</si>
  <si>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</si>
  <si>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</si>
  <si>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</si>
  <si>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</si>
  <si>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</si>
  <si>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</si>
  <si>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</si>
  <si>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</si>
  <si>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</si>
  <si>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</si>
  <si>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</si>
  <si>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</si>
  <si>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</si>
  <si>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</si>
  <si>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</si>
  <si>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</si>
  <si>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</si>
  <si>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</si>
  <si>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</si>
  <si>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</si>
  <si>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</si>
  <si>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</si>
  <si>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</si>
  <si>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</si>
  <si>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</si>
  <si>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</si>
  <si>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</si>
  <si>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</si>
  <si>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</si>
  <si>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</si>
  <si>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</si>
  <si>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</si>
  <si>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</si>
  <si>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</si>
  <si>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</si>
  <si>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</si>
  <si>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</si>
  <si>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</si>
  <si>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</si>
  <si>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</si>
  <si>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</si>
  <si>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</si>
  <si>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</si>
  <si>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</si>
  <si>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</si>
  <si>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</si>
  <si>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</si>
  <si>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</si>
  <si>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</si>
  <si>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</si>
  <si>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</si>
  <si>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</si>
  <si>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</si>
  <si>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</si>
  <si>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</si>
  <si>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</si>
  <si>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</si>
  <si>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</si>
  <si>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</si>
  <si>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</si>
  <si>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</si>
  <si>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</si>
  <si>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</si>
  <si>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</si>
  <si>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</si>
  <si>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</si>
  <si>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</si>
  <si>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</si>
  <si>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</si>
  <si>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</si>
  <si>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</si>
  <si>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</si>
  <si>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</si>
  <si>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</si>
  <si>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</si>
  <si>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</si>
  <si>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</si>
  <si>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</si>
  <si>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</si>
  <si>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</si>
  <si>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</si>
  <si>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</si>
  <si>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</si>
  <si>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</si>
  <si>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</si>
  <si>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</si>
  <si>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</si>
  <si>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</si>
  <si>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</si>
  <si>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</si>
  <si>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</si>
  <si>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</si>
  <si>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</si>
  <si>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</si>
  <si>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</si>
  <si>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</si>
  <si>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</si>
  <si>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</si>
  <si>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</si>
  <si>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</si>
  <si>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</si>
  <si>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</si>
  <si>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</si>
  <si>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</si>
  <si>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</si>
  <si>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</si>
  <si>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</si>
  <si>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</si>
  <si>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</si>
  <si>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</si>
  <si>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</si>
  <si>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</si>
  <si>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</si>
  <si>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</si>
  <si>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</si>
  <si>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</si>
  <si>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</si>
  <si>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</si>
  <si>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</si>
  <si>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</si>
  <si>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</si>
  <si>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</si>
  <si>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</si>
  <si>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</si>
  <si>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</si>
  <si>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</si>
  <si>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</si>
  <si>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</si>
  <si>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</si>
  <si>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</si>
  <si>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</si>
  <si>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</si>
  <si>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</si>
  <si>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</si>
  <si>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</si>
  <si>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</si>
  <si>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</si>
  <si>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</si>
  <si>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</si>
  <si>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</si>
  <si>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</si>
  <si>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</si>
  <si>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</si>
  <si>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</si>
  <si>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</si>
  <si>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</si>
  <si>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</si>
  <si>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</si>
  <si>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</si>
  <si>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</si>
  <si>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</si>
  <si>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</si>
  <si>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</si>
  <si>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</si>
  <si>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</si>
  <si>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</si>
  <si>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</si>
  <si>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</si>
  <si>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</si>
  <si>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</si>
  <si>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</si>
  <si>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</si>
  <si>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</si>
  <si>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</si>
  <si>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</si>
  <si>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</si>
  <si>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</si>
  <si>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</si>
  <si>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</si>
  <si>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</si>
  <si>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</si>
  <si>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</si>
  <si>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</si>
  <si>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</si>
  <si>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</si>
  <si>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</si>
  <si>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</si>
  <si>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</si>
  <si>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</si>
  <si>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</si>
  <si>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</si>
  <si>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</si>
  <si>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</si>
  <si>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</si>
  <si>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</si>
  <si>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</si>
  <si>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</si>
  <si>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</si>
  <si>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</si>
  <si>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</si>
  <si>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</si>
  <si>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</si>
  <si>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</si>
  <si>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</si>
  <si>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</si>
  <si>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</si>
  <si>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</si>
  <si>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</si>
  <si>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</si>
  <si>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</si>
  <si>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</si>
  <si>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</si>
  <si>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</si>
  <si>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</si>
  <si>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</si>
  <si>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</si>
  <si>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</si>
  <si>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</si>
  <si>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</si>
  <si>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</si>
  <si>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</si>
  <si>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</si>
  <si>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</si>
  <si>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</si>
  <si>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</si>
  <si>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</si>
  <si>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</si>
  <si>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</si>
  <si>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</si>
  <si>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</si>
  <si>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</si>
  <si>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</si>
  <si>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</si>
  <si>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</si>
  <si>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</si>
  <si>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</si>
  <si>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</si>
  <si>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</si>
  <si>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</si>
  <si>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</si>
  <si>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</si>
  <si>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</si>
  <si>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</si>
  <si>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</si>
  <si>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</si>
  <si>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</si>
  <si>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</si>
  <si>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</si>
  <si>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</si>
  <si>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</si>
  <si>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</si>
  <si>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</si>
  <si>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</si>
  <si>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</si>
  <si>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</si>
  <si>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</si>
  <si>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</si>
  <si>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</si>
  <si>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</si>
  <si>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</si>
  <si>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</si>
  <si>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</si>
  <si>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</si>
  <si>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</si>
  <si>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</si>
  <si>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</si>
  <si>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</si>
  <si>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</si>
  <si>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</si>
  <si>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</si>
  <si>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</si>
  <si>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</si>
  <si>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</si>
  <si>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</si>
  <si>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</si>
  <si>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</si>
  <si>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</si>
  <si>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</si>
  <si>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</si>
  <si>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</si>
  <si>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</si>
  <si>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</si>
  <si>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</si>
  <si>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</si>
  <si>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</si>
  <si>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</si>
  <si>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</si>
  <si>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</si>
  <si>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</si>
  <si>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</si>
  <si>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</si>
  <si>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</si>
  <si>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</si>
  <si>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</si>
  <si>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</si>
  <si>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</si>
  <si>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</si>
  <si>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</si>
  <si>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</si>
  <si>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</si>
  <si>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</si>
  <si>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</si>
  <si>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</si>
  <si>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</si>
  <si>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</si>
  <si>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</si>
  <si>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</si>
  <si>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</si>
  <si>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</si>
  <si>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</si>
  <si>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</si>
  <si>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</si>
  <si>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</si>
  <si>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</si>
  <si>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</si>
  <si>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</si>
  <si>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</si>
  <si>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</si>
  <si>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</si>
  <si>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</si>
  <si>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</si>
  <si>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</si>
  <si>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</si>
  <si>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</si>
  <si>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</si>
  <si>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</si>
  <si>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</si>
  <si>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</si>
  <si>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</si>
  <si>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</si>
  <si>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</si>
  <si>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</si>
  <si>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</si>
  <si>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</si>
  <si>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</si>
  <si>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</si>
  <si>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</si>
  <si>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</si>
  <si>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</si>
  <si>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</si>
  <si>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</si>
  <si>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</si>
  <si>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</si>
  <si>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</si>
  <si>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</si>
  <si>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</si>
  <si>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</si>
  <si>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</si>
  <si>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</si>
  <si>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</si>
  <si>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</si>
  <si>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</si>
  <si>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</si>
  <si>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</si>
  <si>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</si>
  <si>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</si>
  <si>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</si>
  <si>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</si>
  <si>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</si>
  <si>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</si>
  <si>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</si>
  <si>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</si>
  <si>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</si>
  <si>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</si>
  <si>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</si>
  <si>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</si>
  <si>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</si>
  <si>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</si>
  <si>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</si>
  <si>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</si>
  <si>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</si>
  <si>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</si>
  <si>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</si>
  <si>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</si>
  <si>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</si>
  <si>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</si>
  <si>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</si>
  <si>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</si>
  <si>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</si>
  <si>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</si>
  <si>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</si>
  <si>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</si>
  <si>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</si>
  <si>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</si>
  <si>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</si>
  <si>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</si>
  <si>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</si>
  <si>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</si>
  <si>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</si>
  <si>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</si>
  <si>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</si>
  <si>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</si>
  <si>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</si>
  <si>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</si>
  <si>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</si>
  <si>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</si>
  <si>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</si>
  <si>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</si>
  <si>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</si>
  <si>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</si>
  <si>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</si>
  <si>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</si>
  <si>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</si>
  <si>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</si>
  <si>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</si>
  <si>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</si>
  <si>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</si>
  <si>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</si>
  <si>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</si>
  <si>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</si>
  <si>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</si>
  <si>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</si>
  <si>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</si>
  <si>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</si>
  <si>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</si>
  <si>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</si>
  <si>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</si>
  <si>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</si>
  <si>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</si>
  <si>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</si>
  <si>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</si>
  <si>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</si>
  <si>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</si>
  <si>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</si>
  <si>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</si>
  <si>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</si>
  <si>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</si>
  <si>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</si>
  <si>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</si>
  <si>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</si>
  <si>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</si>
  <si>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</si>
  <si>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</si>
  <si>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</si>
  <si>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</si>
  <si>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</si>
  <si>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</si>
  <si>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</si>
  <si>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</si>
  <si>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</si>
  <si>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</si>
  <si>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</si>
  <si>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</si>
  <si>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</si>
  <si>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</si>
  <si>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</si>
  <si>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</si>
  <si>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</si>
  <si>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</si>
  <si>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</si>
  <si>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</si>
  <si>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</si>
  <si>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</si>
  <si>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</si>
  <si>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</si>
  <si>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</si>
  <si>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</si>
  <si>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</si>
  <si>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</si>
  <si>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</si>
  <si>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</si>
  <si>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</si>
  <si>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</si>
  <si>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</si>
  <si>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</si>
  <si>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</si>
  <si>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</si>
  <si>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</si>
  <si>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</si>
  <si>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</si>
  <si>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</si>
  <si>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</si>
  <si>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</si>
  <si>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</si>
  <si>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</si>
  <si>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</si>
  <si>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</si>
  <si>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</si>
  <si>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</si>
  <si>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</si>
  <si>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</si>
  <si>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</si>
  <si>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</si>
  <si>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</si>
  <si>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</si>
  <si>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</si>
  <si>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</si>
  <si>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</si>
  <si>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</si>
  <si>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</si>
  <si>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</si>
  <si>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</si>
  <si>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</si>
  <si>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</si>
  <si>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</si>
  <si>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</si>
  <si>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</si>
  <si>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</si>
  <si>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</si>
  <si>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</si>
  <si>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</si>
  <si>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</si>
  <si>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</si>
  <si>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</si>
  <si>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</si>
  <si>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</si>
  <si>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</si>
  <si>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</si>
  <si>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</si>
  <si>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</si>
  <si>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</si>
  <si>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</si>
  <si>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</si>
  <si>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</si>
  <si>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</si>
  <si>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</si>
  <si>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</si>
  <si>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</si>
  <si>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</si>
  <si>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</si>
  <si>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</si>
  <si>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</si>
  <si>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</si>
  <si>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</si>
  <si>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</si>
  <si>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</si>
  <si>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</si>
  <si>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</si>
  <si>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</si>
  <si>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</si>
  <si>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</si>
  <si>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</si>
  <si>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</si>
  <si>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</si>
  <si>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</si>
  <si>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</si>
  <si>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</si>
  <si>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</si>
  <si>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</si>
  <si>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</si>
  <si>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</si>
  <si>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</si>
  <si>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</si>
  <si>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</si>
  <si>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</si>
  <si>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</si>
  <si>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</si>
  <si>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</si>
  <si>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</si>
  <si>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</si>
  <si>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</si>
  <si>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</si>
  <si>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</si>
  <si>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</si>
  <si>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</si>
  <si>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</si>
  <si>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</si>
  <si>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</si>
  <si>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</si>
  <si>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</si>
  <si>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</si>
  <si>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</si>
  <si>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</si>
  <si>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</si>
  <si>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</si>
  <si>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</si>
  <si>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</si>
  <si>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</si>
  <si>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</si>
  <si>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</si>
  <si>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</si>
  <si>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</si>
  <si>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</si>
  <si>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</si>
  <si>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</si>
  <si>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</si>
  <si>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</si>
  <si>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</si>
  <si>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</si>
  <si>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</si>
  <si>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</si>
  <si>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</si>
  <si>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</si>
  <si>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</si>
  <si>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</si>
  <si>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</si>
  <si>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</si>
  <si>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</si>
  <si>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</si>
  <si>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</si>
  <si>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</si>
  <si>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</si>
  <si>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</si>
  <si>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</si>
  <si>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</si>
  <si>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</si>
  <si>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</si>
  <si>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</si>
  <si>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</si>
  <si>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Perfection. Not easy to do, so my deepest congratulations. Also, thanks for sharing videos on tricky decissions ;)</t>
  </si>
  <si>
    <t>GIEDRE GARCINSKAITE</t>
  </si>
  <si>
    <t>RASA KIZIKAITE</t>
  </si>
  <si>
    <t>AUKSE ZAKRIENE</t>
  </si>
  <si>
    <t>VYTAUTAS RUDZEVICIUS</t>
  </si>
  <si>
    <t>MINDAUGAS RUDZEVICIUS</t>
  </si>
  <si>
    <t>NERIJUS MAINONIS</t>
  </si>
  <si>
    <t>OSCAR CUESTA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</si>
</sst>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35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35_345_ZAL_BAR_E2025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345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46114.833333333336</v>
      </c>
      <c r="C3" s="157"/>
      <c r="D3" s="39">
        <v>514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Zalgiris Kaunas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ZAL</v>
      </c>
      <c r="I4" s="5"/>
      <c r="J4" s="119" t="s">
        <v>714</v>
      </c>
      <c r="K4" s="54" t="s">
        <v>743</v>
      </c>
      <c r="L4" s="5"/>
      <c r="M4" s="167" t="s">
        <v>750</v>
      </c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FC Barcelona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BAR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345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757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REPORT_E2025345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"E2025345"</v>
      </c>
      <c r="F3" s="45" t="str">
        <f t="shared" ref="F3:F16" si="0">""""&amp;B3&amp;"""" &amp; " : " &amp;C3&amp;","</f>
        <v>"name" : "E2025345",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"E345"</v>
      </c>
      <c r="F4" s="45" t="str">
        <f t="shared" si="0"/>
        <v>"cod" : "E345",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345</v>
      </c>
      <c r="F6" s="45" t="str">
        <f t="shared" si="0"/>
        <v>"number" : 345,</v>
      </c>
    </row>
    <row r="7" spans="2:6" x14ac:dyDescent="0.25">
      <c r="B7" s="43" t="s">
        <v>116</v>
      </c>
      <c r="C7" s="43" t="str">
        <f ca="1">""""&amp;TEXT('SCOUT &amp; LOGISTICS'!B3,"dd/mm/aaaa")&amp;""""</f>
        <v>"02/04/2026"</v>
      </c>
      <c r="F7" s="45" t="str">
        <f t="shared" ca="1" si="0"/>
        <v>"date" : "02/04/2026",</v>
      </c>
    </row>
    <row r="8" spans="2:6" x14ac:dyDescent="0.25">
      <c r="B8" s="43" t="s">
        <v>125</v>
      </c>
      <c r="C8" s="43" t="str">
        <f>""""&amp;'SCOUT &amp; LOGISTICS'!D4 &amp;""""</f>
        <v>"Zalgiris Kaunas"</v>
      </c>
      <c r="F8" s="45" t="str">
        <f t="shared" si="0"/>
        <v>"home_team" : "Zalgiris Kaunas",</v>
      </c>
    </row>
    <row r="9" spans="2:6" x14ac:dyDescent="0.25">
      <c r="B9" s="43" t="s">
        <v>126</v>
      </c>
      <c r="C9" s="43" t="str">
        <f>""""&amp;'SCOUT &amp; LOGISTICS'!D5&amp;""""</f>
        <v>"FC Barcelona"</v>
      </c>
      <c r="F9" s="45" t="str">
        <f t="shared" si="0"/>
        <v>"away_team" : "FC Barcelona",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"GIEDRE GARCINSKAITE"</v>
      </c>
      <c r="F10" s="45" t="str">
        <f t="shared" si="0"/>
        <v>"Data_entry" : "GIEDRE GARCINSKAITE",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"RASA KIZIKAITE"</v>
      </c>
      <c r="F11" s="45" t="str">
        <f t="shared" si="0"/>
        <v>"Caller_1" : "RASA KIZIKAITE",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"AUKSE ZAKRIENE"</v>
      </c>
      <c r="F12" s="45" t="str">
        <f t="shared" si="0"/>
        <v>"Caller_2" : "AUKSE ZAKRIENE",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"VYTAUTAS RUDZEVICIUS"</v>
      </c>
      <c r="F13" s="45" t="str">
        <f t="shared" si="0"/>
        <v>"Timerkeeper" : "VYTAUTAS RUDZEVICIUS",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"MINDAUGAS RUDZEVICIUS"</v>
      </c>
      <c r="F14" s="45" t="str">
        <f t="shared" si="0"/>
        <v>"Shotclock" : "MINDAUGAS RUDZEVICIUS",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"NERIJUS MAINONIS"</v>
      </c>
      <c r="F15" s="45" t="str">
        <f t="shared" si="0"/>
        <v>"IRS" : "NERIJUS MAINONIS",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514</v>
      </c>
      <c r="F25" s="45" t="str">
        <f t="shared" ref="F25:F48" si="1">""""&amp;C25&amp;"""" &amp; " : " &amp;D25&amp;","</f>
        <v>"total_actions" : 514,</v>
      </c>
    </row>
    <row r="26" spans="2:6" x14ac:dyDescent="0.25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5">
      <c r="C27" s="43" t="s">
        <v>133</v>
      </c>
      <c r="D27" s="43" t="str">
        <f>""""&amp;IF(OR(D25="",D25=0),"",TEXT(D26/D25,"0,0%"))&amp;""""</f>
        <v>"0,0%"</v>
      </c>
      <c r="F27" s="45" t="str">
        <f t="shared" si="1"/>
        <v>"%_corrections" : "0,0%",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"Perfection. Not easy to do, so my deepest congratulations. Also, thanks for sharing videos on tricky decissions ;)"</v>
      </c>
      <c r="F51" s="45" t="str">
        <f>""""&amp;B51&amp;"""" &amp; " : " &amp;C51&amp;","</f>
        <v>"comments" : "Perfection. Not easy to do, so my deepest congratulations. Also, thanks for sharing videos on tricky decissions ;)",</v>
      </c>
    </row>
    <row r="52" spans="2:6" x14ac:dyDescent="0.25">
      <c r="B52" s="43" t="s">
        <v>153</v>
      </c>
      <c r="C52" s="43" t="str">
        <f>TEXT('SCOUT &amp; LOGISTICS'!F1,"0,0")</f>
        <v>35_345_ZAL_BAR_E2025</v>
      </c>
      <c r="F52" s="45" t="str">
        <f>""""&amp;B52&amp;"""" &amp; " : " &amp;C52</f>
        <v>"result" : 35_345_ZAL_BAR_E2025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E345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02/04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Zalgiris Kaunas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Fc Barcelona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GIEDRE GARCINSKAITE</v>
      </c>
      <c r="C8" s="206"/>
      <c r="D8" s="206"/>
      <c r="E8" s="206"/>
      <c r="F8" s="206"/>
      <c r="G8" s="206" t="str">
        <f>IF('SCOUT &amp; LOGISTICS'!D7="","",'SCOUT &amp; LOGISTICS'!D7)</f>
        <v>RASA KIZIKAITE</v>
      </c>
      <c r="H8" s="206"/>
      <c r="I8" s="206"/>
      <c r="J8" s="206"/>
      <c r="K8" s="206"/>
      <c r="L8" s="206" t="str">
        <f>IF('SCOUT &amp; LOGISTICS'!D8="","",'SCOUT &amp; LOGISTICS'!D8)</f>
        <v>AUKSE ZAKRIENE</v>
      </c>
      <c r="M8" s="206"/>
      <c r="N8" s="206"/>
      <c r="O8" s="206"/>
      <c r="P8" s="206"/>
      <c r="Q8" s="206" t="str">
        <f>IF('SCOUT &amp; LOGISTICS'!D9="","",'SCOUT &amp; LOGISTICS'!D9)</f>
        <v>VYTAUTAS RUDZEVICIUS</v>
      </c>
      <c r="R8" s="206"/>
      <c r="S8" s="206"/>
      <c r="T8" s="206"/>
      <c r="U8" s="206"/>
      <c r="V8" s="206" t="str">
        <f>IF('SCOUT &amp; LOGISTICS'!D10="","",'SCOUT &amp; LOGISTICS'!D10)</f>
        <v>MINDAUGAS RUDZEVICIUS</v>
      </c>
      <c r="W8" s="206"/>
      <c r="X8" s="206"/>
      <c r="Y8" s="206"/>
      <c r="Z8" s="206"/>
      <c r="AA8" s="206" t="str">
        <f>IF('SCOUT &amp; LOGISTICS'!D11="","",'SCOUT &amp; LOGISTICS'!D11)</f>
        <v>NERIJUS MAINONIS</v>
      </c>
      <c r="AB8" s="206"/>
      <c r="AC8" s="206"/>
      <c r="AD8" s="206"/>
      <c r="AE8" s="206"/>
      <c r="AF8" s="48"/>
    </row>
    <row r="9" spans="1:33" ht="13.2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2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2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514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0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2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2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2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Perfection. Not easy to do, so my deepest congratulations. Also, thanks for sharing videos on tricky decissions ;)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6CE3F34-4FCA-4BB5-B62E-19873CA91EB5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2026-04-02T18:52:00Z</cp:lastPrinted>
  <dcterms:created xsi:type="dcterms:W3CDTF">2023-09-19T19:50:35Z</dcterms:created>
  <dcterms:modified xsi:type="dcterms:W3CDTF">2026-04-02T18:52:06Z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