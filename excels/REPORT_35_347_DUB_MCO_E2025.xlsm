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33" documentId="8_{81B6EB72-3874-49DB-BF09-896E39791C98}" xr6:coauthVersionLast="47" xr6:coauthVersionMax="47" xr10:uidLastSave="{A2E9F03B-7D6F-4B84-B236-90C00284641F}"/>
  <bookViews>
    <workbookView xWindow="-28920" yWindow="-207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<sst xmlns="http://schemas.openxmlformats.org/spreadsheetml/2006/main" count="3255" uniqueCount="760">
  <si>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</si>
  <si>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</si>
  <si>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</si>
  <si>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</si>
  <si>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</si>
  <si>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</si>
  <si>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</si>
  <si>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</si>
  <si>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</si>
  <si>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</si>
  <si>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</si>
  <si>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</si>
  <si>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</si>
  <si>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</si>
  <si>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</si>
  <si>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</si>
  <si>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</si>
  <si>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</si>
  <si>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</si>
  <si>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</si>
  <si>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</si>
  <si>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</si>
  <si>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</si>
  <si>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</si>
  <si>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</si>
  <si>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</si>
  <si>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</si>
  <si>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</si>
  <si>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</si>
  <si>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</si>
  <si>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</si>
  <si>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</si>
  <si>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</si>
  <si>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</si>
  <si>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</si>
  <si>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</si>
  <si>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</si>
  <si>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</si>
  <si>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</si>
  <si>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</si>
  <si>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</si>
  <si>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</si>
  <si>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</si>
  <si>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</si>
  <si>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</si>
  <si>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</si>
  <si>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</si>
  <si>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</si>
  <si>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</si>
  <si>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</si>
  <si>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</si>
  <si>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</si>
  <si>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</si>
  <si>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</si>
  <si>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</si>
  <si>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</si>
  <si>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</si>
  <si>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</si>
  <si>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</si>
  <si>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</si>
  <si>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</si>
  <si>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</si>
  <si>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</si>
  <si>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</si>
  <si>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</si>
  <si>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</si>
  <si>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</si>
  <si>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</si>
  <si>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</si>
  <si>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</si>
  <si>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</si>
  <si>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</si>
  <si>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</si>
  <si>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</si>
  <si>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</si>
  <si>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</si>
  <si>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</si>
  <si>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</si>
  <si>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</si>
  <si>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</si>
  <si>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</si>
  <si>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</si>
  <si>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</si>
  <si>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</si>
  <si>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</si>
  <si>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</si>
  <si>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</si>
  <si>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</si>
  <si>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</si>
  <si>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</si>
  <si>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</si>
  <si>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</si>
  <si>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</si>
  <si>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</si>
  <si>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</si>
  <si>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</si>
  <si>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</si>
  <si>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</si>
  <si>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</si>
  <si>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</si>
  <si>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</si>
  <si>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</si>
  <si>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</si>
  <si>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</si>
  <si>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</si>
  <si>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</si>
  <si>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</si>
  <si>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</si>
  <si>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</si>
  <si>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</si>
  <si>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</si>
  <si>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</si>
  <si>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</si>
  <si>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</si>
  <si>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</si>
  <si>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</si>
  <si>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</si>
  <si>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</si>
  <si>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</si>
  <si>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</si>
  <si>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</si>
  <si>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</si>
  <si>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</si>
  <si>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</si>
  <si>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</si>
  <si>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</si>
  <si>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</si>
  <si>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</si>
  <si>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</si>
  <si>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</si>
  <si>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</si>
  <si>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</si>
  <si>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</si>
  <si>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</si>
  <si>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</si>
  <si>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</si>
  <si>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</si>
  <si>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</si>
  <si>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</si>
  <si>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</si>
  <si>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</si>
  <si>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</si>
  <si>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</si>
  <si>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</si>
  <si>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</si>
  <si>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</si>
  <si>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</si>
  <si>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</si>
  <si>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</si>
  <si>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</si>
  <si>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</si>
  <si>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</si>
  <si>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</si>
  <si>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</si>
  <si>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</si>
  <si>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</si>
  <si>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</si>
  <si>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</si>
  <si>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</si>
  <si>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</si>
  <si>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</si>
  <si>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</si>
  <si>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</si>
  <si>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</si>
  <si>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</si>
  <si>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</si>
  <si>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</si>
  <si>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</si>
  <si>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</si>
  <si>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</si>
  <si>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</si>
  <si>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</si>
  <si>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</si>
  <si>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</si>
  <si>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</si>
  <si>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</si>
  <si>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</si>
  <si>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</si>
  <si>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</si>
  <si>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</si>
  <si>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</si>
  <si>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</si>
  <si>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</si>
  <si>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</si>
  <si>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</si>
  <si>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</si>
  <si>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</si>
  <si>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</si>
  <si>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</si>
  <si>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</si>
  <si>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</si>
  <si>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</si>
  <si>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</si>
  <si>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</si>
  <si>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</si>
  <si>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</si>
  <si>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</si>
  <si>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</si>
  <si>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</si>
  <si>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</si>
  <si>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</si>
  <si>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</si>
  <si>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</si>
  <si>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</si>
  <si>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</si>
  <si>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</si>
  <si>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</si>
  <si>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</si>
  <si>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</si>
  <si>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</si>
  <si>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</si>
  <si>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</si>
  <si>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</si>
  <si>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</si>
  <si>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</si>
  <si>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</si>
  <si>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</si>
  <si>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</si>
  <si>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</si>
  <si>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</si>
  <si>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</si>
  <si>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</si>
  <si>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</si>
  <si>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</si>
  <si>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</si>
  <si>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</si>
  <si>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</si>
  <si>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</si>
  <si>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</si>
  <si>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</si>
  <si>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</si>
  <si>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</si>
  <si>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</si>
  <si>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</si>
  <si>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</si>
  <si>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</si>
  <si>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</si>
  <si>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</si>
  <si>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</si>
  <si>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</si>
  <si>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</si>
  <si>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</si>
  <si>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</si>
  <si>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</si>
  <si>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</si>
  <si>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</si>
  <si>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</si>
  <si>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</si>
  <si>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</si>
  <si>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</si>
  <si>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</si>
  <si>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</si>
  <si>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</si>
  <si>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</si>
  <si>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</si>
  <si>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</si>
  <si>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</si>
  <si>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</si>
  <si>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</si>
  <si>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</si>
  <si>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</si>
  <si>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</si>
  <si>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</si>
  <si>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</si>
  <si>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</si>
  <si>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</si>
  <si>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</si>
  <si>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</si>
  <si>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</si>
  <si>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</si>
  <si>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</si>
  <si>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</si>
  <si>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</si>
  <si>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</si>
  <si>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</si>
  <si>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</si>
  <si>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</si>
  <si>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</si>
  <si>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</si>
  <si>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</si>
  <si>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</si>
  <si>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</si>
  <si>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</si>
  <si>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</si>
  <si>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</si>
  <si>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</si>
  <si>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</si>
  <si>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</si>
  <si>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</si>
  <si>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</si>
  <si>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</si>
  <si>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</si>
  <si>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</si>
  <si>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</si>
  <si>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</si>
  <si>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</si>
  <si>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</si>
  <si>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</si>
  <si>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</si>
  <si>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</si>
  <si>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</si>
  <si>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</si>
  <si>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</si>
  <si>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</si>
  <si>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</si>
  <si>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</si>
  <si>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</si>
  <si>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</si>
  <si>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</si>
  <si>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</si>
  <si>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</si>
  <si>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</si>
  <si>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</si>
  <si>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</si>
  <si>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</si>
  <si>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</si>
  <si>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</si>
  <si>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</si>
  <si>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</si>
  <si>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</si>
  <si>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</si>
  <si>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</si>
  <si>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</si>
  <si>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</si>
  <si>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</si>
  <si>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</si>
  <si>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</si>
  <si>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</si>
  <si>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</si>
  <si>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</si>
  <si>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</si>
  <si>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</si>
  <si>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</si>
  <si>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</si>
  <si>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</si>
  <si>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</si>
  <si>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</si>
  <si>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</si>
  <si>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</si>
  <si>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</si>
  <si>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</si>
  <si>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</si>
  <si>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</si>
  <si>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</si>
  <si>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</si>
  <si>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</si>
  <si>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</si>
  <si>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</si>
  <si>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</si>
  <si>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</si>
  <si>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</si>
  <si>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</si>
  <si>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</si>
  <si>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</si>
  <si>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</si>
  <si>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</si>
  <si>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</si>
  <si>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</si>
  <si>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</si>
  <si>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</si>
  <si>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</si>
  <si>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</si>
  <si>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</si>
  <si>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</si>
  <si>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</si>
  <si>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</si>
  <si>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</si>
  <si>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</si>
  <si>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</si>
  <si>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</si>
  <si>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</si>
  <si>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</si>
  <si>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</si>
  <si>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</si>
  <si>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</si>
  <si>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</si>
  <si>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</si>
  <si>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</si>
  <si>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</si>
  <si>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</si>
  <si>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</si>
  <si>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</si>
  <si>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</si>
  <si>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</si>
  <si>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</si>
  <si>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</si>
  <si>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</si>
  <si>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</si>
  <si>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</si>
  <si>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</si>
  <si>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</si>
  <si>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</si>
  <si>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</si>
  <si>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</si>
  <si>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</si>
  <si>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</si>
  <si>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</si>
  <si>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</si>
  <si>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</si>
  <si>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</si>
  <si>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</si>
  <si>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</si>
  <si>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</si>
  <si>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</si>
  <si>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</si>
  <si>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</si>
  <si>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</si>
  <si>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</si>
  <si>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</si>
  <si>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</si>
  <si>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</si>
  <si>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</si>
  <si>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</si>
  <si>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</si>
  <si>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</si>
  <si>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</si>
  <si>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</si>
  <si>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</si>
  <si>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</si>
  <si>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</si>
  <si>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</si>
  <si>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</si>
  <si>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</si>
  <si>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</si>
  <si>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</si>
  <si>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</si>
  <si>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</si>
  <si>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</si>
  <si>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</si>
  <si>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</si>
  <si>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</si>
  <si>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</si>
  <si>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</si>
  <si>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</si>
  <si>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</si>
  <si>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</si>
  <si>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</si>
  <si>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</si>
  <si>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</si>
  <si>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</si>
  <si>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</si>
  <si>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</si>
  <si>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</si>
  <si>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</si>
  <si>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</si>
  <si>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</si>
  <si>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</si>
  <si>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</si>
  <si>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</si>
  <si>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</si>
  <si>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</si>
  <si>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</si>
  <si>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</si>
  <si>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</si>
  <si>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</si>
  <si>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</si>
  <si>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</si>
  <si>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</si>
  <si>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</si>
  <si>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</si>
  <si>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</si>
  <si>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</si>
  <si>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</si>
  <si>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</si>
  <si>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</si>
  <si>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</si>
  <si>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</si>
  <si>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</si>
  <si>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</si>
  <si>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</si>
  <si>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</si>
  <si>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</si>
  <si>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</si>
  <si>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</si>
  <si>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</si>
  <si>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</si>
  <si>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</si>
  <si>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</si>
  <si>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</si>
  <si>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</si>
  <si>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</si>
  <si>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</si>
  <si>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</si>
  <si>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</si>
  <si>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</si>
  <si>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</si>
  <si>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</si>
  <si>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</si>
  <si>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</si>
  <si>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</si>
  <si>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</si>
  <si>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</si>
  <si>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</si>
  <si>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</si>
  <si>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</si>
  <si>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</si>
  <si>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</si>
  <si>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</si>
  <si>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</si>
  <si>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</si>
  <si>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</si>
  <si>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</si>
  <si>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</si>
  <si>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</si>
  <si>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</si>
  <si>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</si>
  <si>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</si>
  <si>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</si>
  <si>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</si>
  <si>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</si>
  <si>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</si>
  <si>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</si>
  <si>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</si>
  <si>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</si>
  <si>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</si>
  <si>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</si>
  <si>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</si>
  <si>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</si>
  <si>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</si>
  <si>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</si>
  <si>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</si>
  <si>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</si>
  <si>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</si>
  <si>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</si>
  <si>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</si>
  <si>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</si>
  <si>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</si>
  <si>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</si>
  <si>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</si>
  <si>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</si>
  <si>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</si>
  <si>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</si>
  <si>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</si>
  <si>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</si>
  <si>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</si>
  <si>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</si>
  <si>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</si>
  <si>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</si>
  <si>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</si>
  <si>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</si>
  <si>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</si>
  <si>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</si>
  <si>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</si>
  <si>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</si>
  <si>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</si>
  <si>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</si>
  <si>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</si>
  <si>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</si>
  <si>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</si>
  <si>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</si>
  <si>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</si>
  <si>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</si>
  <si>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</si>
  <si>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</si>
  <si>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</si>
  <si>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</si>
  <si>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</si>
  <si>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</si>
  <si>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</si>
  <si>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</si>
  <si>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</si>
  <si>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</si>
  <si>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</si>
  <si>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</si>
  <si>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</si>
  <si>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</si>
  <si>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</si>
  <si>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</si>
  <si>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</si>
  <si>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</si>
  <si>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</si>
  <si>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</si>
  <si>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</si>
  <si>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</si>
  <si>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</si>
  <si>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</si>
  <si>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</si>
  <si>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</si>
  <si>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</si>
  <si>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</si>
  <si>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</si>
  <si>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</si>
  <si>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</si>
  <si>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</si>
  <si>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</si>
  <si>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</si>
  <si>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</si>
  <si>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</si>
  <si>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</si>
  <si>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</si>
  <si>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</si>
  <si>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</si>
  <si>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</si>
  <si>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</si>
  <si>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</si>
  <si>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</si>
  <si>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</si>
  <si>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</si>
  <si>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</si>
  <si>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</si>
  <si>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</si>
  <si>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</si>
  <si>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</si>
  <si>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</si>
  <si>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</si>
  <si>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</si>
  <si>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</si>
  <si>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</si>
  <si>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</si>
  <si>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</si>
  <si>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</si>
  <si>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</si>
  <si>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</si>
  <si>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</si>
  <si>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</si>
  <si>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</si>
  <si>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</si>
  <si>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</si>
  <si>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</si>
  <si>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</si>
  <si>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</si>
  <si>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</si>
  <si>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</si>
  <si>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</si>
  <si>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</si>
  <si>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</si>
  <si>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</si>
  <si>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</si>
  <si>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</si>
  <si>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</si>
  <si>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</si>
  <si>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</si>
  <si>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</si>
  <si>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</si>
  <si>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</si>
  <si>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</si>
  <si>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</si>
  <si>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</si>
  <si>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</si>
  <si>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</si>
  <si>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</si>
  <si>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</si>
  <si>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</si>
  <si>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</si>
  <si>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</si>
  <si>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</si>
  <si>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</si>
  <si>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</si>
  <si>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</si>
  <si>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</si>
  <si>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</si>
  <si>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</si>
  <si>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</si>
  <si>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</si>
  <si>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</si>
  <si>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</si>
  <si>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</si>
  <si>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</si>
  <si>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</si>
  <si>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</si>
  <si>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</si>
  <si>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</si>
  <si>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</si>
  <si>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</si>
  <si>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</si>
  <si>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</si>
  <si>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</si>
  <si>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</si>
  <si>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</si>
  <si>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</si>
  <si>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</si>
  <si>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</si>
  <si>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</si>
  <si>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</si>
  <si>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</si>
  <si>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</si>
  <si>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</si>
  <si>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</si>
  <si>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</si>
  <si>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</si>
  <si>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</si>
  <si>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</si>
  <si>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</si>
  <si>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</si>
  <si>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</si>
  <si>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</si>
  <si>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</si>
  <si>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</si>
  <si>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</si>
  <si>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</si>
  <si>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</si>
  <si>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</si>
  <si>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</si>
  <si>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</si>
  <si>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</si>
  <si>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</si>
  <si>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</si>
  <si>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</si>
  <si>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</si>
  <si>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</si>
  <si>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</si>
  <si>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</si>
  <si>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</si>
  <si>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</si>
  <si>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</si>
  <si>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</si>
  <si>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</si>
  <si>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</si>
  <si>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</si>
  <si>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</si>
  <si>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</si>
  <si>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</si>
  <si>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</si>
  <si>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</si>
  <si>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</si>
  <si>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</si>
  <si>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</si>
  <si>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</si>
  <si>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</si>
  <si>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</si>
  <si>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</si>
  <si>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</si>
  <si>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</si>
  <si>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</si>
  <si>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</si>
  <si>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</si>
  <si>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</si>
  <si>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</si>
  <si>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</si>
  <si>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</si>
  <si>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</si>
  <si>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</si>
  <si>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</si>
  <si>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</si>
  <si>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</si>
  <si>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</si>
  <si>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</si>
  <si>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</si>
  <si>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</si>
  <si>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</si>
  <si>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</si>
  <si>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</si>
  <si>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</si>
  <si>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</si>
  <si>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</si>
  <si>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</si>
  <si>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</si>
  <si>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</si>
  <si>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</si>
  <si>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</si>
  <si>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DANILO VESOVIC</t>
  </si>
  <si>
    <t>LUKA ANDRIC</t>
  </si>
  <si>
    <t>MARKO LEPOVIC</t>
  </si>
  <si>
    <t>SONJA STANKOVIC</t>
  </si>
  <si>
    <t>MIROSLAVA DERIKONJIC</t>
  </si>
  <si>
    <t xml:space="preserve">ORIOL GARCIA </t>
  </si>
  <si>
    <t>08:00</t>
  </si>
  <si>
    <t>10:00</t>
  </si>
  <si>
    <t>Almost a perfect scouting but was a pitty mistake missing the 1st action of the game. Don't forget Jump Ball as is difficult to insert afterwords and incide on the DSS and can go to major problems. Besides that was a good job overall</t>
  </si>
  <si>
    <t>C:\Users\oriol.garcia\OneDrive - EUROLEAGUE\Documents\Season 25-26\Reports\Euroleague\Dubai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</si>
</sst>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1" sqref="N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35</v>
      </c>
      <c r="D1" s="124" t="s">
        <v>749</v>
      </c>
      <c r="E1" s="125">
        <v>2025</v>
      </c>
      <c r="F1" s="120" t="str">
        <f>TEXT(C1,"00") &amp; "_" &amp; TEXT(C2,"000")&amp; "_" &amp; H4 &amp; "_" &amp; H5 &amp; "_" &amp; B2</f>
        <v>35_347_DUB_MCO_E2025</v>
      </c>
      <c r="G1" s="5"/>
      <c r="H1" s="5"/>
      <c r="I1" s="5"/>
      <c r="J1" s="8" t="s">
        <v>707</v>
      </c>
      <c r="K1" s="121" t="s">
        <v>742</v>
      </c>
      <c r="L1" s="121"/>
      <c r="M1" s="122" t="s">
        <v>239</v>
      </c>
      <c r="N1" s="121" t="s">
        <v>759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347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46115.833333333336</v>
      </c>
      <c r="C3" s="157"/>
      <c r="D3" s="39">
        <v>566</v>
      </c>
      <c r="E3" s="29"/>
      <c r="F3" s="26">
        <f>SUBTOTAL(3,I17:I106)</f>
        <v>2</v>
      </c>
      <c r="G3" s="27">
        <f>IF(OR(D3="",D3=0),"",F3/D3)</f>
        <v>3.5335689045936395E-3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Dubai Basketball</v>
      </c>
      <c r="E4" s="161"/>
      <c r="F4" s="161"/>
      <c r="G4" s="162"/>
      <c r="H4" s="118" t="str">
        <f>IF(ISERROR(VLOOKUP($B$2&amp;TEXT($C$2,"000"),GAMES!$A$3:$I$562,6,FALSE)),"LOC",VLOOKUP($B$2&amp;TEXT($C$2,"000"),GAMES!$A$3:$I$562,6,FALSE))</f>
        <v>DUB</v>
      </c>
      <c r="I4" s="5"/>
      <c r="J4" s="119" t="s">
        <v>714</v>
      </c>
      <c r="K4" s="54" t="s">
        <v>743</v>
      </c>
      <c r="L4" s="5"/>
      <c r="M4" s="167" t="s">
        <v>758</v>
      </c>
      <c r="N4" s="168"/>
      <c r="O4" s="2"/>
      <c r="P4" s="2"/>
      <c r="Q4" s="84" t="s">
        <v>175</v>
      </c>
      <c r="R4" s="94">
        <f>(IF(G3="",0,G3))</f>
        <v>3.5335689045936395E-3</v>
      </c>
      <c r="S4" s="61">
        <f>SUM(I13:M13)</f>
        <v>2</v>
      </c>
      <c r="T4" s="78"/>
      <c r="U4" s="61">
        <f>AC18</f>
        <v>1</v>
      </c>
      <c r="V4" s="61">
        <f>+AC22</f>
        <v>0</v>
      </c>
      <c r="W4" s="61">
        <f>AC24</f>
        <v>0</v>
      </c>
      <c r="X4" s="61">
        <f>AC29</f>
        <v>0</v>
      </c>
      <c r="Y4" s="61">
        <f>AC25</f>
        <v>0</v>
      </c>
      <c r="Z4" s="84">
        <f>AC23</f>
        <v>0</v>
      </c>
      <c r="AA4" s="61">
        <f>AC21</f>
        <v>1</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AS Monaco</v>
      </c>
      <c r="E5" s="174"/>
      <c r="F5" s="174"/>
      <c r="G5" s="175"/>
      <c r="H5" s="118" t="str">
        <f>IF(ISERROR(VLOOKUP($B$2&amp;TEXT($C$2,"000"),GAMES!$A$3:$I$562,7,FALSE)),"VIS",VLOOKUP($B$2&amp;TEXT($C$2,"000"),GAMES!$A$3:$I$562,7,FALSE))</f>
        <v>MCO</v>
      </c>
      <c r="I5" s="5"/>
      <c r="J5" s="5"/>
      <c r="K5" s="5"/>
      <c r="L5" s="5"/>
      <c r="M5" s="169"/>
      <c r="N5" s="170"/>
      <c r="O5" s="2"/>
      <c r="P5" s="2"/>
      <c r="Q5" s="89" t="s">
        <v>174</v>
      </c>
      <c r="R5" s="94">
        <f>R4*R3</f>
        <v>0.35335689045936397</v>
      </c>
      <c r="S5" s="70">
        <f t="shared" ref="S5" si="0">S4*S3</f>
        <v>2</v>
      </c>
      <c r="T5" s="92"/>
      <c r="U5" s="70">
        <f t="shared" ref="U5:AG5" si="1">U4*U3</f>
        <v>0.5</v>
      </c>
      <c r="V5" s="70">
        <f t="shared" si="1"/>
        <v>0</v>
      </c>
      <c r="W5" s="70">
        <f t="shared" si="1"/>
        <v>0</v>
      </c>
      <c r="X5" s="70">
        <f t="shared" si="1"/>
        <v>0</v>
      </c>
      <c r="Y5" s="70">
        <f t="shared" si="1"/>
        <v>0</v>
      </c>
      <c r="Z5" s="89">
        <f t="shared" si="1"/>
        <v>0</v>
      </c>
      <c r="AA5" s="70">
        <f t="shared" si="1"/>
        <v>5</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7.8533568904593638</v>
      </c>
      <c r="N7" s="58"/>
      <c r="O7" s="2"/>
      <c r="P7" s="2"/>
      <c r="Q7" s="86">
        <f>SUM(R5,S5,AC16)</f>
        <v>7.8533568904593638</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7.8533568904593638</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744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347</v>
      </c>
      <c r="H12" s="40" t="str">
        <f>$I$10</f>
        <v>LOGISTICS</v>
      </c>
      <c r="I12" s="14" t="s">
        <v>17</v>
      </c>
      <c r="J12" s="15" t="s">
        <v>14</v>
      </c>
      <c r="K12" s="15" t="s">
        <v>17</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5.5</v>
      </c>
      <c r="AD16" s="75">
        <f>SUM(AD17:AD24)</f>
        <v>45</v>
      </c>
      <c r="AE16" s="76" t="s">
        <v>42</v>
      </c>
      <c r="AF16" s="75">
        <f>SUM(AF17:AF24)</f>
        <v>1</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347</v>
      </c>
      <c r="D17" s="32" t="s">
        <v>756</v>
      </c>
      <c r="E17" s="33">
        <v>1</v>
      </c>
      <c r="F17" s="36">
        <v>2</v>
      </c>
      <c r="G17" s="36">
        <v>5</v>
      </c>
      <c r="H17" s="38" t="str">
        <f>IF(I17="","",$I$14)</f>
        <v>SCOUTING</v>
      </c>
      <c r="I17" s="34">
        <v>19</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v>
      </c>
      <c r="Z17" s="105" t="s">
        <v>63</v>
      </c>
      <c r="AA17" s="62">
        <f>COUNTIF($K$17:$K$106,Z17)</f>
        <v>0</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347</v>
      </c>
      <c r="D18" s="32" t="s">
        <v>757</v>
      </c>
      <c r="E18" s="33">
        <v>1</v>
      </c>
      <c r="F18" s="36">
        <v>0</v>
      </c>
      <c r="G18" s="36">
        <v>0</v>
      </c>
      <c r="H18" s="38" t="str">
        <f t="shared" ref="H18:H81" si="8">IF(I18="","",$I$14)</f>
        <v>SCOUTING</v>
      </c>
      <c r="I18" s="34">
        <v>1</v>
      </c>
      <c r="J18" s="13" t="s">
        <v>3</v>
      </c>
      <c r="K18" s="13" t="s">
        <v>61</v>
      </c>
      <c r="L18" s="13" t="s">
        <v>46</v>
      </c>
      <c r="M18" s="13" t="s">
        <v>46</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1</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1</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1</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REPORT_E2025347</v>
      </c>
    </row>
    <row r="2" spans="2:6" x14ac:dyDescent="0.25">
      <c r="F2" s="45" t="s">
        <v>157</v>
      </c>
    </row>
    <row r="3" spans="2:6" x14ac:dyDescent="0.25">
      <c r="B3" s="43" t="s">
        <v>156</v>
      </c>
      <c r="C3" s="43" t="str">
        <f>""""&amp;'SCOUT &amp; LOGISTICS'!B2&amp;TEXT('SCOUT &amp; LOGISTICS'!C2,"000")&amp;""""</f>
        <v>"E2025347"</v>
      </c>
      <c r="F3" s="45" t="str">
        <f t="shared" ref="F3:F16" si="0">""""&amp;B3&amp;"""" &amp; " : " &amp;C3&amp;","</f>
        <v>"name" : "E2025347",</v>
      </c>
    </row>
    <row r="4" spans="2:6" x14ac:dyDescent="0.25">
      <c r="B4" s="43" t="s">
        <v>119</v>
      </c>
      <c r="C4" s="43" t="str">
        <f>""""&amp;LEFT('SCOUT &amp; LOGISTICS'!B2,1) &amp; TEXT('SCOUT &amp; LOGISTICS'!C2,"000")&amp;""""</f>
        <v>"E347"</v>
      </c>
      <c r="F4" s="45" t="str">
        <f t="shared" si="0"/>
        <v>"cod" : "E347",</v>
      </c>
    </row>
    <row r="5" spans="2:6" x14ac:dyDescent="0.25">
      <c r="B5" s="43" t="s">
        <v>117</v>
      </c>
      <c r="C5" s="43" t="str">
        <f>""""&amp;LEFT('SCOUT &amp; LOGISTICS'!B2,1)&amp;""""</f>
        <v>"E"</v>
      </c>
      <c r="F5" s="45" t="str">
        <f t="shared" si="0"/>
        <v>"competition" : "E",</v>
      </c>
    </row>
    <row r="6" spans="2:6" x14ac:dyDescent="0.25">
      <c r="B6" s="43" t="s">
        <v>118</v>
      </c>
      <c r="C6" s="43" t="str">
        <f>TEXT('SCOUT &amp; LOGISTICS'!C2,"000")</f>
        <v>347</v>
      </c>
      <c r="F6" s="45" t="str">
        <f t="shared" si="0"/>
        <v>"number" : 347,</v>
      </c>
    </row>
    <row r="7" spans="2:6" x14ac:dyDescent="0.25">
      <c r="B7" s="43" t="s">
        <v>116</v>
      </c>
      <c r="C7" s="43" t="str">
        <f ca="1">""""&amp;TEXT('SCOUT &amp; LOGISTICS'!B3,"dd/mm/aaaa")&amp;""""</f>
        <v>"03/04/Friday"</v>
      </c>
      <c r="F7" s="45" t="str">
        <f t="shared" ca="1" si="0"/>
        <v>"date" : "03/04/Friday",</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"AS Monaco"</v>
      </c>
      <c r="F9" s="45" t="str">
        <f t="shared" si="0"/>
        <v>"away_team" : "AS Monaco",</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"LUKA ANDRIC"</v>
      </c>
      <c r="F11" s="45" t="str">
        <f t="shared" si="0"/>
        <v>"Caller_1" : "LUKA ANDRIC",</v>
      </c>
    </row>
    <row r="12" spans="2:6" x14ac:dyDescent="0.25">
      <c r="B12" s="43" t="s">
        <v>129</v>
      </c>
      <c r="C12" s="43" t="str">
        <f>""""&amp;IF('SCOUT &amp; LOGISTICS'!D8="","",'SCOUT &amp; LOGISTICS'!D8)&amp;""""</f>
        <v>"MARKO LEPOVIC"</v>
      </c>
      <c r="F12" s="45" t="str">
        <f t="shared" si="0"/>
        <v>"Caller_2" : "MARKO LEPOVIC",</v>
      </c>
    </row>
    <row r="13" spans="2:6" x14ac:dyDescent="0.25">
      <c r="B13" s="43" t="s">
        <v>98</v>
      </c>
      <c r="C13" s="43" t="str">
        <f>""""&amp;IF('SCOUT &amp; LOGISTICS'!D9="","",'SCOUT &amp; LOGISTICS'!D9)&amp;""""</f>
        <v>"SONJA STANKOVIC"</v>
      </c>
      <c r="F13" s="45" t="str">
        <f t="shared" si="0"/>
        <v>"Timerkeeper" : "SONJA STANKOVIC",</v>
      </c>
    </row>
    <row r="14" spans="2:6" x14ac:dyDescent="0.25">
      <c r="B14" s="43" t="s">
        <v>99</v>
      </c>
      <c r="C14" s="43" t="str">
        <f>""""&amp;IF('SCOUT &amp; LOGISTICS'!D10="","",'SCOUT &amp; LOGISTICS'!D10)&amp;""""</f>
        <v>"MIROSLAVA DERIKONJIC"</v>
      </c>
      <c r="F14" s="45" t="str">
        <f t="shared" si="0"/>
        <v>"Shotclock" : "MIROSLAVA DERIKONJIC",</v>
      </c>
    </row>
    <row r="15" spans="2:6" x14ac:dyDescent="0.25">
      <c r="B15" s="43" t="s">
        <v>108</v>
      </c>
      <c r="C15" s="43" t="str">
        <f>""""&amp;IF('SCOUT &amp; LOGISTICS'!D11="","",'SCOUT &amp; LOGISTICS'!D11)&amp;""""</f>
        <v>"ANA KRSTIC"</v>
      </c>
      <c r="F15" s="45" t="str">
        <f t="shared" si="0"/>
        <v>"IRS" : "ANA KRSTIC",</v>
      </c>
    </row>
    <row r="16" spans="2:6" x14ac:dyDescent="0.25">
      <c r="B16" s="43" t="s">
        <v>130</v>
      </c>
      <c r="C16" s="43" t="str">
        <f>""""&amp;IF('SCOUT &amp; LOGISTICS'!D14=0,"",'SCOUT &amp; LOGISTICS'!D14)&amp;""""</f>
        <v>"ORIOL GARCIA "</v>
      </c>
      <c r="F16" s="45" t="str">
        <f t="shared" si="0"/>
        <v>"Live_Game_Manager" : "ORIOL GARCIA ",</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566</v>
      </c>
      <c r="F25" s="45" t="str">
        <f t="shared" ref="F25:F48" si="1">""""&amp;C25&amp;"""" &amp; " : " &amp;D25&amp;","</f>
        <v>"total_actions" : 566,</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0</v>
      </c>
      <c r="F28" s="45" t="str">
        <f t="shared" si="1"/>
        <v>"home_team" : 0,</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1</v>
      </c>
      <c r="F45" s="45" t="str">
        <f t="shared" si="1"/>
        <v>"missplaced" : 1,</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"Almost a perfect scouting but was a pitty mistake missing the 1st action of the game. Don't forget Jump Ball as is difficult to insert afterwords and incide on the DSS and can go to major problems. Besides that was a good job overall"</v>
      </c>
      <c r="F51" s="45" t="str">
        <f>""""&amp;B51&amp;"""" &amp; " : " &amp;C51&amp;","</f>
        <v>"comments" : "Almost a perfect scouting but was a pitty mistake missing the 1st action of the game. Don't forget Jump Ball as is difficult to insert afterwords and incide on the DSS and can go to major problems. Besides that was a good job overall",</v>
      </c>
    </row>
    <row r="52" spans="2:6" x14ac:dyDescent="0.25">
      <c r="B52" s="43" t="s">
        <v>153</v>
      </c>
      <c r="C52" s="43" t="str">
        <f>TEXT('SCOUT &amp; LOGISTICS'!F1,"0,0")</f>
        <v>35_347_DUB_MCO_E2025</v>
      </c>
      <c r="F52" s="45" t="str">
        <f>""""&amp;B52&amp;"""" &amp; " : " &amp;C52</f>
        <v>"result" : 35_347_DUB_MCO_E2025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E347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03/04</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Dubai Basketball</v>
      </c>
      <c r="C6" s="212"/>
      <c r="D6" s="212"/>
      <c r="E6" s="212"/>
      <c r="F6" s="212"/>
      <c r="G6" s="212"/>
      <c r="H6" s="212"/>
      <c r="I6" s="212"/>
      <c r="J6" s="212"/>
      <c r="K6" s="212"/>
      <c r="L6" s="212"/>
      <c r="M6" s="212"/>
      <c r="N6" s="212"/>
      <c r="O6" s="212"/>
      <c r="P6" s="212"/>
      <c r="Q6" s="212" t="str">
        <f>PROPER('SCOUT &amp; LOGISTICS'!D5)</f>
        <v>As Monaco</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DANILO VESOVIC</v>
      </c>
      <c r="C8" s="206"/>
      <c r="D8" s="206"/>
      <c r="E8" s="206"/>
      <c r="F8" s="206"/>
      <c r="G8" s="206" t="str">
        <f>IF('SCOUT &amp; LOGISTICS'!D7="","",'SCOUT &amp; LOGISTICS'!D7)</f>
        <v>LUKA ANDRIC</v>
      </c>
      <c r="H8" s="206"/>
      <c r="I8" s="206"/>
      <c r="J8" s="206"/>
      <c r="K8" s="206"/>
      <c r="L8" s="206" t="str">
        <f>IF('SCOUT &amp; LOGISTICS'!D8="","",'SCOUT &amp; LOGISTICS'!D8)</f>
        <v>MARKO LEPOVIC</v>
      </c>
      <c r="M8" s="206"/>
      <c r="N8" s="206"/>
      <c r="O8" s="206"/>
      <c r="P8" s="206"/>
      <c r="Q8" s="206" t="str">
        <f>IF('SCOUT &amp; LOGISTICS'!D9="","",'SCOUT &amp; LOGISTICS'!D9)</f>
        <v>SONJA STANKOVIC</v>
      </c>
      <c r="R8" s="206"/>
      <c r="S8" s="206"/>
      <c r="T8" s="206"/>
      <c r="U8" s="206"/>
      <c r="V8" s="206" t="str">
        <f>IF('SCOUT &amp; LOGISTICS'!D10="","",'SCOUT &amp; LOGISTICS'!D10)</f>
        <v>MIROSLAVA DERIKONJIC</v>
      </c>
      <c r="W8" s="206"/>
      <c r="X8" s="206"/>
      <c r="Y8" s="206"/>
      <c r="Z8" s="206"/>
      <c r="AA8" s="206" t="str">
        <f>IF('SCOUT &amp; LOGISTICS'!D11="","",'SCOUT &amp; LOGISTICS'!D11)</f>
        <v>ANA KRSTIC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566</v>
      </c>
      <c r="C17" s="204"/>
      <c r="D17" s="204"/>
      <c r="E17" s="204"/>
      <c r="F17" s="204"/>
      <c r="G17" s="204"/>
      <c r="H17" s="204"/>
      <c r="I17" s="204"/>
      <c r="J17" s="204"/>
      <c r="K17" s="204"/>
      <c r="L17" s="204">
        <f>'SCOUT &amp; LOGISTICS'!F3</f>
        <v>2</v>
      </c>
      <c r="M17" s="204"/>
      <c r="N17" s="204"/>
      <c r="O17" s="204"/>
      <c r="P17" s="204"/>
      <c r="Q17" s="204"/>
      <c r="R17" s="204"/>
      <c r="S17" s="204"/>
      <c r="T17" s="204"/>
      <c r="U17" s="204"/>
      <c r="V17" s="205">
        <f>IF(OR(B17="",B17=0),"",L17/B17)</f>
        <v>3.5335689045936395E-3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0</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0</v>
      </c>
      <c r="I22" s="197"/>
      <c r="J22" s="197"/>
      <c r="K22" s="197"/>
      <c r="L22" s="197"/>
      <c r="M22" s="197"/>
      <c r="N22" s="197">
        <f>'SCOUT &amp; LOGISTICS'!AG19</f>
        <v>0</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1</v>
      </c>
      <c r="C27" s="197"/>
      <c r="D27" s="197"/>
      <c r="E27" s="197"/>
      <c r="F27" s="197"/>
      <c r="G27" s="197">
        <f>'SCOUT &amp; LOGISTICS'!AC22</f>
        <v>0</v>
      </c>
      <c r="H27" s="197"/>
      <c r="I27" s="197"/>
      <c r="J27" s="197"/>
      <c r="K27" s="197"/>
      <c r="L27" s="197">
        <f>'SCOUT &amp; LOGISTICS'!AC23</f>
        <v>0</v>
      </c>
      <c r="M27" s="197"/>
      <c r="N27" s="197"/>
      <c r="O27" s="197"/>
      <c r="P27" s="197"/>
      <c r="Q27" s="197">
        <f>'SCOUT &amp; LOGISTICS'!AC21</f>
        <v>1</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Almost a perfect scouting but was a pitty mistake missing the 1st action of the game. Don't forget Jump Ball as is difficult to insert afterwords and incide on the DSS and can go to major problems. Besides that was a good job overall</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7.8533568904593638</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F6353617-1FAF-43D0-8DD0-68F6819A266E}"/>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2026-04-07T16:12:42Z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