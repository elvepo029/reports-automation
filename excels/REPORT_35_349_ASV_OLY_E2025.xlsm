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5B556301-97E1-413F-A9DF-7DA901840857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<sst xmlns="http://schemas.openxmlformats.org/spreadsheetml/2006/main" count="3281" uniqueCount="766">
  <si>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</si>
  <si>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</si>
  <si>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</si>
  <si>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</si>
  <si>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</si>
  <si>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</si>
  <si>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</si>
  <si>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</si>
  <si>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</si>
  <si>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</si>
  <si>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</si>
  <si>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</si>
  <si>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</si>
  <si>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</si>
  <si>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</si>
  <si>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</si>
  <si>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</si>
  <si>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</si>
  <si>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</si>
  <si>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</si>
  <si>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</si>
  <si>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</si>
  <si>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</si>
  <si>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</si>
  <si>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</si>
  <si>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</si>
  <si>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</si>
  <si>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</si>
  <si>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</si>
  <si>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</si>
  <si>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</si>
  <si>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</si>
  <si>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</si>
  <si>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</si>
  <si>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</si>
  <si>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</si>
  <si>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</si>
  <si>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</si>
  <si>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</si>
  <si>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</si>
  <si>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</si>
  <si>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</si>
  <si>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</si>
  <si>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</si>
  <si>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</si>
  <si>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</si>
  <si>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</si>
  <si>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</si>
  <si>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</si>
  <si>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</si>
  <si>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</si>
  <si>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</si>
  <si>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</si>
  <si>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</si>
  <si>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</si>
  <si>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</si>
  <si>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</si>
  <si>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</si>
  <si>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</si>
  <si>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</si>
  <si>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</si>
  <si>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</si>
  <si>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</si>
  <si>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</si>
  <si>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</si>
  <si>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</si>
  <si>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</si>
  <si>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</si>
  <si>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</si>
  <si>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</si>
  <si>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</si>
  <si>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</si>
  <si>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</si>
  <si>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</si>
  <si>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</si>
  <si>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</si>
  <si>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</si>
  <si>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</si>
  <si>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</si>
  <si>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</si>
  <si>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</si>
  <si>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</si>
  <si>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</si>
  <si>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</si>
  <si>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</si>
  <si>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</si>
  <si>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</si>
  <si>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</si>
  <si>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</si>
  <si>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</si>
  <si>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</si>
  <si>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</si>
  <si>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</si>
  <si>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</si>
  <si>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</si>
  <si>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</si>
  <si>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</si>
  <si>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</si>
  <si>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</si>
  <si>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</si>
  <si>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</si>
  <si>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</si>
  <si>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</si>
  <si>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</si>
  <si>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</si>
  <si>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</si>
  <si>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</si>
  <si>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</si>
  <si>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</si>
  <si>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</si>
  <si>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</si>
  <si>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</si>
  <si>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</si>
  <si>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</si>
  <si>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</si>
  <si>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</si>
  <si>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</si>
  <si>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</si>
  <si>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</si>
  <si>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</si>
  <si>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</si>
  <si>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</si>
  <si>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</si>
  <si>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</si>
  <si>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</si>
  <si>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</si>
  <si>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</si>
  <si>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</si>
  <si>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</si>
  <si>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</si>
  <si>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</si>
  <si>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</si>
  <si>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</si>
  <si>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</si>
  <si>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</si>
  <si>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</si>
  <si>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</si>
  <si>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</si>
  <si>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</si>
  <si>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</si>
  <si>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</si>
  <si>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</si>
  <si>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</si>
  <si>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</si>
  <si>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</si>
  <si>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</si>
  <si>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</si>
  <si>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</si>
  <si>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</si>
  <si>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</si>
  <si>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</si>
  <si>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</si>
  <si>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</si>
  <si>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</si>
  <si>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</si>
  <si>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</si>
  <si>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</si>
  <si>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</si>
  <si>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</si>
  <si>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</si>
  <si>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</si>
  <si>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</si>
  <si>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</si>
  <si>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</si>
  <si>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</si>
  <si>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</si>
  <si>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</si>
  <si>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</si>
  <si>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</si>
  <si>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</si>
  <si>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</si>
  <si>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</si>
  <si>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</si>
  <si>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</si>
  <si>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</si>
  <si>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</si>
  <si>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</si>
  <si>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</si>
  <si>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</si>
  <si>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</si>
  <si>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</si>
  <si>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</si>
  <si>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</si>
  <si>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</si>
  <si>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</si>
  <si>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</si>
  <si>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</si>
  <si>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</si>
  <si>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</si>
  <si>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</si>
  <si>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</si>
  <si>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</si>
  <si>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</si>
  <si>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</si>
  <si>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</si>
  <si>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</si>
  <si>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</si>
  <si>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</si>
  <si>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</si>
  <si>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</si>
  <si>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</si>
  <si>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</si>
  <si>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</si>
  <si>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</si>
  <si>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</si>
  <si>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</si>
  <si>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</si>
  <si>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</si>
  <si>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</si>
  <si>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</si>
  <si>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</si>
  <si>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</si>
  <si>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</si>
  <si>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</si>
  <si>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</si>
  <si>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</si>
  <si>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</si>
  <si>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</si>
  <si>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</si>
  <si>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</si>
  <si>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</si>
  <si>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</si>
  <si>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</si>
  <si>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</si>
  <si>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</si>
  <si>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</si>
  <si>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</si>
  <si>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</si>
  <si>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</si>
  <si>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</si>
  <si>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</si>
  <si>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</si>
  <si>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</si>
  <si>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</si>
  <si>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</si>
  <si>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</si>
  <si>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</si>
  <si>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</si>
  <si>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</si>
  <si>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</si>
  <si>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</si>
  <si>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</si>
  <si>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</si>
  <si>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</si>
  <si>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</si>
  <si>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</si>
  <si>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</si>
  <si>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</si>
  <si>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</si>
  <si>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</si>
  <si>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</si>
  <si>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</si>
  <si>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</si>
  <si>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</si>
  <si>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</si>
  <si>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</si>
  <si>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</si>
  <si>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</si>
  <si>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</si>
  <si>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</si>
  <si>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</si>
  <si>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</si>
  <si>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</si>
  <si>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</si>
  <si>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</si>
  <si>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</si>
  <si>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</si>
  <si>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</si>
  <si>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</si>
  <si>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</si>
  <si>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</si>
  <si>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</si>
  <si>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</si>
  <si>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</si>
  <si>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</si>
  <si>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</si>
  <si>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</si>
  <si>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</si>
  <si>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</si>
  <si>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</si>
  <si>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</si>
  <si>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</si>
  <si>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</si>
  <si>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</si>
  <si>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</si>
  <si>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</si>
  <si>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</si>
  <si>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</si>
  <si>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</si>
  <si>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</si>
  <si>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</si>
  <si>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</si>
  <si>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</si>
  <si>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</si>
  <si>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</si>
  <si>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</si>
  <si>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</si>
  <si>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</si>
  <si>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</si>
  <si>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</si>
  <si>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</si>
  <si>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</si>
  <si>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</si>
  <si>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</si>
  <si>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</si>
  <si>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</si>
  <si>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</si>
  <si>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</si>
  <si>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</si>
  <si>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</si>
  <si>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</si>
  <si>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</si>
  <si>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</si>
  <si>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</si>
  <si>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</si>
  <si>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</si>
  <si>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</si>
  <si>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</si>
  <si>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</si>
  <si>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</si>
  <si>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</si>
  <si>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</si>
  <si>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</si>
  <si>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</si>
  <si>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</si>
  <si>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</si>
  <si>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</si>
  <si>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</si>
  <si>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</si>
  <si>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</si>
  <si>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</si>
  <si>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</si>
  <si>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</si>
  <si>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</si>
  <si>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</si>
  <si>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</si>
  <si>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</si>
  <si>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</si>
  <si>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</si>
  <si>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</si>
  <si>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</si>
  <si>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</si>
  <si>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</si>
  <si>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</si>
  <si>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</si>
  <si>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</si>
  <si>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</si>
  <si>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</si>
  <si>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</si>
  <si>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</si>
  <si>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</si>
  <si>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</si>
  <si>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</si>
  <si>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</si>
  <si>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</si>
  <si>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</si>
  <si>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</si>
  <si>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</si>
  <si>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</si>
  <si>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</si>
  <si>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</si>
  <si>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</si>
  <si>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</si>
  <si>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</si>
  <si>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</si>
  <si>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</si>
  <si>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</si>
  <si>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</si>
  <si>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</si>
  <si>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</si>
  <si>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</si>
  <si>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</si>
  <si>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</si>
  <si>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</si>
  <si>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</si>
  <si>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</si>
  <si>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</si>
  <si>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</si>
  <si>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</si>
  <si>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</si>
  <si>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</si>
  <si>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</si>
  <si>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</si>
  <si>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</si>
  <si>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</si>
  <si>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</si>
  <si>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</si>
  <si>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</si>
  <si>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</si>
  <si>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</si>
  <si>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</si>
  <si>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</si>
  <si>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</si>
  <si>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</si>
  <si>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</si>
  <si>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</si>
  <si>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</si>
  <si>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</si>
  <si>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</si>
  <si>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</si>
  <si>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</si>
  <si>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</si>
  <si>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</si>
  <si>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</si>
  <si>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</si>
  <si>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</si>
  <si>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</si>
  <si>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</si>
  <si>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</si>
  <si>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</si>
  <si>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</si>
  <si>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</si>
  <si>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</si>
  <si>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</si>
  <si>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</si>
  <si>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</si>
  <si>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</si>
  <si>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</si>
  <si>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</si>
  <si>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</si>
  <si>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</si>
  <si>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</si>
  <si>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</si>
  <si>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</si>
  <si>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</si>
  <si>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</si>
  <si>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</si>
  <si>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</si>
  <si>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</si>
  <si>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</si>
  <si>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</si>
  <si>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</si>
  <si>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</si>
  <si>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</si>
  <si>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</si>
  <si>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</si>
  <si>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</si>
  <si>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</si>
  <si>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</si>
  <si>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</si>
  <si>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</si>
  <si>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</si>
  <si>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</si>
  <si>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</si>
  <si>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</si>
  <si>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</si>
  <si>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</si>
  <si>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</si>
  <si>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</si>
  <si>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</si>
  <si>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</si>
  <si>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</si>
  <si>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</si>
  <si>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</si>
  <si>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</si>
  <si>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</si>
  <si>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</si>
  <si>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</si>
  <si>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</si>
  <si>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</si>
  <si>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</si>
  <si>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</si>
  <si>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</si>
  <si>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</si>
  <si>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</si>
  <si>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</si>
  <si>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</si>
  <si>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</si>
  <si>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</si>
  <si>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</si>
  <si>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</si>
  <si>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</si>
  <si>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</si>
  <si>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</si>
  <si>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</si>
  <si>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</si>
  <si>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</si>
  <si>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</si>
  <si>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</si>
  <si>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</si>
  <si>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</si>
  <si>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</si>
  <si>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</si>
  <si>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</si>
  <si>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</si>
  <si>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</si>
  <si>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</si>
  <si>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</si>
  <si>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</si>
  <si>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</si>
  <si>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</si>
  <si>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</si>
  <si>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</si>
  <si>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</si>
  <si>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</si>
  <si>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</si>
  <si>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</si>
  <si>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</si>
  <si>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</si>
  <si>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</si>
  <si>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</si>
  <si>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</si>
  <si>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</si>
  <si>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</si>
  <si>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</si>
  <si>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</si>
  <si>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</si>
  <si>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</si>
  <si>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</si>
  <si>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</si>
  <si>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</si>
  <si>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</si>
  <si>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</si>
  <si>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</si>
  <si>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</si>
  <si>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</si>
  <si>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</si>
  <si>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</si>
  <si>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</si>
  <si>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</si>
  <si>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</si>
  <si>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</si>
  <si>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</si>
  <si>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</si>
  <si>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</si>
  <si>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</si>
  <si>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</si>
  <si>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</si>
  <si>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</si>
  <si>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</si>
  <si>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</si>
  <si>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</si>
  <si>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</si>
  <si>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</si>
  <si>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</si>
  <si>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</si>
  <si>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</si>
  <si>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</si>
  <si>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</si>
  <si>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</si>
  <si>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</si>
  <si>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</si>
  <si>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</si>
  <si>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</si>
  <si>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</si>
  <si>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</si>
  <si>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</si>
  <si>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</si>
  <si>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</si>
  <si>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</si>
  <si>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</si>
  <si>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</si>
  <si>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</si>
  <si>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</si>
  <si>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</si>
  <si>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</si>
  <si>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</si>
  <si>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</si>
  <si>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</si>
  <si>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</si>
  <si>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</si>
  <si>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</si>
  <si>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</si>
  <si>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</si>
  <si>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</si>
  <si>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</si>
  <si>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</si>
  <si>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</si>
  <si>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</si>
  <si>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</si>
  <si>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</si>
  <si>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</si>
  <si>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</si>
  <si>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</si>
  <si>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</si>
  <si>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</si>
  <si>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</si>
  <si>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</si>
  <si>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</si>
  <si>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</si>
  <si>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</si>
  <si>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</si>
  <si>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</si>
  <si>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</si>
  <si>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</si>
  <si>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</si>
  <si>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</si>
  <si>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</si>
  <si>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</si>
  <si>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</si>
  <si>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</si>
  <si>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</si>
  <si>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</si>
  <si>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</si>
  <si>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</si>
  <si>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</si>
  <si>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</si>
  <si>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</si>
  <si>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</si>
  <si>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</si>
  <si>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</si>
  <si>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</si>
  <si>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</si>
  <si>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</si>
  <si>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</si>
  <si>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</si>
  <si>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</si>
  <si>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</si>
  <si>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</si>
  <si>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</si>
  <si>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</si>
  <si>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</si>
  <si>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</si>
  <si>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</si>
  <si>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</si>
  <si>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</si>
  <si>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</si>
  <si>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</si>
  <si>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</si>
  <si>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</si>
  <si>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</si>
  <si>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</si>
  <si>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</si>
  <si>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</si>
  <si>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</si>
  <si>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</si>
  <si>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</si>
  <si>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</si>
  <si>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</si>
  <si>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</si>
  <si>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</si>
  <si>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</si>
  <si>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</si>
  <si>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</si>
  <si>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</si>
  <si>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</si>
  <si>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</si>
  <si>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</si>
  <si>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</si>
  <si>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</si>
  <si>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</si>
  <si>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</si>
  <si>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</si>
  <si>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</si>
  <si>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</si>
  <si>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</si>
  <si>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</si>
  <si>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</si>
  <si>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</si>
  <si>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</si>
  <si>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</si>
  <si>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</si>
  <si>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</si>
  <si>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</si>
  <si>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</si>
  <si>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</si>
  <si>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</si>
  <si>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</si>
  <si>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</si>
  <si>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</si>
  <si>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</si>
  <si>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</si>
  <si>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</si>
  <si>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</si>
  <si>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</si>
  <si>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</si>
  <si>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</si>
  <si>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</si>
  <si>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</si>
  <si>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</si>
  <si>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</si>
  <si>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</si>
  <si>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</si>
  <si>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</si>
  <si>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</si>
  <si>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</si>
  <si>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</si>
  <si>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</si>
  <si>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</si>
  <si>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</si>
  <si>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</si>
  <si>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</si>
  <si>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</si>
  <si>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</si>
  <si>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</si>
  <si>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</si>
  <si>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</si>
  <si>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</si>
  <si>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</si>
  <si>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</si>
  <si>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</si>
  <si>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</si>
  <si>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</si>
  <si>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</si>
  <si>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</si>
  <si>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</si>
  <si>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</si>
  <si>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</si>
  <si>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</si>
  <si>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</si>
  <si>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</si>
  <si>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</si>
  <si>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</si>
  <si>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</si>
  <si>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</si>
  <si>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</si>
  <si>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</si>
  <si>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</si>
  <si>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</si>
  <si>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</si>
  <si>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</si>
  <si>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</si>
  <si>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</si>
  <si>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</si>
  <si>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</si>
  <si>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</si>
  <si>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</si>
  <si>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</si>
  <si>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</si>
  <si>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</si>
  <si>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</si>
  <si>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</si>
  <si>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</si>
  <si>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</si>
  <si>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</si>
  <si>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</si>
  <si>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</si>
  <si>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</si>
  <si>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</si>
  <si>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</si>
  <si>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</si>
  <si>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</si>
  <si>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</si>
  <si>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</si>
  <si>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</si>
  <si>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</si>
  <si>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</si>
  <si>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</si>
  <si>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</si>
  <si>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</si>
  <si>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</si>
  <si>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</si>
  <si>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</si>
  <si>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</si>
  <si>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</si>
  <si>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</si>
  <si>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</si>
  <si>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</si>
  <si>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</si>
  <si>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</si>
  <si>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STEPHANE DURIEUX</t>
  </si>
  <si>
    <t>JEAN-MARC MORENTE</t>
  </si>
  <si>
    <t>STEPHANE FITOUSSI</t>
  </si>
  <si>
    <t>SOPHIE GAUDIN</t>
  </si>
  <si>
    <t>ALAIN FERRANT</t>
  </si>
  <si>
    <t>KADER SI-TAYEB</t>
  </si>
  <si>
    <t>OSCAR CUESTA</t>
  </si>
  <si>
    <t>9:29</t>
  </si>
  <si>
    <t>6:15</t>
  </si>
  <si>
    <t>5.20</t>
  </si>
  <si>
    <t>0:44</t>
  </si>
  <si>
    <t>3:00</t>
  </si>
  <si>
    <t>2:05</t>
  </si>
  <si>
    <t>4:54</t>
  </si>
  <si>
    <t>Acrediten un OFF Rebound com a Ofensive Foul</t>
  </si>
  <si>
    <t>I can understand how deceived you may feel after today, so keep focused for next matches. Today was a shitty game :(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</si>
</sst>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35_349_ASV_OLY_E2025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349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46115.833333333336</v>
      </c>
      <c r="C3" s="157"/>
      <c r="D3" s="39">
        <v>600</v>
      </c>
      <c r="E3" s="29"/>
      <c r="F3" s="26">
        <f>SUBTOTAL(3,I17:I106)</f>
        <v>7</v>
      </c>
      <c r="G3" s="27">
        <f>IF(OR(D3="",D3=0),"",F3/D3)</f>
        <v>1.1666666666666667E-2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LDLC ASVEL Villeurbanne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67" t="s">
        <v>765</v>
      </c>
      <c r="N4" s="168"/>
      <c r="O4" s="2"/>
      <c r="P4" s="2"/>
      <c r="Q4" s="84" t="s">
        <v>175</v>
      </c>
      <c r="R4" s="94">
        <f>(IF(G3="",0,G3))</f>
        <v>1.1666666666666667E-2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2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1.1666666666666667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30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38.666666666666664</v>
      </c>
      <c r="N7" s="58"/>
      <c r="O7" s="2"/>
      <c r="P7" s="2"/>
      <c r="Q7" s="86">
        <f>SUM(R5,S5,AC16)</f>
        <v>38.666666666666664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38.666666666666671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349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37.5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349</v>
      </c>
      <c r="D17" s="32" t="s">
        <v>757</v>
      </c>
      <c r="E17" s="33">
        <v>1</v>
      </c>
      <c r="F17" s="36">
        <v>1</v>
      </c>
      <c r="G17" s="36">
        <v>3</v>
      </c>
      <c r="H17" s="38" t="str">
        <f>IF(I17="","",$I$14)</f>
        <v>SCOUTING</v>
      </c>
      <c r="I17" s="34">
        <v>11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349</v>
      </c>
      <c r="D18" s="32" t="s">
        <v>758</v>
      </c>
      <c r="E18" s="33">
        <v>1</v>
      </c>
      <c r="F18" s="36">
        <v>9</v>
      </c>
      <c r="G18" s="36">
        <v>11</v>
      </c>
      <c r="H18" s="38" t="str">
        <f t="shared" ref="H18:H81" si="8">IF(I18="","",$I$14)</f>
        <v>SCOUTING</v>
      </c>
      <c r="I18" s="34">
        <v>44</v>
      </c>
      <c r="J18" s="13" t="s">
        <v>4</v>
      </c>
      <c r="K18" s="13" t="s">
        <v>63</v>
      </c>
      <c r="L18" s="13" t="s">
        <v>7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2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349</v>
      </c>
      <c r="D19" s="32" t="s">
        <v>759</v>
      </c>
      <c r="E19" s="33">
        <v>1</v>
      </c>
      <c r="F19" s="36">
        <v>9</v>
      </c>
      <c r="G19" s="36">
        <v>15</v>
      </c>
      <c r="H19" s="38" t="str">
        <f t="shared" si="8"/>
        <v>SCOUTING</v>
      </c>
      <c r="I19" s="34">
        <v>63</v>
      </c>
      <c r="J19" s="13" t="s">
        <v>3</v>
      </c>
      <c r="K19" s="13" t="s">
        <v>62</v>
      </c>
      <c r="L19" s="13" t="s">
        <v>76</v>
      </c>
      <c r="M19" s="13" t="s">
        <v>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2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349</v>
      </c>
      <c r="D20" s="32" t="s">
        <v>760</v>
      </c>
      <c r="E20" s="33">
        <v>1</v>
      </c>
      <c r="F20" s="36">
        <v>22</v>
      </c>
      <c r="G20" s="36">
        <v>24</v>
      </c>
      <c r="H20" s="38" t="str">
        <f t="shared" si="8"/>
        <v>SCOUTING</v>
      </c>
      <c r="I20" s="34">
        <v>130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349</v>
      </c>
      <c r="D21" s="32" t="s">
        <v>761</v>
      </c>
      <c r="E21" s="33">
        <v>3</v>
      </c>
      <c r="F21" s="36">
        <v>50</v>
      </c>
      <c r="G21" s="36">
        <v>56</v>
      </c>
      <c r="H21" s="38" t="str">
        <f t="shared" si="8"/>
        <v>SCOUTING</v>
      </c>
      <c r="I21" s="34">
        <v>424</v>
      </c>
      <c r="J21" s="13" t="s">
        <v>4</v>
      </c>
      <c r="K21" s="13" t="s">
        <v>62</v>
      </c>
      <c r="L21" s="13" t="s">
        <v>48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349</v>
      </c>
      <c r="D22" s="32" t="s">
        <v>762</v>
      </c>
      <c r="E22" s="33">
        <v>3</v>
      </c>
      <c r="F22" s="36">
        <v>52</v>
      </c>
      <c r="G22" s="36">
        <v>57</v>
      </c>
      <c r="H22" s="38" t="str">
        <f t="shared" si="8"/>
        <v>SCOUTING</v>
      </c>
      <c r="I22" s="34">
        <v>445</v>
      </c>
      <c r="J22" s="13" t="s">
        <v>4</v>
      </c>
      <c r="K22" s="13" t="s">
        <v>62</v>
      </c>
      <c r="L22" s="13" t="s">
        <v>48</v>
      </c>
      <c r="M22" s="13" t="s">
        <v>24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349</v>
      </c>
      <c r="D23" s="32" t="s">
        <v>763</v>
      </c>
      <c r="E23" s="33">
        <v>4</v>
      </c>
      <c r="F23" s="36">
        <v>63</v>
      </c>
      <c r="G23" s="36">
        <v>73</v>
      </c>
      <c r="H23" s="38" t="str">
        <f t="shared" si="8"/>
        <v>SCOUTING</v>
      </c>
      <c r="I23" s="34">
        <v>544</v>
      </c>
      <c r="J23" s="13" t="s">
        <v>3</v>
      </c>
      <c r="K23" s="13" t="s">
        <v>62</v>
      </c>
      <c r="L23" s="13" t="s">
        <v>76</v>
      </c>
      <c r="M23" s="13" t="s">
        <v>28</v>
      </c>
      <c r="N23" s="35" t="s">
        <v>764</v>
      </c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1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3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REPORT_E2025349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"E2025349"</v>
      </c>
      <c r="F3" s="45" t="str">
        <f t="shared" ref="F3:F16" si="0">""""&amp;B3&amp;"""" &amp; " : " &amp;C3&amp;","</f>
        <v>"name" : "E2025349",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"E349"</v>
      </c>
      <c r="F4" s="45" t="str">
        <f t="shared" si="0"/>
        <v>"cod" : "E349",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349</v>
      </c>
      <c r="F6" s="45" t="str">
        <f t="shared" si="0"/>
        <v>"number" : 349,</v>
      </c>
    </row>
    <row r="7" spans="2:6" x14ac:dyDescent="0.25">
      <c r="B7" s="43" t="s">
        <v>116</v>
      </c>
      <c r="C7" s="43" t="str">
        <f ca="1">""""&amp;TEXT('SCOUT &amp; LOGISTICS'!B3,"dd/mm/aaaa")&amp;""""</f>
        <v>"03/04/2026"</v>
      </c>
      <c r="F7" s="45" t="str">
        <f t="shared" ca="1" si="0"/>
        <v>"date" : "03/04/2026",</v>
      </c>
    </row>
    <row r="8" spans="2:6" x14ac:dyDescent="0.25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"STEPHANE DURIEUX"</v>
      </c>
      <c r="F10" s="45" t="str">
        <f t="shared" si="0"/>
        <v>"Data_entry" : "STEPHANE DURIEUX",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"JEAN-MARC MORENTE"</v>
      </c>
      <c r="F11" s="45" t="str">
        <f t="shared" si="0"/>
        <v>"Caller_1" : "JEAN-MARC MORENTE",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"STEPHANE FITOUSSI"</v>
      </c>
      <c r="F12" s="45" t="str">
        <f t="shared" si="0"/>
        <v>"Caller_2" : "STEPHANE FITOUSSI",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"SOPHIE GAUDIN"</v>
      </c>
      <c r="F13" s="45" t="str">
        <f t="shared" si="0"/>
        <v>"Timerkeeper" : "SOPHIE GAUDIN",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"ALAIN FERRANT"</v>
      </c>
      <c r="F14" s="45" t="str">
        <f t="shared" si="0"/>
        <v>"Shotclock" : "ALAIN FERRANT",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"KADER SI-TAYEB"</v>
      </c>
      <c r="F15" s="45" t="str">
        <f t="shared" si="0"/>
        <v>"IRS" : "KADER SI-TAYEB",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600</v>
      </c>
      <c r="F25" s="45" t="str">
        <f t="shared" ref="F25:F48" si="1">""""&amp;C25&amp;"""" &amp; " : " &amp;D25&amp;","</f>
        <v>"total_actions" : 600,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"1,2%"</v>
      </c>
      <c r="F27" s="45" t="str">
        <f t="shared" si="1"/>
        <v>"%_corrections" : "1,2%",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2</v>
      </c>
      <c r="F36" s="45" t="str">
        <f t="shared" si="1"/>
        <v>"boxscore_corrections" : 2,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2</v>
      </c>
      <c r="F40" s="45" t="str">
        <f t="shared" si="1"/>
        <v>"missing" : 2,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can understand how deceived you may feel after today, so keep focused for next matches. Today was a shitty game :("</v>
      </c>
      <c r="F51" s="45" t="str">
        <f>""""&amp;B51&amp;"""" &amp; " : " &amp;C51&amp;","</f>
        <v>"comments" : "I can understand how deceived you may feel after today, so keep focused for next matches. Today was a shitty game :(",</v>
      </c>
    </row>
    <row r="52" spans="2:6" x14ac:dyDescent="0.25">
      <c r="B52" s="43" t="s">
        <v>153</v>
      </c>
      <c r="C52" s="43" t="str">
        <f>TEXT('SCOUT &amp; LOGISTICS'!F1,"0,0")</f>
        <v>35_349_ASV_OLY_E2025</v>
      </c>
      <c r="F52" s="45" t="str">
        <f>""""&amp;B52&amp;"""" &amp; " : " &amp;C52</f>
        <v>"result" : 35_349_ASV_OLY_E2025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E349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03/04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Ldlc Asvel Villeurbanne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STEPHANE DURIEUX</v>
      </c>
      <c r="C8" s="206"/>
      <c r="D8" s="206"/>
      <c r="E8" s="206"/>
      <c r="F8" s="206"/>
      <c r="G8" s="206" t="str">
        <f>IF('SCOUT &amp; LOGISTICS'!D7="","",'SCOUT &amp; LOGISTICS'!D7)</f>
        <v>JEAN-MARC MORENTE</v>
      </c>
      <c r="H8" s="206"/>
      <c r="I8" s="206"/>
      <c r="J8" s="206"/>
      <c r="K8" s="206"/>
      <c r="L8" s="206" t="str">
        <f>IF('SCOUT &amp; LOGISTICS'!D8="","",'SCOUT &amp; LOGISTICS'!D8)</f>
        <v>STEPHANE FITOUSSI</v>
      </c>
      <c r="M8" s="206"/>
      <c r="N8" s="206"/>
      <c r="O8" s="206"/>
      <c r="P8" s="206"/>
      <c r="Q8" s="206" t="str">
        <f>IF('SCOUT &amp; LOGISTICS'!D9="","",'SCOUT &amp; LOGISTICS'!D9)</f>
        <v>SOPHIE GAUDIN</v>
      </c>
      <c r="R8" s="206"/>
      <c r="S8" s="206"/>
      <c r="T8" s="206"/>
      <c r="U8" s="206"/>
      <c r="V8" s="206" t="str">
        <f>IF('SCOUT &amp; LOGISTICS'!D10="","",'SCOUT &amp; LOGISTICS'!D10)</f>
        <v>ALAIN FERRANT</v>
      </c>
      <c r="W8" s="206"/>
      <c r="X8" s="206"/>
      <c r="Y8" s="206"/>
      <c r="Z8" s="206"/>
      <c r="AA8" s="206" t="str">
        <f>IF('SCOUT &amp; LOGISTICS'!D11="","",'SCOUT &amp; LOGISTICS'!D11)</f>
        <v>KADER SI-TAYEB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600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1.1666666666666667E-2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6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2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2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I can understand how deceived you may feel after today, so keep focused for next matches. Today was a shitty game :(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38.666666666666664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FF4949-9C59-4624-9A8A-3A9756237015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2026-04-03T20:29:22Z</cp:lastPrinted>
  <dcterms:created xsi:type="dcterms:W3CDTF">2023-09-19T19:50:35Z</dcterms:created>
  <dcterms:modified xsi:type="dcterms:W3CDTF">2026-04-03T20:29:32Z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