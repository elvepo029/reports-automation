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1" documentId="8_{D23EAC2A-8F65-40E4-8F53-FB518027F835}" xr6:coauthVersionLast="47" xr6:coauthVersionMax="47" xr10:uidLastSave="{1AA1EE85-F6BC-478C-96A3-75ABC2C9AC59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<sst xmlns="http://schemas.openxmlformats.org/spreadsheetml/2006/main" count="3245" uniqueCount="759">
  <si>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</si>
  <si>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</si>
  <si>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</si>
  <si>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</si>
  <si>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</si>
  <si>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</si>
  <si>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</si>
  <si>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</si>
  <si>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</si>
  <si>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</si>
  <si>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</si>
  <si>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</si>
  <si>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</si>
  <si>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</si>
  <si>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</si>
  <si>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</si>
  <si>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</si>
  <si>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</si>
  <si>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</si>
  <si>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</si>
  <si>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</si>
  <si>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</si>
  <si>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</si>
  <si>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</si>
  <si>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</si>
  <si>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</si>
  <si>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</si>
  <si>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</si>
  <si>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</si>
  <si>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</si>
  <si>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</si>
  <si>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</si>
  <si>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</si>
  <si>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</si>
  <si>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</si>
  <si>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</si>
  <si>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</si>
  <si>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</si>
  <si>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</si>
  <si>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</si>
  <si>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</si>
  <si>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</si>
  <si>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</si>
  <si>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</si>
  <si>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</si>
  <si>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</si>
  <si>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</si>
  <si>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</si>
  <si>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</si>
  <si>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</si>
  <si>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</si>
  <si>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</si>
  <si>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</si>
  <si>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</si>
  <si>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</si>
  <si>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</si>
  <si>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</si>
  <si>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</si>
  <si>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</si>
  <si>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</si>
  <si>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</si>
  <si>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</si>
  <si>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</si>
  <si>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</si>
  <si>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</si>
  <si>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</si>
  <si>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</si>
  <si>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</si>
  <si>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</si>
  <si>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</si>
  <si>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</si>
  <si>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</si>
  <si>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</si>
  <si>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</si>
  <si>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</si>
  <si>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</si>
  <si>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</si>
  <si>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</si>
  <si>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</si>
  <si>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</si>
  <si>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</si>
  <si>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</si>
  <si>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</si>
  <si>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</si>
  <si>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</si>
  <si>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</si>
  <si>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</si>
  <si>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</si>
  <si>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</si>
  <si>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</si>
  <si>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</si>
  <si>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</si>
  <si>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</si>
  <si>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</si>
  <si>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</si>
  <si>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</si>
  <si>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</si>
  <si>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</si>
  <si>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</si>
  <si>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</si>
  <si>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</si>
  <si>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</si>
  <si>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</si>
  <si>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</si>
  <si>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</si>
  <si>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</si>
  <si>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</si>
  <si>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</si>
  <si>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</si>
  <si>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</si>
  <si>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</si>
  <si>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</si>
  <si>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</si>
  <si>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</si>
  <si>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</si>
  <si>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</si>
  <si>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</si>
  <si>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</si>
  <si>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</si>
  <si>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</si>
  <si>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</si>
  <si>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</si>
  <si>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</si>
  <si>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</si>
  <si>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</si>
  <si>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</si>
  <si>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</si>
  <si>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</si>
  <si>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</si>
  <si>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</si>
  <si>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</si>
  <si>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</si>
  <si>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</si>
  <si>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</si>
  <si>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</si>
  <si>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</si>
  <si>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</si>
  <si>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</si>
  <si>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</si>
  <si>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</si>
  <si>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</si>
  <si>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</si>
  <si>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</si>
  <si>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</si>
  <si>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</si>
  <si>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</si>
  <si>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</si>
  <si>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</si>
  <si>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</si>
  <si>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</si>
  <si>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</si>
  <si>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</si>
  <si>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</si>
  <si>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</si>
  <si>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</si>
  <si>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</si>
  <si>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</si>
  <si>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</si>
  <si>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</si>
  <si>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</si>
  <si>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</si>
  <si>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</si>
  <si>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</si>
  <si>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</si>
  <si>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</si>
  <si>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</si>
  <si>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</si>
  <si>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</si>
  <si>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</si>
  <si>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</si>
  <si>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</si>
  <si>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</si>
  <si>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</si>
  <si>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</si>
  <si>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</si>
  <si>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</si>
  <si>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</si>
  <si>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</si>
  <si>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</si>
  <si>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</si>
  <si>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</si>
  <si>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</si>
  <si>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</si>
  <si>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</si>
  <si>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</si>
  <si>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</si>
  <si>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</si>
  <si>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</si>
  <si>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</si>
  <si>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</si>
  <si>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</si>
  <si>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</si>
  <si>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</si>
  <si>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</si>
  <si>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</si>
  <si>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</si>
  <si>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</si>
  <si>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</si>
  <si>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</si>
  <si>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</si>
  <si>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</si>
  <si>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</si>
  <si>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</si>
  <si>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</si>
  <si>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</si>
  <si>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</si>
  <si>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</si>
  <si>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</si>
  <si>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</si>
  <si>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</si>
  <si>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</si>
  <si>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</si>
  <si>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</si>
  <si>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</si>
  <si>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</si>
  <si>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</si>
  <si>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</si>
  <si>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</si>
  <si>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</si>
  <si>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</si>
  <si>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</si>
  <si>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</si>
  <si>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</si>
  <si>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</si>
  <si>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</si>
  <si>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</si>
  <si>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</si>
  <si>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</si>
  <si>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</si>
  <si>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</si>
  <si>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</si>
  <si>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</si>
  <si>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</si>
  <si>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</si>
  <si>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</si>
  <si>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</si>
  <si>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</si>
  <si>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</si>
  <si>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</si>
  <si>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</si>
  <si>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</si>
  <si>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</si>
  <si>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</si>
  <si>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</si>
  <si>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</si>
  <si>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</si>
  <si>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</si>
  <si>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</si>
  <si>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</si>
  <si>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</si>
  <si>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</si>
  <si>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</si>
  <si>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</si>
  <si>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</si>
  <si>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</si>
  <si>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</si>
  <si>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</si>
  <si>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</si>
  <si>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</si>
  <si>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</si>
  <si>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</si>
  <si>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</si>
  <si>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</si>
  <si>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</si>
  <si>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</si>
  <si>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</si>
  <si>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</si>
  <si>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</si>
  <si>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</si>
  <si>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</si>
  <si>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</si>
  <si>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</si>
  <si>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</si>
  <si>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</si>
  <si>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</si>
  <si>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</si>
  <si>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</si>
  <si>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</si>
  <si>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</si>
  <si>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</si>
  <si>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</si>
  <si>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</si>
  <si>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</si>
  <si>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</si>
  <si>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</si>
  <si>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</si>
  <si>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</si>
  <si>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</si>
  <si>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</si>
  <si>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</si>
  <si>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</si>
  <si>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</si>
  <si>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</si>
  <si>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</si>
  <si>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</si>
  <si>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</si>
  <si>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</si>
  <si>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</si>
  <si>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</si>
  <si>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</si>
  <si>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</si>
  <si>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</si>
  <si>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</si>
  <si>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</si>
  <si>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</si>
  <si>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</si>
  <si>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</si>
  <si>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</si>
  <si>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</si>
  <si>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</si>
  <si>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</si>
  <si>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</si>
  <si>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</si>
  <si>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</si>
  <si>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</si>
  <si>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</si>
  <si>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</si>
  <si>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</si>
  <si>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</si>
  <si>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</si>
  <si>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</si>
  <si>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</si>
  <si>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</si>
  <si>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</si>
  <si>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</si>
  <si>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</si>
  <si>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</si>
  <si>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</si>
  <si>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</si>
  <si>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</si>
  <si>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</si>
  <si>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</si>
  <si>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</si>
  <si>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</si>
  <si>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</si>
  <si>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</si>
  <si>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</si>
  <si>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</si>
  <si>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</si>
  <si>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</si>
  <si>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</si>
  <si>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</si>
  <si>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</si>
  <si>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</si>
  <si>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</si>
  <si>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</si>
  <si>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</si>
  <si>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</si>
  <si>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</si>
  <si>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</si>
  <si>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</si>
  <si>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</si>
  <si>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</si>
  <si>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</si>
  <si>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</si>
  <si>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</si>
  <si>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</si>
  <si>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</si>
  <si>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</si>
  <si>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</si>
  <si>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</si>
  <si>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</si>
  <si>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</si>
  <si>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</si>
  <si>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</si>
  <si>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</si>
  <si>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</si>
  <si>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</si>
  <si>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</si>
  <si>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</si>
  <si>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</si>
  <si>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</si>
  <si>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</si>
  <si>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</si>
  <si>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</si>
  <si>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</si>
  <si>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</si>
  <si>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</si>
  <si>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</si>
  <si>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</si>
  <si>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</si>
  <si>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</si>
  <si>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</si>
  <si>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</si>
  <si>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</si>
  <si>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</si>
  <si>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</si>
  <si>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</si>
  <si>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</si>
  <si>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</si>
  <si>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</si>
  <si>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</si>
  <si>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</si>
  <si>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</si>
  <si>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</si>
  <si>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</si>
  <si>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</si>
  <si>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</si>
  <si>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</si>
  <si>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</si>
  <si>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</si>
  <si>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</si>
  <si>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</si>
  <si>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</si>
  <si>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</si>
  <si>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</si>
  <si>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</si>
  <si>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</si>
  <si>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</si>
  <si>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</si>
  <si>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</si>
  <si>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</si>
  <si>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</si>
  <si>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</si>
  <si>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</si>
  <si>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</si>
  <si>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</si>
  <si>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</si>
  <si>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</si>
  <si>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</si>
  <si>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</si>
  <si>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</si>
  <si>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</si>
  <si>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</si>
  <si>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</si>
  <si>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</si>
  <si>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</si>
  <si>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</si>
  <si>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</si>
  <si>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</si>
  <si>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</si>
  <si>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</si>
  <si>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</si>
  <si>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</si>
  <si>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</si>
  <si>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</si>
  <si>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</si>
  <si>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</si>
  <si>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</si>
  <si>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</si>
  <si>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</si>
  <si>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</si>
  <si>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</si>
  <si>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</si>
  <si>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</si>
  <si>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</si>
  <si>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</si>
  <si>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</si>
  <si>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</si>
  <si>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</si>
  <si>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</si>
  <si>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</si>
  <si>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</si>
  <si>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</si>
  <si>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</si>
  <si>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</si>
  <si>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</si>
  <si>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</si>
  <si>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</si>
  <si>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</si>
  <si>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</si>
  <si>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</si>
  <si>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</si>
  <si>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</si>
  <si>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</si>
  <si>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</si>
  <si>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</si>
  <si>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</si>
  <si>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</si>
  <si>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</si>
  <si>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</si>
  <si>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</si>
  <si>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</si>
  <si>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</si>
  <si>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</si>
  <si>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</si>
  <si>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</si>
  <si>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</si>
  <si>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</si>
  <si>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</si>
  <si>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</si>
  <si>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</si>
  <si>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</si>
  <si>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</si>
  <si>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</si>
  <si>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</si>
  <si>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</si>
  <si>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</si>
  <si>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</si>
  <si>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</si>
  <si>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</si>
  <si>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</si>
  <si>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</si>
  <si>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</si>
  <si>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</si>
  <si>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</si>
  <si>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</si>
  <si>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</si>
  <si>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</si>
  <si>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</si>
  <si>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</si>
  <si>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</si>
  <si>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</si>
  <si>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</si>
  <si>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</si>
  <si>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</si>
  <si>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</si>
  <si>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</si>
  <si>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</si>
  <si>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</si>
  <si>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</si>
  <si>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</si>
  <si>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</si>
  <si>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</si>
  <si>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</si>
  <si>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</si>
  <si>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</si>
  <si>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</si>
  <si>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</si>
  <si>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</si>
  <si>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</si>
  <si>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</si>
  <si>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</si>
  <si>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</si>
  <si>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</si>
  <si>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</si>
  <si>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</si>
  <si>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</si>
  <si>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</si>
  <si>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</si>
  <si>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</si>
  <si>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</si>
  <si>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</si>
  <si>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</si>
  <si>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</si>
  <si>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</si>
  <si>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</si>
  <si>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</si>
  <si>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</si>
  <si>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</si>
  <si>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</si>
  <si>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</si>
  <si>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</si>
  <si>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</si>
  <si>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</si>
  <si>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</si>
  <si>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</si>
  <si>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</si>
  <si>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</si>
  <si>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</si>
  <si>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</si>
  <si>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</si>
  <si>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</si>
  <si>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</si>
  <si>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</si>
  <si>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</si>
  <si>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</si>
  <si>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</si>
  <si>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</si>
  <si>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</si>
  <si>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</si>
  <si>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</si>
  <si>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</si>
  <si>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</si>
  <si>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</si>
  <si>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</si>
  <si>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</si>
  <si>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</si>
  <si>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</si>
  <si>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</si>
  <si>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</si>
  <si>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</si>
  <si>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</si>
  <si>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</si>
  <si>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</si>
  <si>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</si>
  <si>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</si>
  <si>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</si>
  <si>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</si>
  <si>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</si>
  <si>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</si>
  <si>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</si>
  <si>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</si>
  <si>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</si>
  <si>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</si>
  <si>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</si>
  <si>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</si>
  <si>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</si>
  <si>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</si>
  <si>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</si>
  <si>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</si>
  <si>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</si>
  <si>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</si>
  <si>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</si>
  <si>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</si>
  <si>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</si>
  <si>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</si>
  <si>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</si>
  <si>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</si>
  <si>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</si>
  <si>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</si>
  <si>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</si>
  <si>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</si>
  <si>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</si>
  <si>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</si>
  <si>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</si>
  <si>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</si>
  <si>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</si>
  <si>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</si>
  <si>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</si>
  <si>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</si>
  <si>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</si>
  <si>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</si>
  <si>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</si>
  <si>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</si>
  <si>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</si>
  <si>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</si>
  <si>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</si>
  <si>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</si>
  <si>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</si>
  <si>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</si>
  <si>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</si>
  <si>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</si>
  <si>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</si>
  <si>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</si>
  <si>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</si>
  <si>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</si>
  <si>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</si>
  <si>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</si>
  <si>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</si>
  <si>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</si>
  <si>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</si>
  <si>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</si>
  <si>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</si>
  <si>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</si>
  <si>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</si>
  <si>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</si>
  <si>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</si>
  <si>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</si>
  <si>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</si>
  <si>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</si>
  <si>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</si>
  <si>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</si>
  <si>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</si>
  <si>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</si>
  <si>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</si>
  <si>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</si>
  <si>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</si>
  <si>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</si>
  <si>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</si>
  <si>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</si>
  <si>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</si>
  <si>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</si>
  <si>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</si>
  <si>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</si>
  <si>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</si>
  <si>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</si>
  <si>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</si>
  <si>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</si>
  <si>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</si>
  <si>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</si>
  <si>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</si>
  <si>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</si>
  <si>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</si>
  <si>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</si>
  <si>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</si>
  <si>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</si>
  <si>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</si>
  <si>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</si>
  <si>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</si>
  <si>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</si>
  <si>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</si>
  <si>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</si>
  <si>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</si>
  <si>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</si>
  <si>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</si>
  <si>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</si>
  <si>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</si>
  <si>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</si>
  <si>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</si>
  <si>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</si>
  <si>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</si>
  <si>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</si>
  <si>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</si>
  <si>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</si>
  <si>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</si>
  <si>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</si>
  <si>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</si>
  <si>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</si>
  <si>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</si>
  <si>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</si>
  <si>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</si>
  <si>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</si>
  <si>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</si>
  <si>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</si>
  <si>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</si>
  <si>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</si>
  <si>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</si>
  <si>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</si>
  <si>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</si>
  <si>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</si>
  <si>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</si>
  <si>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</si>
  <si>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</si>
  <si>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</si>
  <si>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</si>
  <si>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</si>
  <si>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</si>
  <si>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</si>
  <si>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</si>
  <si>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</si>
  <si>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</si>
  <si>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</si>
  <si>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</si>
  <si>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</si>
  <si>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</si>
  <si>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</si>
  <si>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</si>
  <si>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</si>
  <si>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</si>
  <si>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</si>
  <si>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</si>
  <si>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</si>
  <si>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</si>
  <si>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</si>
  <si>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</si>
  <si>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</si>
  <si>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</si>
  <si>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</si>
  <si>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</si>
  <si>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</si>
  <si>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</si>
  <si>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</si>
  <si>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</si>
  <si>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</si>
  <si>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</si>
  <si>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</si>
  <si>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</si>
  <si>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</si>
  <si>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</si>
  <si>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</si>
  <si>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</si>
  <si>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</si>
  <si>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</si>
  <si>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</si>
  <si>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</si>
  <si>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</si>
  <si>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</si>
  <si>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</si>
  <si>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</si>
  <si>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</si>
  <si>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</si>
  <si>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ANDONI COLMENERO</t>
  </si>
  <si>
    <t>RAQUEL GARCIA-SAMPEDRO</t>
  </si>
  <si>
    <t>LUIS MOULIAA</t>
  </si>
  <si>
    <t>RODRIGO MENDAZA</t>
  </si>
  <si>
    <t>FERNANDO ESTARRONA</t>
  </si>
  <si>
    <t>IKER BASCONES</t>
  </si>
  <si>
    <t>Excellent job! Congratullations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</si>
</sst>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36_351_BAS_TEL_E2025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46119.875</v>
      </c>
      <c r="C3" s="178"/>
      <c r="D3" s="39">
        <v>653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742</v>
      </c>
      <c r="L4" s="5"/>
      <c r="M4" s="185" t="s">
        <v>758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755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351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REPORT_E2025351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"E2025351"</v>
      </c>
      <c r="F3" s="45" t="str">
        <f t="shared" ref="F3:F16" si="0">""""&amp;B3&amp;"""" &amp; " : " &amp;C3&amp;","</f>
        <v>"name" : "E2025351",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"E351"</v>
      </c>
      <c r="F4" s="45" t="str">
        <f t="shared" si="0"/>
        <v>"cod" : "E351",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351</v>
      </c>
      <c r="F6" s="45" t="str">
        <f t="shared" si="0"/>
        <v>"number" : 351,</v>
      </c>
    </row>
    <row r="7" spans="2:6" x14ac:dyDescent="0.25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"RODRIGO MENDAZA"</v>
      </c>
      <c r="F13" s="45" t="str">
        <f t="shared" si="0"/>
        <v>"Timerkeeper" : "RODRIGO MENDAZA",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"FERNANDO ESTARRONA"</v>
      </c>
      <c r="F14" s="45" t="str">
        <f t="shared" si="0"/>
        <v>"Shotclock" : "FERNANDO ESTARRONA",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653</v>
      </c>
      <c r="F25" s="45" t="str">
        <f t="shared" ref="F25:F48" si="1">""""&amp;C25&amp;"""" &amp; " : " &amp;D25&amp;","</f>
        <v>"total_actions" : 653,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Congratullations"</v>
      </c>
      <c r="F51" s="45" t="str">
        <f>""""&amp;B51&amp;"""" &amp; " : " &amp;C51&amp;","</f>
        <v>"comments" : "Excellent job! Congratullations",</v>
      </c>
    </row>
    <row r="52" spans="2:6" x14ac:dyDescent="0.25">
      <c r="B52" s="43" t="s">
        <v>153</v>
      </c>
      <c r="C52" s="43" t="str">
        <f>TEXT('SCOUT &amp; LOGISTICS'!F1,"0,0")</f>
        <v>36_351_BAS_TEL_E2025</v>
      </c>
      <c r="F52" s="45" t="str">
        <f>""""&amp;B52&amp;"""" &amp; " : " &amp;C52</f>
        <v>"result" : 36_351_BAS_TEL_E2025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E351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ANDONI COLMENERO</v>
      </c>
      <c r="C8" s="201"/>
      <c r="D8" s="201"/>
      <c r="E8" s="201"/>
      <c r="F8" s="201"/>
      <c r="G8" s="201" t="str">
        <f>IF('SCOUT &amp; LOGISTICS'!D7="","",'SCOUT &amp; LOGISTICS'!D7)</f>
        <v>RAQUEL GARCIA-SAMPEDRO</v>
      </c>
      <c r="H8" s="201"/>
      <c r="I8" s="201"/>
      <c r="J8" s="201"/>
      <c r="K8" s="201"/>
      <c r="L8" s="201" t="str">
        <f>IF('SCOUT &amp; LOGISTICS'!D8="","",'SCOUT &amp; LOGISTICS'!D8)</f>
        <v>LUIS MOULIAA</v>
      </c>
      <c r="M8" s="201"/>
      <c r="N8" s="201"/>
      <c r="O8" s="201"/>
      <c r="P8" s="201"/>
      <c r="Q8" s="201" t="str">
        <f>IF('SCOUT &amp; LOGISTICS'!D9="","",'SCOUT &amp; LOGISTICS'!D9)</f>
        <v>RODRIGO MENDAZA</v>
      </c>
      <c r="R8" s="201"/>
      <c r="S8" s="201"/>
      <c r="T8" s="201"/>
      <c r="U8" s="201"/>
      <c r="V8" s="201" t="str">
        <f>IF('SCOUT &amp; LOGISTICS'!D10="","",'SCOUT &amp; LOGISTICS'!D10)</f>
        <v>FERNANDO ESTARRONA</v>
      </c>
      <c r="W8" s="201"/>
      <c r="X8" s="201"/>
      <c r="Y8" s="201"/>
      <c r="Z8" s="201"/>
      <c r="AA8" s="201" t="str">
        <f>IF('SCOUT &amp; LOGISTICS'!D11="","",'SCOUT &amp; LOGISTICS'!D11)</f>
        <v>IKER BASCONES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653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Excellent job! Congratullations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B24B164-9AF6-4ECB-BC73-FF107F34D3D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2026-04-07T21:16:45Z</cp:lastPrinted>
  <dcterms:created xsi:type="dcterms:W3CDTF">2023-09-19T19:50:35Z</dcterms:created>
  <dcterms:modified xsi:type="dcterms:W3CDTF">2026-04-07T21:16:49Z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