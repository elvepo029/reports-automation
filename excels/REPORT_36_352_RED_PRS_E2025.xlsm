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E09F2CA0-1AE9-4A7C-A7FA-4DFCA688DA98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<sst xmlns="http://schemas.openxmlformats.org/spreadsheetml/2006/main" count="3235" uniqueCount="752">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</sst>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36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36_352_RED_PRS_E2025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352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46119.833333333336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Crvena Zvezda Meridianbet Belgrade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RED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Paris Basketball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PRS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REPORT_E2025352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"E2025352"</v>
      </c>
      <c r="F3" s="45" t="str">
        <f t="shared" ref="F3:F16" si="0">""""&amp;B3&amp;"""" &amp; " : " &amp;C3&amp;","</f>
        <v>"name" : "E2025352",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"E352"</v>
      </c>
      <c r="F4" s="45" t="str">
        <f t="shared" si="0"/>
        <v>"cod" : "E352",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352</v>
      </c>
      <c r="F6" s="45" t="str">
        <f t="shared" si="0"/>
        <v>"number" : 352,</v>
      </c>
    </row>
    <row r="7" spans="2:6" x14ac:dyDescent="0.2">
      <c r="B7" s="43" t="s">
        <v>116</v>
      </c>
      <c r="C7" s="43" t="str">
        <f ca="1">""""&amp;TEXT('SCOUT &amp; LOGISTICS'!B3,"dd/mm/aaaa")&amp;""""</f>
        <v>"07/04/Tuesday"</v>
      </c>
      <c r="F7" s="45" t="str">
        <f t="shared" ca="1" si="0"/>
        <v>"date" : "07/04/Tuesday",</v>
      </c>
    </row>
    <row r="8" spans="2:6" x14ac:dyDescent="0.2">
      <c r="B8" s="43" t="s">
        <v>125</v>
      </c>
      <c r="C8" s="43" t="str">
        <f>""""&amp;'SCOUT &amp; LOGISTICS'!D4 &amp;""""</f>
        <v>"Crvena Zvezda Meridianbet Belgrade"</v>
      </c>
      <c r="F8" s="45" t="str">
        <f t="shared" si="0"/>
        <v>"home_team" : "Crvena Zvezda Meridianbet Belgrade",</v>
      </c>
    </row>
    <row r="9" spans="2:6" x14ac:dyDescent="0.2">
      <c r="B9" s="43" t="s">
        <v>126</v>
      </c>
      <c r="C9" s="43" t="str">
        <f>""""&amp;'SCOUT &amp; LOGISTICS'!D5&amp;""""</f>
        <v>"Paris Basketball"</v>
      </c>
      <c r="F9" s="45" t="str">
        <f t="shared" si="0"/>
        <v>"away_team" : "Paris Basketball",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36_352_RED_PRS_E2025</v>
      </c>
      <c r="F52" s="45" t="str">
        <f>""""&amp;B52&amp;"""" &amp; " : " &amp;C52</f>
        <v>"result" : 36_352_RED_PRS_E2025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E352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07/04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Crvena Zvezda Meridianbet Belgrade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Paris Basketball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3F695BD5-5DF8-446F-A6BF-17E94F568195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2025-10-09T17:20:00Z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