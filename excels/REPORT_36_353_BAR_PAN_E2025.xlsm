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146522D3-0763-43B0-A553-6AAF262BB727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<sst xmlns="http://schemas.openxmlformats.org/spreadsheetml/2006/main" count="3265" uniqueCount="762">
  <si>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</si>
  <si>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</si>
  <si>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</si>
  <si>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</si>
  <si>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</si>
  <si>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</si>
  <si>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</si>
  <si>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</si>
  <si>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</si>
  <si>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</si>
  <si>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</si>
  <si>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</si>
  <si>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</si>
  <si>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</si>
  <si>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</si>
  <si>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</si>
  <si>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</si>
  <si>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</si>
  <si>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</si>
  <si>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</si>
  <si>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</si>
  <si>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</si>
  <si>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</si>
  <si>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</si>
  <si>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</si>
  <si>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</si>
  <si>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</si>
  <si>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</si>
  <si>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</si>
  <si>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</si>
  <si>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</si>
  <si>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</si>
  <si>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</si>
  <si>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</si>
  <si>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</si>
  <si>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</si>
  <si>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</si>
  <si>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</si>
  <si>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</si>
  <si>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</si>
  <si>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</si>
  <si>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</si>
  <si>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</si>
  <si>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</si>
  <si>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</si>
  <si>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</si>
  <si>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</si>
  <si>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</si>
  <si>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</si>
  <si>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</si>
  <si>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</si>
  <si>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</si>
  <si>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</si>
  <si>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</si>
  <si>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</si>
  <si>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</si>
  <si>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</si>
  <si>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</si>
  <si>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</si>
  <si>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</si>
  <si>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</si>
  <si>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</si>
  <si>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</si>
  <si>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</si>
  <si>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</si>
  <si>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</si>
  <si>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</si>
  <si>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</si>
  <si>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</si>
  <si>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</si>
  <si>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</si>
  <si>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</si>
  <si>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</si>
  <si>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</si>
  <si>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</si>
  <si>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</si>
  <si>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</si>
  <si>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</si>
  <si>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</si>
  <si>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</si>
  <si>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</si>
  <si>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</si>
  <si>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</si>
  <si>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</si>
  <si>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</si>
  <si>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</si>
  <si>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</si>
  <si>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</si>
  <si>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</si>
  <si>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</si>
  <si>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</si>
  <si>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</si>
  <si>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</si>
  <si>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</si>
  <si>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</si>
  <si>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</si>
  <si>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</si>
  <si>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</si>
  <si>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</si>
  <si>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</si>
  <si>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</si>
  <si>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</si>
  <si>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</si>
  <si>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</si>
  <si>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</si>
  <si>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</si>
  <si>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</si>
  <si>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</si>
  <si>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</si>
  <si>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</si>
  <si>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</si>
  <si>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</si>
  <si>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</si>
  <si>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</si>
  <si>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</si>
  <si>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</si>
  <si>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</si>
  <si>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</si>
  <si>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</si>
  <si>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</si>
  <si>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</si>
  <si>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</si>
  <si>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</si>
  <si>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</si>
  <si>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</si>
  <si>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</si>
  <si>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</si>
  <si>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</si>
  <si>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</si>
  <si>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</si>
  <si>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</si>
  <si>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</si>
  <si>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</si>
  <si>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</si>
  <si>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</si>
  <si>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</si>
  <si>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</si>
  <si>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</si>
  <si>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</si>
  <si>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</si>
  <si>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</si>
  <si>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</si>
  <si>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</si>
  <si>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</si>
  <si>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</si>
  <si>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</si>
  <si>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</si>
  <si>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</si>
  <si>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</si>
  <si>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</si>
  <si>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</si>
  <si>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</si>
  <si>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</si>
  <si>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</si>
  <si>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</si>
  <si>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</si>
  <si>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</si>
  <si>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</si>
  <si>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</si>
  <si>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</si>
  <si>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</si>
  <si>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</si>
  <si>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</si>
  <si>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</si>
  <si>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</si>
  <si>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</si>
  <si>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</si>
  <si>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</si>
  <si>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</si>
  <si>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</si>
  <si>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</si>
  <si>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</si>
  <si>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</si>
  <si>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</si>
  <si>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</si>
  <si>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</si>
  <si>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</si>
  <si>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</si>
  <si>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</si>
  <si>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</si>
  <si>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</si>
  <si>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</si>
  <si>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</si>
  <si>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</si>
  <si>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</si>
  <si>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</si>
  <si>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</si>
  <si>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</si>
  <si>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</si>
  <si>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</si>
  <si>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</si>
  <si>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</si>
  <si>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</si>
  <si>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</si>
  <si>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</si>
  <si>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</si>
  <si>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</si>
  <si>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</si>
  <si>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</si>
  <si>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</si>
  <si>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</si>
  <si>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</si>
  <si>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</si>
  <si>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</si>
  <si>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</si>
  <si>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</si>
  <si>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</si>
  <si>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</si>
  <si>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</si>
  <si>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</si>
  <si>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</si>
  <si>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</si>
  <si>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</si>
  <si>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</si>
  <si>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</si>
  <si>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</si>
  <si>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</si>
  <si>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</si>
  <si>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</si>
  <si>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</si>
  <si>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</si>
  <si>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</si>
  <si>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</si>
  <si>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</si>
  <si>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</si>
  <si>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</si>
  <si>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</si>
  <si>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</si>
  <si>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</si>
  <si>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</si>
  <si>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</si>
  <si>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</si>
  <si>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</si>
  <si>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</si>
  <si>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</si>
  <si>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</si>
  <si>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</si>
  <si>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</si>
  <si>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</si>
  <si>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</si>
  <si>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</si>
  <si>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</si>
  <si>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</si>
  <si>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</si>
  <si>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</si>
  <si>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</si>
  <si>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</si>
  <si>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</si>
  <si>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</si>
  <si>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</si>
  <si>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</si>
  <si>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</si>
  <si>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</si>
  <si>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</si>
  <si>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</si>
  <si>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</si>
  <si>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</si>
  <si>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</si>
  <si>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</si>
  <si>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</si>
  <si>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</si>
  <si>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</si>
  <si>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</si>
  <si>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</si>
  <si>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</si>
  <si>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</si>
  <si>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</si>
  <si>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</si>
  <si>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</si>
  <si>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</si>
  <si>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</si>
  <si>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</si>
  <si>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</si>
  <si>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</si>
  <si>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</si>
  <si>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</si>
  <si>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</si>
  <si>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</si>
  <si>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</si>
  <si>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</si>
  <si>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</si>
  <si>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</si>
  <si>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</si>
  <si>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</si>
  <si>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</si>
  <si>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</si>
  <si>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</si>
  <si>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</si>
  <si>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</si>
  <si>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</si>
  <si>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</si>
  <si>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</si>
  <si>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</si>
  <si>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</si>
  <si>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</si>
  <si>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</si>
  <si>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</si>
  <si>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</si>
  <si>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</si>
  <si>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</si>
  <si>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</si>
  <si>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</si>
  <si>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</si>
  <si>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</si>
  <si>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</si>
  <si>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</si>
  <si>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</si>
  <si>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</si>
  <si>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</si>
  <si>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</si>
  <si>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</si>
  <si>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</si>
  <si>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</si>
  <si>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</si>
  <si>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</si>
  <si>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</si>
  <si>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</si>
  <si>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</si>
  <si>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</si>
  <si>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</si>
  <si>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</si>
  <si>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</si>
  <si>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</si>
  <si>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</si>
  <si>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</si>
  <si>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</si>
  <si>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</si>
  <si>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</si>
  <si>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</si>
  <si>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</si>
  <si>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</si>
  <si>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</si>
  <si>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</si>
  <si>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</si>
  <si>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</si>
  <si>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</si>
  <si>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</si>
  <si>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</si>
  <si>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</si>
  <si>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</si>
  <si>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</si>
  <si>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</si>
  <si>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</si>
  <si>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</si>
  <si>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</si>
  <si>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</si>
  <si>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</si>
  <si>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</si>
  <si>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</si>
  <si>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</si>
  <si>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</si>
  <si>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</si>
  <si>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</si>
  <si>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</si>
  <si>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</si>
  <si>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</si>
  <si>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</si>
  <si>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</si>
  <si>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</si>
  <si>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</si>
  <si>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</si>
  <si>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</si>
  <si>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</si>
  <si>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</si>
  <si>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</si>
  <si>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</si>
  <si>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</si>
  <si>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</si>
  <si>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</si>
  <si>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</si>
  <si>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</si>
  <si>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</si>
  <si>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</si>
  <si>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</si>
  <si>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</si>
  <si>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</si>
  <si>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</si>
  <si>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</si>
  <si>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</si>
  <si>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</si>
  <si>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</si>
  <si>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</si>
  <si>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</si>
  <si>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</si>
  <si>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</si>
  <si>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</si>
  <si>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</si>
  <si>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</si>
  <si>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</si>
  <si>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</si>
  <si>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</si>
  <si>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</si>
  <si>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</si>
  <si>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</si>
  <si>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</si>
  <si>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</si>
  <si>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</si>
  <si>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</si>
  <si>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</si>
  <si>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</si>
  <si>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</si>
  <si>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</si>
  <si>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</si>
  <si>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</si>
  <si>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</si>
  <si>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</si>
  <si>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</si>
  <si>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</si>
  <si>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</si>
  <si>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</si>
  <si>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</si>
  <si>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</si>
  <si>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</si>
  <si>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</si>
  <si>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</si>
  <si>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</si>
  <si>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</si>
  <si>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</si>
  <si>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</si>
  <si>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</si>
  <si>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</si>
  <si>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</si>
  <si>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</si>
  <si>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</si>
  <si>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</si>
  <si>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</si>
  <si>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</si>
  <si>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</si>
  <si>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</si>
  <si>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</si>
  <si>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</si>
  <si>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</si>
  <si>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</si>
  <si>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</si>
  <si>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</si>
  <si>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</si>
  <si>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</si>
  <si>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</si>
  <si>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</si>
  <si>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</si>
  <si>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</si>
  <si>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</si>
  <si>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</si>
  <si>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</si>
  <si>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</si>
  <si>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</si>
  <si>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</si>
  <si>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</si>
  <si>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</si>
  <si>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</si>
  <si>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</si>
  <si>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</si>
  <si>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</si>
  <si>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</si>
  <si>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</si>
  <si>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</si>
  <si>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</si>
  <si>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</si>
  <si>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</si>
  <si>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</si>
  <si>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</si>
  <si>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</si>
  <si>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</si>
  <si>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</si>
  <si>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</si>
  <si>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</si>
  <si>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</si>
  <si>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</si>
  <si>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</si>
  <si>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</si>
  <si>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</si>
  <si>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</si>
  <si>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</si>
  <si>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</si>
  <si>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</si>
  <si>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</si>
  <si>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</si>
  <si>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</si>
  <si>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</si>
  <si>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</si>
  <si>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</si>
  <si>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</si>
  <si>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</si>
  <si>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</si>
  <si>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</si>
  <si>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</si>
  <si>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</si>
  <si>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</si>
  <si>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</si>
  <si>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</si>
  <si>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</si>
  <si>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</si>
  <si>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</si>
  <si>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</si>
  <si>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</si>
  <si>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</si>
  <si>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</si>
  <si>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</si>
  <si>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</si>
  <si>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</si>
  <si>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</si>
  <si>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</si>
  <si>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</si>
  <si>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</si>
  <si>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</si>
  <si>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</si>
  <si>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</si>
  <si>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</si>
  <si>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</si>
  <si>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</si>
  <si>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</si>
  <si>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</si>
  <si>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</si>
  <si>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</si>
  <si>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</si>
  <si>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</si>
  <si>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</si>
  <si>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</si>
  <si>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</si>
  <si>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</si>
  <si>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</si>
  <si>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</si>
  <si>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</si>
  <si>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</si>
  <si>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</si>
  <si>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</si>
  <si>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</si>
  <si>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</si>
  <si>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</si>
  <si>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</si>
  <si>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</si>
  <si>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</si>
  <si>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</si>
  <si>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</si>
  <si>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</si>
  <si>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</si>
  <si>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</si>
  <si>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</si>
  <si>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</si>
  <si>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</si>
  <si>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</si>
  <si>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</si>
  <si>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</si>
  <si>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</si>
  <si>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</si>
  <si>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</si>
  <si>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</si>
  <si>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</si>
  <si>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</si>
  <si>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</si>
  <si>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</si>
  <si>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</si>
  <si>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</si>
  <si>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</si>
  <si>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</si>
  <si>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</si>
  <si>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</si>
  <si>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</si>
  <si>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</si>
  <si>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</si>
  <si>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</si>
  <si>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</si>
  <si>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</si>
  <si>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</si>
  <si>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</si>
  <si>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</si>
  <si>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</si>
  <si>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</si>
  <si>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</si>
  <si>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</si>
  <si>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</si>
  <si>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</si>
  <si>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</si>
  <si>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</si>
  <si>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</si>
  <si>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</si>
  <si>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</si>
  <si>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</si>
  <si>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</si>
  <si>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</si>
  <si>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</si>
  <si>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</si>
  <si>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</si>
  <si>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</si>
  <si>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</si>
  <si>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</si>
  <si>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</si>
  <si>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</si>
  <si>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</si>
  <si>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</si>
  <si>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</si>
  <si>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</si>
  <si>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</si>
  <si>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</si>
  <si>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</si>
  <si>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</si>
  <si>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</si>
  <si>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</si>
  <si>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</si>
  <si>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</si>
  <si>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</si>
  <si>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</si>
  <si>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</si>
  <si>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</si>
  <si>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</si>
  <si>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</si>
  <si>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</si>
  <si>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</si>
  <si>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</si>
  <si>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</si>
  <si>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</si>
  <si>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</si>
  <si>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</si>
  <si>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</si>
  <si>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</si>
  <si>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</si>
  <si>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</si>
  <si>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</si>
  <si>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</si>
  <si>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</si>
  <si>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</si>
  <si>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</si>
  <si>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</si>
  <si>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</si>
  <si>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</si>
  <si>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</si>
  <si>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</si>
  <si>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</si>
  <si>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</si>
  <si>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</si>
  <si>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</si>
  <si>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</si>
  <si>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</si>
  <si>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</si>
  <si>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</si>
  <si>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</si>
  <si>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</si>
  <si>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</si>
  <si>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</si>
  <si>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</si>
  <si>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</si>
  <si>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</si>
  <si>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</si>
  <si>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</si>
  <si>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</si>
  <si>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</si>
  <si>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</si>
  <si>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</si>
  <si>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</si>
  <si>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</si>
  <si>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</si>
  <si>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</si>
  <si>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</si>
  <si>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</si>
  <si>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</si>
  <si>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</si>
  <si>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</si>
  <si>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</si>
  <si>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</si>
  <si>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</si>
  <si>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</si>
  <si>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</si>
  <si>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</si>
  <si>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</si>
  <si>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</si>
  <si>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</si>
  <si>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</si>
  <si>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</si>
  <si>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</si>
  <si>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</si>
  <si>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</si>
  <si>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</si>
  <si>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</si>
  <si>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</si>
  <si>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</si>
  <si>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</si>
  <si>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</si>
  <si>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</si>
  <si>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</si>
  <si>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</si>
  <si>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</si>
  <si>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</si>
  <si>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</si>
  <si>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</si>
  <si>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</si>
  <si>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</si>
  <si>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</si>
  <si>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</si>
  <si>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</si>
  <si>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</si>
  <si>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</si>
  <si>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</si>
  <si>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</si>
  <si>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</si>
  <si>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</si>
  <si>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</si>
  <si>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</si>
  <si>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</si>
  <si>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</si>
  <si>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</si>
  <si>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</si>
  <si>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</si>
  <si>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</si>
  <si>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</si>
  <si>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</si>
  <si>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</si>
  <si>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</si>
  <si>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</si>
  <si>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</si>
  <si>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</si>
  <si>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</si>
  <si>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</si>
  <si>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</si>
  <si>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</si>
  <si>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</si>
  <si>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</si>
  <si>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</si>
  <si>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</si>
  <si>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</si>
  <si>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</si>
  <si>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</si>
  <si>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</si>
  <si>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</si>
  <si>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</si>
  <si>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</si>
  <si>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</si>
  <si>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</si>
  <si>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</si>
  <si>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</si>
  <si>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</si>
  <si>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</si>
  <si>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</si>
  <si>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</si>
  <si>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</si>
  <si>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</si>
  <si>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</si>
  <si>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</si>
  <si>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</si>
  <si>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</si>
  <si>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</si>
  <si>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</si>
  <si>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</si>
  <si>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</si>
  <si>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</si>
  <si>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</si>
  <si>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</si>
  <si>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</si>
  <si>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</si>
  <si>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</si>
  <si>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</si>
  <si>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LAILA GONELL</t>
  </si>
  <si>
    <t>ROBERTO BAÑOS</t>
  </si>
  <si>
    <t>FRANCIS RUIZ</t>
  </si>
  <si>
    <t>MARIA JOSE SERRANO</t>
  </si>
  <si>
    <t>ALBERTO MORALES</t>
  </si>
  <si>
    <t>POL FRANQUESA</t>
  </si>
  <si>
    <t>OSCAR CUESTA</t>
  </si>
  <si>
    <t>7:56</t>
  </si>
  <si>
    <t>3:45</t>
  </si>
  <si>
    <t>7:43</t>
  </si>
  <si>
    <t>2:40</t>
  </si>
  <si>
    <t>Molt bon partit, malgrat els problemes d'edició. Gràcies per la comunicació constant i per ser tan curosos amb tot.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</si>
</sst>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36_353_BAR_PAN_E2025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353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46119.854166666664</v>
      </c>
      <c r="C3" s="157"/>
      <c r="D3" s="39">
        <v>486</v>
      </c>
      <c r="E3" s="29"/>
      <c r="F3" s="26">
        <f>SUBTOTAL(3,I17:I106)</f>
        <v>4</v>
      </c>
      <c r="G3" s="27">
        <f>IF(OR(D3="",D3=0),"",F3/D3)</f>
        <v>8.23045267489712E-3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8.23045267489712E-3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Panathinaikos AKTOR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0.82304526748971196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4.8230452674897117</v>
      </c>
      <c r="N7" s="58"/>
      <c r="O7" s="2"/>
      <c r="P7" s="2"/>
      <c r="Q7" s="86">
        <f>SUM(R5,S5,AC16)</f>
        <v>4.8230452674897117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4.8230452674897117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353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353</v>
      </c>
      <c r="D17" s="32" t="s">
        <v>757</v>
      </c>
      <c r="E17" s="33">
        <v>1</v>
      </c>
      <c r="F17" s="36">
        <v>2</v>
      </c>
      <c r="G17" s="36">
        <v>5</v>
      </c>
      <c r="H17" s="38" t="str">
        <f>IF(I17="","",$I$14)</f>
        <v>SCOUTING</v>
      </c>
      <c r="I17" s="34">
        <v>24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353</v>
      </c>
      <c r="D18" s="32" t="s">
        <v>758</v>
      </c>
      <c r="E18" s="33">
        <v>2</v>
      </c>
      <c r="F18" s="36">
        <v>32</v>
      </c>
      <c r="G18" s="36">
        <v>42</v>
      </c>
      <c r="H18" s="38" t="str">
        <f t="shared" ref="H18:H81" si="8">IF(I18="","",$I$14)</f>
        <v>SCOUTING</v>
      </c>
      <c r="I18" s="34">
        <v>189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353</v>
      </c>
      <c r="D19" s="32" t="s">
        <v>759</v>
      </c>
      <c r="E19" s="33">
        <v>3</v>
      </c>
      <c r="F19" s="36">
        <v>42</v>
      </c>
      <c r="G19" s="36">
        <v>60</v>
      </c>
      <c r="H19" s="38" t="str">
        <f t="shared" si="8"/>
        <v>SCOUTING</v>
      </c>
      <c r="I19" s="34">
        <v>284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353</v>
      </c>
      <c r="D20" s="32" t="s">
        <v>760</v>
      </c>
      <c r="E20" s="33">
        <v>4</v>
      </c>
      <c r="F20" s="36">
        <v>68</v>
      </c>
      <c r="G20" s="36">
        <v>93</v>
      </c>
      <c r="H20" s="38" t="str">
        <f t="shared" si="8"/>
        <v>SCOUTING</v>
      </c>
      <c r="I20" s="34">
        <v>465</v>
      </c>
      <c r="J20" s="13" t="s">
        <v>4</v>
      </c>
      <c r="K20" s="13" t="s">
        <v>62</v>
      </c>
      <c r="L20" s="13" t="s">
        <v>7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REPORT_E2025353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"E2025353"</v>
      </c>
      <c r="F3" s="45" t="str">
        <f t="shared" ref="F3:F16" si="0">""""&amp;B3&amp;"""" &amp; " : " &amp;C3&amp;","</f>
        <v>"name" : "E2025353",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"E353"</v>
      </c>
      <c r="F4" s="45" t="str">
        <f t="shared" si="0"/>
        <v>"cod" : "E353",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353</v>
      </c>
      <c r="F6" s="45" t="str">
        <f t="shared" si="0"/>
        <v>"number" : 353,</v>
      </c>
    </row>
    <row r="7" spans="2:6" x14ac:dyDescent="0.25">
      <c r="B7" s="43" t="s">
        <v>116</v>
      </c>
      <c r="C7" s="43" t="str">
        <f ca="1">""""&amp;TEXT('SCOUT &amp; LOGISTICS'!B3,"dd/mm/aaaa")&amp;""""</f>
        <v>"07/04/2026"</v>
      </c>
      <c r="F7" s="45" t="str">
        <f t="shared" ca="1" si="0"/>
        <v>"date" : "07/04/2026",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"LAILA GONELL"</v>
      </c>
      <c r="F10" s="45" t="str">
        <f t="shared" si="0"/>
        <v>"Data_entry" : "LAILA GONELL",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"ROBERTO BAÑOS"</v>
      </c>
      <c r="F11" s="45" t="str">
        <f t="shared" si="0"/>
        <v>"Caller_1" : "ROBERTO BAÑOS",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"FRANCIS RUIZ"</v>
      </c>
      <c r="F12" s="45" t="str">
        <f t="shared" si="0"/>
        <v>"Caller_2" : "FRANCIS RUIZ",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JOSE SERRANO"</v>
      </c>
      <c r="F13" s="45" t="str">
        <f t="shared" si="0"/>
        <v>"Timerkeeper" : "MARIA JOSE SERRANO",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"ALBERTO MORALES"</v>
      </c>
      <c r="F14" s="45" t="str">
        <f t="shared" si="0"/>
        <v>"Shotclock" : "ALBERTO MORALES",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"POL FRANQUESA"</v>
      </c>
      <c r="F15" s="45" t="str">
        <f t="shared" si="0"/>
        <v>"IRS" : "POL FRANQUESA",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486</v>
      </c>
      <c r="F25" s="45" t="str">
        <f t="shared" ref="F25:F48" si="1">""""&amp;C25&amp;"""" &amp; " : " &amp;D25&amp;","</f>
        <v>"total_actions" : 486,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"0,8%"</v>
      </c>
      <c r="F27" s="45" t="str">
        <f t="shared" si="1"/>
        <v>"%_corrections" : "0,8%",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"Molt bon partit, malgrat els problemes d'edició. Gràcies per la comunicació constant i per ser tan curosos amb tot."</v>
      </c>
      <c r="F51" s="45" t="str">
        <f>""""&amp;B51&amp;"""" &amp; " : " &amp;C51&amp;","</f>
        <v>"comments" : "Molt bon partit, malgrat els problemes d'edició. Gràcies per la comunicació constant i per ser tan curosos amb tot.",</v>
      </c>
    </row>
    <row r="52" spans="2:6" x14ac:dyDescent="0.25">
      <c r="B52" s="43" t="s">
        <v>153</v>
      </c>
      <c r="C52" s="43" t="str">
        <f>TEXT('SCOUT &amp; LOGISTICS'!F1,"0,0")</f>
        <v>36_353_BAR_PAN_E2025</v>
      </c>
      <c r="F52" s="45" t="str">
        <f>""""&amp;B52&amp;"""" &amp; " : " &amp;C52</f>
        <v>"result" : 36_353_BAR_PAN_E2025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E353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07/04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Panathinaikos Aktor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LAILA GONELL</v>
      </c>
      <c r="C8" s="206"/>
      <c r="D8" s="206"/>
      <c r="E8" s="206"/>
      <c r="F8" s="206"/>
      <c r="G8" s="206" t="str">
        <f>IF('SCOUT &amp; LOGISTICS'!D7="","",'SCOUT &amp; LOGISTICS'!D7)</f>
        <v>ROBERTO BAÑOS</v>
      </c>
      <c r="H8" s="206"/>
      <c r="I8" s="206"/>
      <c r="J8" s="206"/>
      <c r="K8" s="206"/>
      <c r="L8" s="206" t="str">
        <f>IF('SCOUT &amp; LOGISTICS'!D8="","",'SCOUT &amp; LOGISTICS'!D8)</f>
        <v>FRANCIS RUIZ</v>
      </c>
      <c r="M8" s="206"/>
      <c r="N8" s="206"/>
      <c r="O8" s="206"/>
      <c r="P8" s="206"/>
      <c r="Q8" s="206" t="str">
        <f>IF('SCOUT &amp; LOGISTICS'!D9="","",'SCOUT &amp; LOGISTICS'!D9)</f>
        <v>MARIA JOSE SERRANO</v>
      </c>
      <c r="R8" s="206"/>
      <c r="S8" s="206"/>
      <c r="T8" s="206"/>
      <c r="U8" s="206"/>
      <c r="V8" s="206" t="str">
        <f>IF('SCOUT &amp; LOGISTICS'!D10="","",'SCOUT &amp; LOGISTICS'!D10)</f>
        <v>ALBERTO MORALES</v>
      </c>
      <c r="W8" s="206"/>
      <c r="X8" s="206"/>
      <c r="Y8" s="206"/>
      <c r="Z8" s="206"/>
      <c r="AA8" s="206" t="str">
        <f>IF('SCOUT &amp; LOGISTICS'!D11="","",'SCOUT &amp; LOGISTICS'!D11)</f>
        <v>POL FRANQUESA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486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8.23045267489712E-3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Molt bon partit, malgrat els problemes d'edició. Gràcies per la comunicació constant i per ser tan curosos amb tot.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4.8230452674897117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B0DE68D-18AF-4940-8033-DE82B136479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2026-04-07T21:22:49Z</cp:lastPrinted>
  <dcterms:created xsi:type="dcterms:W3CDTF">2023-09-19T19:50:35Z</dcterms:created>
  <dcterms:modified xsi:type="dcterms:W3CDTF">2026-04-07T21:22:56Z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