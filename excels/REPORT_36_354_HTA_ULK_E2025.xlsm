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2" documentId="8_{92D2EC52-DA3B-418F-B4EE-8BF547BD8EC3}" xr6:coauthVersionLast="47" xr6:coauthVersionMax="47" xr10:uidLastSave="{9F2F5E85-AD30-49F5-96BB-772AA4C88E6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<sst xmlns="http://schemas.openxmlformats.org/spreadsheetml/2006/main" count="3250" uniqueCount="759">
  <si>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</si>
  <si>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</si>
  <si>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</si>
  <si>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</si>
  <si>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</si>
  <si>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</si>
  <si>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</si>
  <si>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</si>
  <si>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</si>
  <si>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</si>
  <si>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</si>
  <si>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</si>
  <si>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</si>
  <si>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</si>
  <si>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</si>
  <si>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</si>
  <si>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</si>
  <si>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</si>
  <si>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</si>
  <si>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</si>
  <si>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</si>
  <si>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</si>
  <si>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</si>
  <si>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</si>
  <si>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</si>
  <si>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</si>
  <si>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</si>
  <si>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</si>
  <si>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</si>
  <si>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</si>
  <si>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</si>
  <si>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</si>
  <si>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</si>
  <si>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</si>
  <si>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</si>
  <si>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</si>
  <si>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</si>
  <si>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</si>
  <si>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</si>
  <si>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</si>
  <si>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</si>
  <si>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</si>
  <si>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</si>
  <si>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</si>
  <si>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</si>
  <si>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</si>
  <si>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</si>
  <si>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</si>
  <si>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</si>
  <si>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</si>
  <si>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</si>
  <si>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</si>
  <si>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</si>
  <si>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</si>
  <si>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</si>
  <si>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</si>
  <si>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</si>
  <si>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</si>
  <si>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</si>
  <si>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</si>
  <si>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</si>
  <si>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</si>
  <si>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</si>
  <si>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</si>
  <si>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</si>
  <si>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</si>
  <si>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</si>
  <si>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</si>
  <si>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</si>
  <si>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</si>
  <si>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</si>
  <si>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</si>
  <si>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</si>
  <si>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</si>
  <si>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</si>
  <si>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</si>
  <si>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</si>
  <si>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</si>
  <si>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</si>
  <si>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</si>
  <si>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</si>
  <si>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</si>
  <si>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</si>
  <si>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</si>
  <si>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</si>
  <si>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</si>
  <si>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</si>
  <si>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</si>
  <si>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</si>
  <si>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</si>
  <si>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</si>
  <si>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</si>
  <si>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</si>
  <si>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</si>
  <si>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</si>
  <si>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</si>
  <si>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</si>
  <si>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</si>
  <si>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</si>
  <si>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</si>
  <si>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</si>
  <si>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</si>
  <si>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</si>
  <si>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</si>
  <si>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</si>
  <si>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</si>
  <si>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</si>
  <si>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</si>
  <si>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</si>
  <si>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</si>
  <si>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</si>
  <si>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</si>
  <si>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</si>
  <si>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</si>
  <si>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</si>
  <si>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</si>
  <si>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</si>
  <si>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</si>
  <si>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</si>
  <si>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</si>
  <si>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</si>
  <si>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</si>
  <si>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</si>
  <si>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</si>
  <si>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</si>
  <si>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</si>
  <si>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</si>
  <si>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</si>
  <si>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</si>
  <si>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</si>
  <si>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</si>
  <si>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</si>
  <si>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</si>
  <si>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</si>
  <si>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</si>
  <si>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</si>
  <si>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</si>
  <si>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</si>
  <si>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</si>
  <si>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</si>
  <si>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</si>
  <si>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</si>
  <si>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</si>
  <si>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</si>
  <si>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</si>
  <si>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</si>
  <si>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</si>
  <si>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</si>
  <si>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</si>
  <si>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</si>
  <si>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</si>
  <si>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</si>
  <si>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</si>
  <si>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</si>
  <si>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</si>
  <si>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</si>
  <si>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</si>
  <si>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</si>
  <si>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</si>
  <si>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</si>
  <si>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</si>
  <si>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</si>
  <si>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</si>
  <si>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</si>
  <si>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</si>
  <si>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</si>
  <si>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</si>
  <si>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</si>
  <si>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</si>
  <si>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</si>
  <si>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</si>
  <si>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</si>
  <si>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</si>
  <si>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</si>
  <si>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</si>
  <si>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</si>
  <si>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</si>
  <si>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</si>
  <si>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</si>
  <si>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</si>
  <si>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</si>
  <si>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</si>
  <si>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</si>
  <si>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</si>
  <si>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</si>
  <si>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</si>
  <si>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</si>
  <si>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</si>
  <si>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</si>
  <si>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</si>
  <si>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</si>
  <si>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</si>
  <si>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</si>
  <si>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</si>
  <si>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</si>
  <si>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</si>
  <si>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</si>
  <si>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</si>
  <si>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</si>
  <si>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</si>
  <si>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</si>
  <si>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</si>
  <si>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</si>
  <si>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</si>
  <si>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</si>
  <si>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</si>
  <si>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</si>
  <si>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</si>
  <si>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</si>
  <si>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</si>
  <si>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</si>
  <si>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</si>
  <si>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</si>
  <si>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</si>
  <si>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</si>
  <si>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</si>
  <si>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</si>
  <si>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</si>
  <si>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</si>
  <si>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</si>
  <si>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</si>
  <si>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</si>
  <si>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</si>
  <si>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</si>
  <si>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</si>
  <si>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</si>
  <si>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</si>
  <si>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</si>
  <si>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</si>
  <si>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</si>
  <si>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</si>
  <si>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</si>
  <si>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</si>
  <si>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</si>
  <si>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</si>
  <si>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</si>
  <si>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</si>
  <si>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</si>
  <si>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</si>
  <si>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</si>
  <si>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</si>
  <si>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</si>
  <si>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</si>
  <si>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</si>
  <si>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</si>
  <si>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</si>
  <si>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</si>
  <si>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</si>
  <si>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</si>
  <si>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</si>
  <si>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</si>
  <si>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</si>
  <si>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</si>
  <si>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</si>
  <si>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</si>
  <si>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</si>
  <si>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</si>
  <si>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</si>
  <si>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</si>
  <si>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</si>
  <si>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</si>
  <si>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</si>
  <si>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</si>
  <si>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</si>
  <si>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</si>
  <si>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</si>
  <si>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</si>
  <si>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</si>
  <si>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</si>
  <si>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</si>
  <si>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</si>
  <si>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</si>
  <si>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</si>
  <si>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</si>
  <si>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</si>
  <si>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</si>
  <si>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</si>
  <si>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</si>
  <si>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</si>
  <si>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</si>
  <si>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</si>
  <si>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</si>
  <si>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</si>
  <si>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</si>
  <si>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</si>
  <si>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</si>
  <si>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</si>
  <si>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</si>
  <si>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</si>
  <si>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</si>
  <si>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</si>
  <si>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</si>
  <si>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</si>
  <si>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</si>
  <si>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</si>
  <si>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</si>
  <si>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</si>
  <si>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</si>
  <si>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</si>
  <si>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</si>
  <si>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</si>
  <si>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</si>
  <si>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</si>
  <si>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</si>
  <si>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</si>
  <si>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</si>
  <si>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</si>
  <si>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</si>
  <si>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</si>
  <si>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</si>
  <si>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</si>
  <si>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</si>
  <si>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</si>
  <si>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</si>
  <si>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</si>
  <si>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</si>
  <si>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</si>
  <si>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</si>
  <si>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</si>
  <si>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</si>
  <si>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</si>
  <si>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</si>
  <si>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</si>
  <si>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</si>
  <si>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</si>
  <si>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</si>
  <si>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</si>
  <si>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</si>
  <si>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</si>
  <si>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</si>
  <si>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</si>
  <si>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</si>
  <si>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</si>
  <si>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</si>
  <si>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</si>
  <si>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</si>
  <si>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</si>
  <si>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</si>
  <si>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</si>
  <si>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</si>
  <si>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</si>
  <si>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</si>
  <si>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</si>
  <si>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</si>
  <si>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</si>
  <si>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</si>
  <si>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</si>
  <si>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</si>
  <si>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</si>
  <si>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</si>
  <si>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</si>
  <si>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</si>
  <si>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</si>
  <si>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</si>
  <si>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</si>
  <si>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</si>
  <si>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</si>
  <si>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</si>
  <si>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</si>
  <si>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</si>
  <si>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</si>
  <si>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</si>
  <si>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</si>
  <si>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</si>
  <si>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</si>
  <si>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</si>
  <si>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</si>
  <si>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</si>
  <si>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</si>
  <si>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</si>
  <si>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</si>
  <si>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</si>
  <si>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</si>
  <si>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</si>
  <si>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</si>
  <si>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</si>
  <si>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</si>
  <si>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</si>
  <si>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</si>
  <si>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</si>
  <si>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</si>
  <si>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</si>
  <si>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</si>
  <si>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</si>
  <si>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</si>
  <si>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</si>
  <si>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</si>
  <si>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</si>
  <si>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</si>
  <si>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</si>
  <si>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</si>
  <si>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</si>
  <si>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</si>
  <si>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</si>
  <si>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</si>
  <si>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</si>
  <si>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</si>
  <si>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</si>
  <si>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</si>
  <si>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</si>
  <si>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</si>
  <si>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</si>
  <si>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</si>
  <si>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</si>
  <si>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</si>
  <si>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</si>
  <si>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</si>
  <si>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</si>
  <si>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</si>
  <si>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</si>
  <si>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</si>
  <si>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</si>
  <si>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</si>
  <si>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</si>
  <si>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</si>
  <si>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</si>
  <si>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</si>
  <si>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</si>
  <si>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</si>
  <si>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</si>
  <si>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</si>
  <si>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</si>
  <si>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</si>
  <si>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</si>
  <si>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</si>
  <si>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</si>
  <si>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</si>
  <si>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</si>
  <si>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</si>
  <si>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</si>
  <si>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</si>
  <si>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</si>
  <si>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</si>
  <si>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</si>
  <si>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</si>
  <si>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</si>
  <si>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</si>
  <si>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</si>
  <si>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</si>
  <si>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</si>
  <si>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</si>
  <si>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</si>
  <si>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</si>
  <si>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</si>
  <si>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</si>
  <si>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</si>
  <si>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</si>
  <si>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</si>
  <si>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</si>
  <si>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</si>
  <si>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</si>
  <si>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</si>
  <si>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</si>
  <si>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</si>
  <si>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</si>
  <si>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</si>
  <si>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</si>
  <si>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</si>
  <si>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</si>
  <si>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</si>
  <si>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</si>
  <si>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</si>
  <si>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</si>
  <si>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</si>
  <si>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</si>
  <si>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</si>
  <si>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</si>
  <si>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</si>
  <si>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</si>
  <si>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</si>
  <si>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</si>
  <si>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</si>
  <si>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</si>
  <si>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</si>
  <si>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</si>
  <si>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</si>
  <si>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</si>
  <si>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</si>
  <si>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</si>
  <si>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</si>
  <si>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</si>
  <si>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</si>
  <si>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</si>
  <si>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</si>
  <si>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</si>
  <si>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</si>
  <si>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</si>
  <si>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</si>
  <si>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</si>
  <si>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</si>
  <si>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</si>
  <si>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</si>
  <si>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</si>
  <si>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</si>
  <si>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</si>
  <si>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</si>
  <si>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</si>
  <si>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</si>
  <si>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</si>
  <si>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</si>
  <si>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</si>
  <si>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</si>
  <si>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</si>
  <si>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</si>
  <si>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</si>
  <si>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</si>
  <si>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</si>
  <si>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</si>
  <si>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</si>
  <si>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</si>
  <si>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</si>
  <si>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</si>
  <si>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</si>
  <si>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</si>
  <si>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</si>
  <si>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</si>
  <si>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</si>
  <si>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</si>
  <si>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</si>
  <si>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</si>
  <si>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</si>
  <si>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</si>
  <si>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</si>
  <si>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</si>
  <si>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</si>
  <si>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</si>
  <si>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</si>
  <si>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</si>
  <si>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</si>
  <si>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</si>
  <si>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</si>
  <si>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</si>
  <si>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</si>
  <si>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</si>
  <si>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</si>
  <si>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</si>
  <si>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</si>
  <si>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</si>
  <si>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</si>
  <si>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</si>
  <si>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</si>
  <si>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</si>
  <si>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</si>
  <si>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</si>
  <si>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</si>
  <si>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</si>
  <si>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</si>
  <si>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</si>
  <si>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</si>
  <si>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</si>
  <si>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</si>
  <si>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</si>
  <si>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</si>
  <si>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</si>
  <si>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</si>
  <si>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</si>
  <si>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</si>
  <si>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</si>
  <si>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</si>
  <si>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</si>
  <si>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</si>
  <si>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</si>
  <si>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</si>
  <si>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</si>
  <si>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</si>
  <si>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</si>
  <si>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</si>
  <si>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</si>
  <si>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</si>
  <si>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</si>
  <si>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</si>
  <si>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</si>
  <si>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</si>
  <si>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</si>
  <si>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</si>
  <si>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</si>
  <si>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</si>
  <si>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</si>
  <si>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</si>
  <si>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</si>
  <si>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</si>
  <si>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</si>
  <si>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</si>
  <si>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</si>
  <si>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</si>
  <si>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</si>
  <si>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</si>
  <si>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</si>
  <si>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</si>
  <si>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</si>
  <si>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</si>
  <si>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</si>
  <si>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</si>
  <si>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</si>
  <si>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</si>
  <si>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</si>
  <si>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</si>
  <si>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</si>
  <si>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</si>
  <si>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</si>
  <si>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</si>
  <si>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</si>
  <si>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</si>
  <si>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</si>
  <si>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</si>
  <si>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</si>
  <si>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</si>
  <si>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</si>
  <si>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</si>
  <si>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</si>
  <si>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</si>
  <si>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</si>
  <si>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</si>
  <si>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</si>
  <si>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</si>
  <si>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</si>
  <si>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</si>
  <si>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</si>
  <si>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</si>
  <si>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</si>
  <si>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</si>
  <si>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</si>
  <si>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</si>
  <si>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</si>
  <si>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</si>
  <si>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</si>
  <si>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</si>
  <si>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</si>
  <si>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</si>
  <si>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</si>
  <si>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</si>
  <si>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</si>
  <si>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</si>
  <si>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</si>
  <si>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</si>
  <si>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</si>
  <si>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</si>
  <si>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</si>
  <si>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</si>
  <si>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</si>
  <si>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</si>
  <si>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</si>
  <si>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</si>
  <si>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</si>
  <si>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</si>
  <si>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</si>
  <si>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</si>
  <si>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</si>
  <si>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</si>
  <si>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</si>
  <si>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</si>
  <si>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</si>
  <si>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</si>
  <si>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</si>
  <si>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</si>
  <si>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</si>
  <si>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</si>
  <si>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</si>
  <si>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</si>
  <si>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</si>
  <si>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</si>
  <si>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</si>
  <si>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</si>
  <si>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</si>
  <si>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</si>
  <si>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</si>
  <si>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</si>
  <si>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</si>
  <si>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</si>
  <si>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</si>
  <si>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</si>
  <si>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</si>
  <si>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</si>
  <si>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</si>
  <si>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</si>
  <si>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</si>
  <si>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</si>
  <si>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</si>
  <si>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</si>
  <si>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</si>
  <si>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</si>
  <si>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</si>
  <si>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</si>
  <si>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</si>
  <si>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</si>
  <si>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</si>
  <si>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</si>
  <si>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</si>
  <si>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</si>
  <si>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</si>
  <si>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</si>
  <si>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</si>
  <si>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</si>
  <si>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</si>
  <si>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</si>
  <si>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</si>
  <si>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</si>
  <si>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</si>
  <si>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</si>
  <si>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</si>
  <si>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</si>
  <si>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</si>
  <si>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</si>
  <si>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</si>
  <si>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</si>
  <si>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</si>
  <si>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</si>
  <si>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</si>
  <si>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</si>
  <si>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</si>
  <si>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</si>
  <si>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</si>
  <si>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</si>
  <si>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</si>
  <si>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</si>
  <si>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</si>
  <si>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</si>
  <si>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</si>
  <si>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</si>
  <si>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</si>
  <si>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</si>
  <si>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</si>
  <si>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</si>
  <si>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</si>
  <si>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</si>
  <si>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</si>
  <si>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</si>
  <si>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</si>
  <si>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</si>
  <si>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</si>
  <si>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</si>
  <si>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</si>
  <si>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</si>
  <si>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</si>
  <si>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</si>
  <si>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</si>
  <si>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</si>
  <si>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</si>
  <si>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</si>
  <si>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</si>
  <si>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</si>
  <si>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</si>
  <si>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</si>
  <si>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</si>
  <si>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</si>
  <si>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</si>
  <si>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</si>
  <si>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</si>
  <si>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</si>
  <si>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</si>
  <si>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ISKREN IVANOV</t>
  </si>
  <si>
    <t>ATHINA KAROUMPALOU</t>
  </si>
  <si>
    <t>VASILEIOS KARAGKIOULES</t>
  </si>
  <si>
    <t>SOLON MINAS</t>
  </si>
  <si>
    <t>ANASTASIS KALESIORIS</t>
  </si>
  <si>
    <t>C:\Users\nerea.fraile\EUROLEAGUE\EB STATS - Documents\General\SEASON 2025-26\Reports\Euroleague\PDF</t>
  </si>
  <si>
    <t>C:\Users\nerea.fraile\EUROLEAGUE\EB STATS - Documents\General\SEASON 2025-26\Reports\Euroleague</t>
  </si>
  <si>
    <t>01:03</t>
  </si>
  <si>
    <t>Excellent job! There were difficult situations that you successfully resolved. Congratullations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</si>
</sst>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26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36_354_HTA_ULK_E2025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354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46119.822916666664</v>
      </c>
      <c r="C3" s="157"/>
      <c r="D3" s="39">
        <v>599</v>
      </c>
      <c r="E3" s="29"/>
      <c r="F3" s="26">
        <f>SUBTOTAL(3,I17:I106)</f>
        <v>1</v>
      </c>
      <c r="G3" s="27">
        <f>IF(OR(D3="",D3=0),"",F3/D3)</f>
        <v>1.6694490818030051E-3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1.6694490818030051E-3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0.1669449081803005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0.6669449081803005</v>
      </c>
      <c r="N7" s="58"/>
      <c r="O7" s="2"/>
      <c r="P7" s="2"/>
      <c r="Q7" s="86">
        <f>SUM(R5,S5,AC16)</f>
        <v>0.6669449081803005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0.6669449081803005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354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354</v>
      </c>
      <c r="D17" s="32" t="s">
        <v>757</v>
      </c>
      <c r="E17" s="33">
        <v>2</v>
      </c>
      <c r="F17" s="36">
        <v>49</v>
      </c>
      <c r="G17" s="36">
        <v>38</v>
      </c>
      <c r="H17" s="38" t="str">
        <f>IF(I17="","",$I$14)</f>
        <v>SCOUTING</v>
      </c>
      <c r="I17" s="34">
        <v>283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REPORT_E2025354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"E2025354"</v>
      </c>
      <c r="F3" s="45" t="str">
        <f t="shared" ref="F3:F16" si="0">""""&amp;B3&amp;"""" &amp; " : " &amp;C3&amp;","</f>
        <v>"name" : "E2025354",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"E354"</v>
      </c>
      <c r="F4" s="45" t="str">
        <f t="shared" si="0"/>
        <v>"cod" : "E354",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354</v>
      </c>
      <c r="F6" s="45" t="str">
        <f t="shared" si="0"/>
        <v>"number" : 354,</v>
      </c>
    </row>
    <row r="7" spans="2:6" x14ac:dyDescent="0.25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"ISKREN IVANOV"</v>
      </c>
      <c r="F11" s="45" t="str">
        <f t="shared" si="0"/>
        <v>"Caller_1" : "ISKREN IVANOV",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"VASILEIOS KARAGKIOULES"</v>
      </c>
      <c r="F13" s="45" t="str">
        <f t="shared" si="0"/>
        <v>"Timerkeeper" : "VASILEIOS KARAGKIOULES",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"SOLON MINAS"</v>
      </c>
      <c r="F14" s="45" t="str">
        <f t="shared" si="0"/>
        <v>"Shotclock" : "SOLON MINAS",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"ANASTASIS KALESIORIS"</v>
      </c>
      <c r="F15" s="45" t="str">
        <f t="shared" si="0"/>
        <v>"IRS" : "ANASTASIS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599</v>
      </c>
      <c r="F25" s="45" t="str">
        <f t="shared" ref="F25:F48" si="1">""""&amp;C25&amp;"""" &amp; " : " &amp;D25&amp;","</f>
        <v>"total_actions" : 599,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There were difficult situations that you successfully resolved. Congratullations"</v>
      </c>
      <c r="F51" s="45" t="str">
        <f>""""&amp;B51&amp;"""" &amp; " : " &amp;C51&amp;","</f>
        <v>"comments" : "Excellent job! There were difficult situations that you successfully resolved. Congratullations",</v>
      </c>
    </row>
    <row r="52" spans="2:6" x14ac:dyDescent="0.25">
      <c r="B52" s="43" t="s">
        <v>153</v>
      </c>
      <c r="C52" s="43" t="str">
        <f>TEXT('SCOUT &amp; LOGISTICS'!F1,"0,0")</f>
        <v>36_354_HTA_ULK_E2025</v>
      </c>
      <c r="F52" s="45" t="str">
        <f>""""&amp;B52&amp;"""" &amp; " : " &amp;C52</f>
        <v>"result" : 36_354_HTA_ULK_E2025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E354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07/04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ISKREN IVANOV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VASILEIOS KARAGKIOULES</v>
      </c>
      <c r="R8" s="206"/>
      <c r="S8" s="206"/>
      <c r="T8" s="206"/>
      <c r="U8" s="206"/>
      <c r="V8" s="206" t="str">
        <f>IF('SCOUT &amp; LOGISTICS'!D10="","",'SCOUT &amp; LOGISTICS'!D10)</f>
        <v>SOLON MINAS</v>
      </c>
      <c r="W8" s="206"/>
      <c r="X8" s="206"/>
      <c r="Y8" s="206"/>
      <c r="Z8" s="206"/>
      <c r="AA8" s="206" t="str">
        <f>IF('SCOUT &amp; LOGISTICS'!D11="","",'SCOUT &amp; LOGISTICS'!D11)</f>
        <v>ANASTASIS KALESIORIS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599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1.6694490818030051E-3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Excellent job! There were difficult situations that you successfully resolved. Congratullations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0.6669449081803005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14B843-BFD4-4EDF-983B-05ECE2FB7A4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2026-04-07T18:28:00Z</cp:lastPrinted>
  <dcterms:created xsi:type="dcterms:W3CDTF">2023-09-19T19:50:35Z</dcterms:created>
  <dcterms:modified xsi:type="dcterms:W3CDTF">2026-04-07T18:28:04Z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