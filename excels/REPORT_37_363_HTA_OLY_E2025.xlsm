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0D91EA7E-D3A2-4015-B9B2-3B13B1037243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<sst xmlns="http://schemas.openxmlformats.org/spreadsheetml/2006/main" count="3255" uniqueCount="760">
  <si>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</si>
  <si>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</si>
  <si>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</si>
  <si>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</si>
  <si>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</si>
  <si>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</si>
  <si>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</si>
  <si>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</si>
  <si>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</si>
  <si>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</si>
  <si>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</si>
  <si>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</si>
  <si>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</si>
  <si>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</si>
  <si>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</si>
  <si>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</si>
  <si>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</si>
  <si>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</si>
  <si>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</si>
  <si>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</si>
  <si>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</si>
  <si>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</si>
  <si>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</si>
  <si>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</si>
  <si>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</si>
  <si>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</si>
  <si>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</si>
  <si>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</si>
  <si>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</si>
  <si>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</si>
  <si>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</si>
  <si>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</si>
  <si>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</si>
  <si>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</si>
  <si>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</si>
  <si>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</si>
  <si>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</si>
  <si>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</si>
  <si>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</si>
  <si>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</si>
  <si>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</si>
  <si>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</si>
  <si>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</si>
  <si>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</si>
  <si>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</si>
  <si>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</si>
  <si>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</si>
  <si>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</si>
  <si>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</si>
  <si>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</si>
  <si>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</si>
  <si>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</si>
  <si>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</si>
  <si>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</si>
  <si>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</si>
  <si>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</si>
  <si>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</si>
  <si>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</si>
  <si>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</si>
  <si>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</si>
  <si>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</si>
  <si>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</si>
  <si>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</si>
  <si>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</si>
  <si>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</si>
  <si>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</si>
  <si>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</si>
  <si>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</si>
  <si>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</si>
  <si>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</si>
  <si>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</si>
  <si>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</si>
  <si>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</si>
  <si>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</si>
  <si>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</si>
  <si>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</si>
  <si>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</si>
  <si>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</si>
  <si>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</si>
  <si>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</si>
  <si>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</si>
  <si>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</si>
  <si>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</si>
  <si>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</si>
  <si>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</si>
  <si>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</si>
  <si>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</si>
  <si>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</si>
  <si>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</si>
  <si>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</si>
  <si>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</si>
  <si>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</si>
  <si>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</si>
  <si>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</si>
  <si>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</si>
  <si>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</si>
  <si>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</si>
  <si>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</si>
  <si>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</si>
  <si>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</si>
  <si>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</si>
  <si>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</si>
  <si>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</si>
  <si>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</si>
  <si>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</si>
  <si>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</si>
  <si>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</si>
  <si>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</si>
  <si>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</si>
  <si>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</si>
  <si>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</si>
  <si>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</si>
  <si>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</si>
  <si>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</si>
  <si>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</si>
  <si>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</si>
  <si>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</si>
  <si>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</si>
  <si>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</si>
  <si>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</si>
  <si>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</si>
  <si>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</si>
  <si>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</si>
  <si>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</si>
  <si>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</si>
  <si>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</si>
  <si>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</si>
  <si>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</si>
  <si>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</si>
  <si>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</si>
  <si>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</si>
  <si>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</si>
  <si>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</si>
  <si>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</si>
  <si>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</si>
  <si>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</si>
  <si>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</si>
  <si>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</si>
  <si>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</si>
  <si>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</si>
  <si>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</si>
  <si>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</si>
  <si>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</si>
  <si>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</si>
  <si>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</si>
  <si>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</si>
  <si>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</si>
  <si>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</si>
  <si>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</si>
  <si>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</si>
  <si>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</si>
  <si>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</si>
  <si>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</si>
  <si>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</si>
  <si>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</si>
  <si>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</si>
  <si>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</si>
  <si>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</si>
  <si>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</si>
  <si>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</si>
  <si>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</si>
  <si>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</si>
  <si>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</si>
  <si>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</si>
  <si>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</si>
  <si>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</si>
  <si>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</si>
  <si>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</si>
  <si>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</si>
  <si>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</si>
  <si>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</si>
  <si>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</si>
  <si>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</si>
  <si>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</si>
  <si>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</si>
  <si>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</si>
  <si>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</si>
  <si>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</si>
  <si>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</si>
  <si>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</si>
  <si>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</si>
  <si>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</si>
  <si>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</si>
  <si>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</si>
  <si>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</si>
  <si>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</si>
  <si>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</si>
  <si>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</si>
  <si>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</si>
  <si>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</si>
  <si>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</si>
  <si>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</si>
  <si>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</si>
  <si>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</si>
  <si>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</si>
  <si>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</si>
  <si>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</si>
  <si>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</si>
  <si>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</si>
  <si>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</si>
  <si>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</si>
  <si>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</si>
  <si>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</si>
  <si>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</si>
  <si>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</si>
  <si>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</si>
  <si>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</si>
  <si>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</si>
  <si>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</si>
  <si>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</si>
  <si>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</si>
  <si>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</si>
  <si>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</si>
  <si>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</si>
  <si>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</si>
  <si>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</si>
  <si>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</si>
  <si>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</si>
  <si>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</si>
  <si>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</si>
  <si>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</si>
  <si>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</si>
  <si>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</si>
  <si>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</si>
  <si>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</si>
  <si>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</si>
  <si>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</si>
  <si>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</si>
  <si>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</si>
  <si>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</si>
  <si>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</si>
  <si>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</si>
  <si>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</si>
  <si>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</si>
  <si>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</si>
  <si>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</si>
  <si>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</si>
  <si>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</si>
  <si>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</si>
  <si>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</si>
  <si>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</si>
  <si>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</si>
  <si>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</si>
  <si>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</si>
  <si>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</si>
  <si>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</si>
  <si>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</si>
  <si>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</si>
  <si>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</si>
  <si>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</si>
  <si>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</si>
  <si>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</si>
  <si>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</si>
  <si>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</si>
  <si>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</si>
  <si>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</si>
  <si>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</si>
  <si>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</si>
  <si>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</si>
  <si>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</si>
  <si>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</si>
  <si>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</si>
  <si>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</si>
  <si>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</si>
  <si>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</si>
  <si>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</si>
  <si>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</si>
  <si>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</si>
  <si>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</si>
  <si>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</si>
  <si>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</si>
  <si>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</si>
  <si>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</si>
  <si>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</si>
  <si>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</si>
  <si>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</si>
  <si>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</si>
  <si>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</si>
  <si>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</si>
  <si>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</si>
  <si>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</si>
  <si>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</si>
  <si>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</si>
  <si>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</si>
  <si>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</si>
  <si>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</si>
  <si>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</si>
  <si>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</si>
  <si>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</si>
  <si>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</si>
  <si>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</si>
  <si>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</si>
  <si>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</si>
  <si>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</si>
  <si>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</si>
  <si>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</si>
  <si>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</si>
  <si>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</si>
  <si>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</si>
  <si>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</si>
  <si>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</si>
  <si>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</si>
  <si>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</si>
  <si>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</si>
  <si>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</si>
  <si>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</si>
  <si>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</si>
  <si>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</si>
  <si>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</si>
  <si>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</si>
  <si>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</si>
  <si>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</si>
  <si>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</si>
  <si>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</si>
  <si>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</si>
  <si>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</si>
  <si>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</si>
  <si>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</si>
  <si>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</si>
  <si>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</si>
  <si>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</si>
  <si>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</si>
  <si>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</si>
  <si>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</si>
  <si>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</si>
  <si>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</si>
  <si>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</si>
  <si>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</si>
  <si>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</si>
  <si>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</si>
  <si>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</si>
  <si>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</si>
  <si>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</si>
  <si>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</si>
  <si>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</si>
  <si>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</si>
  <si>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</si>
  <si>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</si>
  <si>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</si>
  <si>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</si>
  <si>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</si>
  <si>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</si>
  <si>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</si>
  <si>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</si>
  <si>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</si>
  <si>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</si>
  <si>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</si>
  <si>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</si>
  <si>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</si>
  <si>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</si>
  <si>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</si>
  <si>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</si>
  <si>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</si>
  <si>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</si>
  <si>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</si>
  <si>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</si>
  <si>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</si>
  <si>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</si>
  <si>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</si>
  <si>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</si>
  <si>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</si>
  <si>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</si>
  <si>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</si>
  <si>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</si>
  <si>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</si>
  <si>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</si>
  <si>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</si>
  <si>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</si>
  <si>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</si>
  <si>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</si>
  <si>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</si>
  <si>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</si>
  <si>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</si>
  <si>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</si>
  <si>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</si>
  <si>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</si>
  <si>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</si>
  <si>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</si>
  <si>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</si>
  <si>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</si>
  <si>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</si>
  <si>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</si>
  <si>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</si>
  <si>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</si>
  <si>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</si>
  <si>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</si>
  <si>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</si>
  <si>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</si>
  <si>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</si>
  <si>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</si>
  <si>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</si>
  <si>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</si>
  <si>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</si>
  <si>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</si>
  <si>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</si>
  <si>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</si>
  <si>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</si>
  <si>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</si>
  <si>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</si>
  <si>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</si>
  <si>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</si>
  <si>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</si>
  <si>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</si>
  <si>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</si>
  <si>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</si>
  <si>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</si>
  <si>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</si>
  <si>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</si>
  <si>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</si>
  <si>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</si>
  <si>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</si>
  <si>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</si>
  <si>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</si>
  <si>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</si>
  <si>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</si>
  <si>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</si>
  <si>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</si>
  <si>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</si>
  <si>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</si>
  <si>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</si>
  <si>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</si>
  <si>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</si>
  <si>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</si>
  <si>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</si>
  <si>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</si>
  <si>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</si>
  <si>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</si>
  <si>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</si>
  <si>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</si>
  <si>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</si>
  <si>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</si>
  <si>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</si>
  <si>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</si>
  <si>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</si>
  <si>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</si>
  <si>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</si>
  <si>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</si>
  <si>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</si>
  <si>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</si>
  <si>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</si>
  <si>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</si>
  <si>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</si>
  <si>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</si>
  <si>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</si>
  <si>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</si>
  <si>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</si>
  <si>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</si>
  <si>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</si>
  <si>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</si>
  <si>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</si>
  <si>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</si>
  <si>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</si>
  <si>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</si>
  <si>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</si>
  <si>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</si>
  <si>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</si>
  <si>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</si>
  <si>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</si>
  <si>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</si>
  <si>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</si>
  <si>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</si>
  <si>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</si>
  <si>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</si>
  <si>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</si>
  <si>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</si>
  <si>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</si>
  <si>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</si>
  <si>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</si>
  <si>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</si>
  <si>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</si>
  <si>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</si>
  <si>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</si>
  <si>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</si>
  <si>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</si>
  <si>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</si>
  <si>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</si>
  <si>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</si>
  <si>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</si>
  <si>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</si>
  <si>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</si>
  <si>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</si>
  <si>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</si>
  <si>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</si>
  <si>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</si>
  <si>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</si>
  <si>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</si>
  <si>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</si>
  <si>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</si>
  <si>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</si>
  <si>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</si>
  <si>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</si>
  <si>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</si>
  <si>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</si>
  <si>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</si>
  <si>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</si>
  <si>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</si>
  <si>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</si>
  <si>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</si>
  <si>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</si>
  <si>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</si>
  <si>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</si>
  <si>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</si>
  <si>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</si>
  <si>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</si>
  <si>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</si>
  <si>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</si>
  <si>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</si>
  <si>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</si>
  <si>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</si>
  <si>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</si>
  <si>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</si>
  <si>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</si>
  <si>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</si>
  <si>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</si>
  <si>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</si>
  <si>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</si>
  <si>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</si>
  <si>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</si>
  <si>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</si>
  <si>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</si>
  <si>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</si>
  <si>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</si>
  <si>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</si>
  <si>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</si>
  <si>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</si>
  <si>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</si>
  <si>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</si>
  <si>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</si>
  <si>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</si>
  <si>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</si>
  <si>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</si>
  <si>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</si>
  <si>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</si>
  <si>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</si>
  <si>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</si>
  <si>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</si>
  <si>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</si>
  <si>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</si>
  <si>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</si>
  <si>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</si>
  <si>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</si>
  <si>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</si>
  <si>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</si>
  <si>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</si>
  <si>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</si>
  <si>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</si>
  <si>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</si>
  <si>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</si>
  <si>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</si>
  <si>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</si>
  <si>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</si>
  <si>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</si>
  <si>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</si>
  <si>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</si>
  <si>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</si>
  <si>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</si>
  <si>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</si>
  <si>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</si>
  <si>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</si>
  <si>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</si>
  <si>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</si>
  <si>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</si>
  <si>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</si>
  <si>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</si>
  <si>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</si>
  <si>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</si>
  <si>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</si>
  <si>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</si>
  <si>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</si>
  <si>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</si>
  <si>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</si>
  <si>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</si>
  <si>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</si>
  <si>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</si>
  <si>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</si>
  <si>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</si>
  <si>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</si>
  <si>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</si>
  <si>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</si>
  <si>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</si>
  <si>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</si>
  <si>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</si>
  <si>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</si>
  <si>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</si>
  <si>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</si>
  <si>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</si>
  <si>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</si>
  <si>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</si>
  <si>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</si>
  <si>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</si>
  <si>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</si>
  <si>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</si>
  <si>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</si>
  <si>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</si>
  <si>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</si>
  <si>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</si>
  <si>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</si>
  <si>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</si>
  <si>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</si>
  <si>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</si>
  <si>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</si>
  <si>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</si>
  <si>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</si>
  <si>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</si>
  <si>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</si>
  <si>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</si>
  <si>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</si>
  <si>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</si>
  <si>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</si>
  <si>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</si>
  <si>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</si>
  <si>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</si>
  <si>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</si>
  <si>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</si>
  <si>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</si>
  <si>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</si>
  <si>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</si>
  <si>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</si>
  <si>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</si>
  <si>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</si>
  <si>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</si>
  <si>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</si>
  <si>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</si>
  <si>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</si>
  <si>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</si>
  <si>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</si>
  <si>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</si>
  <si>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</si>
  <si>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</si>
  <si>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</si>
  <si>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</si>
  <si>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</si>
  <si>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</si>
  <si>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</si>
  <si>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</si>
  <si>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</si>
  <si>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</si>
  <si>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</si>
  <si>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</si>
  <si>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</si>
  <si>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</si>
  <si>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</si>
  <si>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</si>
  <si>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</si>
  <si>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</si>
  <si>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</si>
  <si>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</si>
  <si>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</si>
  <si>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</si>
  <si>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</si>
  <si>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</si>
  <si>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</si>
  <si>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</si>
  <si>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</si>
  <si>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</si>
  <si>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</si>
  <si>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</si>
  <si>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</si>
  <si>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</si>
  <si>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</si>
  <si>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</si>
  <si>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</si>
  <si>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</si>
  <si>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</si>
  <si>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</si>
  <si>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</si>
  <si>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</si>
  <si>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</si>
  <si>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</si>
  <si>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</si>
  <si>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</si>
  <si>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</si>
  <si>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</si>
  <si>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</si>
  <si>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</si>
  <si>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</si>
  <si>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</si>
  <si>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</si>
  <si>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</si>
  <si>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</si>
  <si>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</si>
  <si>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</si>
  <si>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</si>
  <si>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</si>
  <si>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</si>
  <si>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</si>
  <si>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</si>
  <si>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</si>
  <si>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</si>
  <si>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</si>
  <si>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</si>
  <si>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</si>
  <si>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</si>
  <si>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</si>
  <si>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</si>
  <si>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</si>
  <si>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</si>
  <si>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</si>
  <si>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</si>
  <si>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</si>
  <si>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</si>
  <si>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</si>
  <si>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</si>
  <si>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</si>
  <si>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</si>
  <si>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</si>
  <si>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</si>
  <si>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</si>
  <si>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</si>
  <si>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</si>
  <si>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</si>
  <si>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</si>
  <si>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</si>
  <si>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</si>
  <si>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</si>
  <si>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</si>
  <si>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</si>
  <si>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</si>
  <si>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</si>
  <si>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</si>
  <si>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</si>
  <si>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</si>
  <si>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</si>
  <si>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</si>
  <si>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</si>
  <si>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</si>
  <si>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</si>
  <si>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</si>
  <si>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</si>
  <si>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</si>
  <si>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</si>
  <si>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</si>
  <si>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</si>
  <si>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</si>
  <si>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</si>
  <si>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</si>
  <si>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</si>
  <si>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</si>
  <si>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</si>
  <si>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</si>
  <si>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</si>
  <si>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</si>
  <si>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</si>
  <si>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</si>
  <si>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</si>
  <si>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</si>
  <si>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</si>
  <si>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</si>
  <si>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</si>
  <si>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</si>
  <si>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KONSTANTINOS KRANIOTIS</t>
  </si>
  <si>
    <t>MNIA ENDYALKOVA</t>
  </si>
  <si>
    <t>ATHINA KAROMPALOU</t>
  </si>
  <si>
    <t>SOLON MINAS</t>
  </si>
  <si>
    <t>VASILEIOS KARAGKIOULES</t>
  </si>
  <si>
    <t>ANASTASIS KALESIORIS</t>
  </si>
  <si>
    <t>OSCAR CUESTA</t>
  </si>
  <si>
    <t>6:08</t>
  </si>
  <si>
    <t>4:17</t>
  </si>
  <si>
    <t>Excellent game, as usual. Also thanks for constant communication!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</si>
</sst>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37_363_HTA_OLY_E2025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363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46121.822916666664</v>
      </c>
      <c r="C3" s="157"/>
      <c r="D3" s="39">
        <v>550</v>
      </c>
      <c r="E3" s="29"/>
      <c r="F3" s="26">
        <f>SUBTOTAL(3,I17:I106)</f>
        <v>2</v>
      </c>
      <c r="G3" s="27">
        <f>IF(OR(D3="",D3=0),"",F3/D3)</f>
        <v>3.6363636363636364E-3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Hapoel IBI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3.6363636363636364E-3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Olympiacos Piraeus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0.36363636363636365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1.3636363636363638</v>
      </c>
      <c r="N7" s="58"/>
      <c r="O7" s="2"/>
      <c r="P7" s="2"/>
      <c r="Q7" s="86">
        <f>SUM(R5,S5,AC16)</f>
        <v>1.3636363636363638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1.3636363636363638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363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363</v>
      </c>
      <c r="D17" s="32" t="s">
        <v>757</v>
      </c>
      <c r="E17" s="33">
        <v>3</v>
      </c>
      <c r="F17" s="36">
        <v>54</v>
      </c>
      <c r="G17" s="36">
        <v>56</v>
      </c>
      <c r="H17" s="38" t="str">
        <f>IF(I17="","",$I$14)</f>
        <v>SCOUTING</v>
      </c>
      <c r="I17" s="34">
        <v>334</v>
      </c>
      <c r="J17" s="13" t="s">
        <v>4</v>
      </c>
      <c r="K17" s="13" t="s">
        <v>62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363</v>
      </c>
      <c r="D18" s="32" t="s">
        <v>758</v>
      </c>
      <c r="E18" s="33">
        <v>4</v>
      </c>
      <c r="F18" s="36">
        <v>79</v>
      </c>
      <c r="G18" s="36">
        <v>84</v>
      </c>
      <c r="H18" s="38" t="str">
        <f t="shared" ref="H18:H81" si="8">IF(I18="","",$I$14)</f>
        <v>SCOUTING</v>
      </c>
      <c r="I18" s="34">
        <v>476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REPORT_E2025363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"E2025363"</v>
      </c>
      <c r="F3" s="45" t="str">
        <f t="shared" ref="F3:F16" si="0">""""&amp;B3&amp;"""" &amp; " : " &amp;C3&amp;","</f>
        <v>"name" : "E2025363",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"E363"</v>
      </c>
      <c r="F4" s="45" t="str">
        <f t="shared" si="0"/>
        <v>"cod" : "E363",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363</v>
      </c>
      <c r="F6" s="45" t="str">
        <f t="shared" si="0"/>
        <v>"number" : 363,</v>
      </c>
    </row>
    <row r="7" spans="2:6" x14ac:dyDescent="0.25">
      <c r="B7" s="43" t="s">
        <v>116</v>
      </c>
      <c r="C7" s="43" t="str">
        <f ca="1">""""&amp;TEXT('SCOUT &amp; LOGISTICS'!B3,"dd/mm/aaaa")&amp;""""</f>
        <v>"09/04/2026"</v>
      </c>
      <c r="F7" s="45" t="str">
        <f t="shared" ca="1" si="0"/>
        <v>"date" : "09/04/2026",</v>
      </c>
    </row>
    <row r="8" spans="2:6" x14ac:dyDescent="0.25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"MNIA ENDYALKOVA"</v>
      </c>
      <c r="F11" s="45" t="str">
        <f t="shared" si="0"/>
        <v>"Caller_1" : "MNIA ENDYALKOVA",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KAROMPALOU"</v>
      </c>
      <c r="F12" s="45" t="str">
        <f t="shared" si="0"/>
        <v>"Caller_2" : "ATHINA KAROMPALOU",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"SOLON MINAS"</v>
      </c>
      <c r="F13" s="45" t="str">
        <f t="shared" si="0"/>
        <v>"Timerkeeper" : "SOLON MINAS",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KARAGKIOULES"</v>
      </c>
      <c r="F14" s="45" t="str">
        <f t="shared" si="0"/>
        <v>"Shotclock" : "VASILEIOS KARAGKIOULES",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"ANASTASIS KALESIORIS"</v>
      </c>
      <c r="F15" s="45" t="str">
        <f t="shared" si="0"/>
        <v>"IRS" : "ANASTASIS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550</v>
      </c>
      <c r="F25" s="45" t="str">
        <f t="shared" ref="F25:F48" si="1">""""&amp;C25&amp;"""" &amp; " : " &amp;D25&amp;","</f>
        <v>"total_actions" : 550,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"0,4%"</v>
      </c>
      <c r="F27" s="45" t="str">
        <f t="shared" si="1"/>
        <v>"%_corrections" : "0,4%",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game, as usual. Also thanks for constant communication!"</v>
      </c>
      <c r="F51" s="45" t="str">
        <f>""""&amp;B51&amp;"""" &amp; " : " &amp;C51&amp;","</f>
        <v>"comments" : "Excellent game, as usual. Also thanks for constant communication!",</v>
      </c>
    </row>
    <row r="52" spans="2:6" x14ac:dyDescent="0.25">
      <c r="B52" s="43" t="s">
        <v>153</v>
      </c>
      <c r="C52" s="43" t="str">
        <f>TEXT('SCOUT &amp; LOGISTICS'!F1,"0,0")</f>
        <v>37_363_HTA_OLY_E2025</v>
      </c>
      <c r="F52" s="45" t="str">
        <f>""""&amp;B52&amp;"""" &amp; " : " &amp;C52</f>
        <v>"result" : 37_363_HTA_OLY_E2025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E363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09/04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Hapoel Ibi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Olympiacos Piraeus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MNIA ENDYALKOVA</v>
      </c>
      <c r="H8" s="206"/>
      <c r="I8" s="206"/>
      <c r="J8" s="206"/>
      <c r="K8" s="206"/>
      <c r="L8" s="206" t="str">
        <f>IF('SCOUT &amp; LOGISTICS'!D8="","",'SCOUT &amp; LOGISTICS'!D8)</f>
        <v>ATHINA KAROMPALOU</v>
      </c>
      <c r="M8" s="206"/>
      <c r="N8" s="206"/>
      <c r="O8" s="206"/>
      <c r="P8" s="206"/>
      <c r="Q8" s="206" t="str">
        <f>IF('SCOUT &amp; LOGISTICS'!D9="","",'SCOUT &amp; LOGISTICS'!D9)</f>
        <v>SOLON MINAS</v>
      </c>
      <c r="R8" s="206"/>
      <c r="S8" s="206"/>
      <c r="T8" s="206"/>
      <c r="U8" s="206"/>
      <c r="V8" s="206" t="str">
        <f>IF('SCOUT &amp; LOGISTICS'!D10="","",'SCOUT &amp; LOGISTICS'!D10)</f>
        <v>VASILEIOS KARAGKIOULES</v>
      </c>
      <c r="W8" s="206"/>
      <c r="X8" s="206"/>
      <c r="Y8" s="206"/>
      <c r="Z8" s="206"/>
      <c r="AA8" s="206" t="str">
        <f>IF('SCOUT &amp; LOGISTICS'!D11="","",'SCOUT &amp; LOGISTICS'!D11)</f>
        <v>ANASTASIS KALESIORIS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550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3.6363636363636364E-3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Excellent game, as usual. Also thanks for constant communication!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1.3636363636363638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DB76A2-8617-47DA-B8DD-99D6626DB59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2026-04-09T18:35:23Z</cp:lastPrinted>
  <dcterms:created xsi:type="dcterms:W3CDTF">2023-09-19T19:50:35Z</dcterms:created>
  <dcterms:modified xsi:type="dcterms:W3CDTF">2026-04-09T18:35:40Z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