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Reports fets/"/>
    </mc:Choice>
  </mc:AlternateContent>
  <xr:revisionPtr revIDLastSave="63" documentId="8_{28E6CDFE-2110-43DE-8760-F537EA3B2DBF}" xr6:coauthVersionLast="47" xr6:coauthVersionMax="47" xr10:uidLastSave="{DB3FCC5D-675A-4EF7-8CFB-E7E93CEE2B1E}"/>
  <bookViews>
    <workbookView xWindow="-110" yWindow="-110" windowWidth="19420" windowHeight="103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<sst xmlns="http://schemas.openxmlformats.org/spreadsheetml/2006/main" count="3265" uniqueCount="763">
  <si>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</si>
  <si>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</si>
  <si>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</si>
  <si>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</si>
  <si>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</si>
  <si>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</si>
  <si>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</si>
  <si>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</si>
  <si>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</si>
  <si>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</si>
  <si>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</si>
  <si>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</si>
  <si>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</si>
  <si>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</si>
  <si>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</si>
  <si>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</si>
  <si>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</si>
  <si>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</si>
  <si>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</si>
  <si>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</si>
  <si>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</si>
  <si>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</si>
  <si>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</si>
  <si>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</si>
  <si>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</si>
  <si>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</si>
  <si>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</si>
  <si>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</si>
  <si>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</si>
  <si>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</si>
  <si>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</si>
  <si>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</si>
  <si>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</si>
  <si>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</si>
  <si>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</si>
  <si>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</si>
  <si>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</si>
  <si>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</si>
  <si>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</si>
  <si>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</si>
  <si>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</si>
  <si>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</si>
  <si>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</si>
  <si>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</si>
  <si>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</si>
  <si>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</si>
  <si>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</si>
  <si>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</si>
  <si>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</si>
  <si>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</si>
  <si>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</si>
  <si>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</si>
  <si>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</si>
  <si>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</si>
  <si>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</si>
  <si>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</si>
  <si>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</si>
  <si>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</si>
  <si>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</si>
  <si>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</si>
  <si>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</si>
  <si>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</si>
  <si>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</si>
  <si>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</si>
  <si>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</si>
  <si>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</si>
  <si>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</si>
  <si>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</si>
  <si>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</si>
  <si>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</si>
  <si>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</si>
  <si>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</si>
  <si>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</si>
  <si>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</si>
  <si>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</si>
  <si>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</si>
  <si>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</si>
  <si>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</si>
  <si>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</si>
  <si>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</si>
  <si>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</si>
  <si>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</si>
  <si>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</si>
  <si>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</si>
  <si>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</si>
  <si>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</si>
  <si>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</si>
  <si>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</si>
  <si>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</si>
  <si>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</si>
  <si>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</si>
  <si>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</si>
  <si>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</si>
  <si>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</si>
  <si>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</si>
  <si>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</si>
  <si>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</si>
  <si>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</si>
  <si>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</si>
  <si>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</si>
  <si>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</si>
  <si>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</si>
  <si>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</si>
  <si>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</si>
  <si>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</si>
  <si>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</si>
  <si>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</si>
  <si>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</si>
  <si>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</si>
  <si>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</si>
  <si>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</si>
  <si>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</si>
  <si>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</si>
  <si>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</si>
  <si>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</si>
  <si>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</si>
  <si>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</si>
  <si>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</si>
  <si>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</si>
  <si>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</si>
  <si>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</si>
  <si>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</si>
  <si>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</si>
  <si>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</si>
  <si>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</si>
  <si>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</si>
  <si>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</si>
  <si>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</si>
  <si>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</si>
  <si>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</si>
  <si>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</si>
  <si>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</si>
  <si>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</si>
  <si>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</si>
  <si>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</si>
  <si>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</si>
  <si>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</si>
  <si>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</si>
  <si>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</si>
  <si>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</si>
  <si>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</si>
  <si>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</si>
  <si>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</si>
  <si>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</si>
  <si>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</si>
  <si>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</si>
  <si>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</si>
  <si>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</si>
  <si>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</si>
  <si>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</si>
  <si>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</si>
  <si>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</si>
  <si>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</si>
  <si>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</si>
  <si>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</si>
  <si>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</si>
  <si>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</si>
  <si>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</si>
  <si>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</si>
  <si>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</si>
  <si>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</si>
  <si>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</si>
  <si>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</si>
  <si>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</si>
  <si>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</si>
  <si>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</si>
  <si>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</si>
  <si>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</si>
  <si>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</si>
  <si>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</si>
  <si>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</si>
  <si>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</si>
  <si>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</si>
  <si>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</si>
  <si>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</si>
  <si>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</si>
  <si>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</si>
  <si>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</si>
  <si>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</si>
  <si>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</si>
  <si>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</si>
  <si>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</si>
  <si>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</si>
  <si>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</si>
  <si>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</si>
  <si>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</si>
  <si>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</si>
  <si>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</si>
  <si>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</si>
  <si>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</si>
  <si>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</si>
  <si>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</si>
  <si>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</si>
  <si>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</si>
  <si>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</si>
  <si>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</si>
  <si>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</si>
  <si>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</si>
  <si>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</si>
  <si>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</si>
  <si>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</si>
  <si>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</si>
  <si>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</si>
  <si>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</si>
  <si>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</si>
  <si>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</si>
  <si>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</si>
  <si>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</si>
  <si>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</si>
  <si>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</si>
  <si>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</si>
  <si>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</si>
  <si>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</si>
  <si>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</si>
  <si>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</si>
  <si>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</si>
  <si>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</si>
  <si>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</si>
  <si>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</si>
  <si>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</si>
  <si>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</si>
  <si>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</si>
  <si>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</si>
  <si>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</si>
  <si>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</si>
  <si>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</si>
  <si>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</si>
  <si>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</si>
  <si>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</si>
  <si>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</si>
  <si>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</si>
  <si>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</si>
  <si>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</si>
  <si>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</si>
  <si>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</si>
  <si>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</si>
  <si>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</si>
  <si>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</si>
  <si>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</si>
  <si>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</si>
  <si>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</si>
  <si>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</si>
  <si>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</si>
  <si>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</si>
  <si>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</si>
  <si>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</si>
  <si>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</si>
  <si>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</si>
  <si>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</si>
  <si>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</si>
  <si>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</si>
  <si>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</si>
  <si>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</si>
  <si>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</si>
  <si>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</si>
  <si>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</si>
  <si>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</si>
  <si>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</si>
  <si>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</si>
  <si>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</si>
  <si>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</si>
  <si>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</si>
  <si>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</si>
  <si>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</si>
  <si>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</si>
  <si>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</si>
  <si>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</si>
  <si>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</si>
  <si>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</si>
  <si>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</si>
  <si>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</si>
  <si>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</si>
  <si>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</si>
  <si>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</si>
  <si>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</si>
  <si>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</si>
  <si>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</si>
  <si>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</si>
  <si>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</si>
  <si>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</si>
  <si>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</si>
  <si>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</si>
  <si>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</si>
  <si>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</si>
  <si>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</si>
  <si>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</si>
  <si>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</si>
  <si>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</si>
  <si>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</si>
  <si>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</si>
  <si>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</si>
  <si>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</si>
  <si>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</si>
  <si>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</si>
  <si>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</si>
  <si>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</si>
  <si>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</si>
  <si>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</si>
  <si>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</si>
  <si>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</si>
  <si>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</si>
  <si>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</si>
  <si>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</si>
  <si>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</si>
  <si>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</si>
  <si>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</si>
  <si>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</si>
  <si>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</si>
  <si>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</si>
  <si>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</si>
  <si>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</si>
  <si>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</si>
  <si>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</si>
  <si>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</si>
  <si>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</si>
  <si>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</si>
  <si>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</si>
  <si>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</si>
  <si>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</si>
  <si>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</si>
  <si>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</si>
  <si>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</si>
  <si>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</si>
  <si>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</si>
  <si>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</si>
  <si>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</si>
  <si>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</si>
  <si>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</si>
  <si>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</si>
  <si>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</si>
  <si>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</si>
  <si>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</si>
  <si>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</si>
  <si>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</si>
  <si>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</si>
  <si>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</si>
  <si>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</si>
  <si>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</si>
  <si>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</si>
  <si>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</si>
  <si>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</si>
  <si>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</si>
  <si>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</si>
  <si>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</si>
  <si>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</si>
  <si>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</si>
  <si>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</si>
  <si>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</si>
  <si>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</si>
  <si>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</si>
  <si>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</si>
  <si>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</si>
  <si>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</si>
  <si>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</si>
  <si>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</si>
  <si>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</si>
  <si>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</si>
  <si>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</si>
  <si>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</si>
  <si>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</si>
  <si>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</si>
  <si>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</si>
  <si>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</si>
  <si>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</si>
  <si>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</si>
  <si>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</si>
  <si>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</si>
  <si>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</si>
  <si>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</si>
  <si>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</si>
  <si>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</si>
  <si>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</si>
  <si>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</si>
  <si>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</si>
  <si>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</si>
  <si>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</si>
  <si>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</si>
  <si>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</si>
  <si>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</si>
  <si>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</si>
  <si>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</si>
  <si>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</si>
  <si>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</si>
  <si>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</si>
  <si>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</si>
  <si>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</si>
  <si>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</si>
  <si>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</si>
  <si>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</si>
  <si>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</si>
  <si>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</si>
  <si>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</si>
  <si>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</si>
  <si>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</si>
  <si>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</si>
  <si>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</si>
  <si>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</si>
  <si>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</si>
  <si>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</si>
  <si>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</si>
  <si>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</si>
  <si>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</si>
  <si>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</si>
  <si>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</si>
  <si>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</si>
  <si>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</si>
  <si>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</si>
  <si>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</si>
  <si>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</si>
  <si>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</si>
  <si>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</si>
  <si>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</si>
  <si>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</si>
  <si>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</si>
  <si>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</si>
  <si>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</si>
  <si>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</si>
  <si>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</si>
  <si>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</si>
  <si>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</si>
  <si>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</si>
  <si>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</si>
  <si>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</si>
  <si>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</si>
  <si>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</si>
  <si>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</si>
  <si>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</si>
  <si>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</si>
  <si>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</si>
  <si>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</si>
  <si>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</si>
  <si>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</si>
  <si>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</si>
  <si>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</si>
  <si>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</si>
  <si>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</si>
  <si>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</si>
  <si>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</si>
  <si>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</si>
  <si>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</si>
  <si>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</si>
  <si>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</si>
  <si>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</si>
  <si>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</si>
  <si>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</si>
  <si>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</si>
  <si>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</si>
  <si>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</si>
  <si>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</si>
  <si>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</si>
  <si>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</si>
  <si>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</si>
  <si>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</si>
  <si>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</si>
  <si>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</si>
  <si>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</si>
  <si>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</si>
  <si>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</si>
  <si>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</si>
  <si>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</si>
  <si>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</si>
  <si>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</si>
  <si>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</si>
  <si>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</si>
  <si>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</si>
  <si>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</si>
  <si>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</si>
  <si>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</si>
  <si>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</si>
  <si>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</si>
  <si>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</si>
  <si>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</si>
  <si>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</si>
  <si>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</si>
  <si>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</si>
  <si>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</si>
  <si>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</si>
  <si>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</si>
  <si>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</si>
  <si>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</si>
  <si>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</si>
  <si>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</si>
  <si>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</si>
  <si>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</si>
  <si>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</si>
  <si>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</si>
  <si>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</si>
  <si>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</si>
  <si>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</si>
  <si>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</si>
  <si>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</si>
  <si>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</si>
  <si>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</si>
  <si>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</si>
  <si>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</si>
  <si>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</si>
  <si>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</si>
  <si>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</si>
  <si>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</si>
  <si>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</si>
  <si>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</si>
  <si>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</si>
  <si>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</si>
  <si>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</si>
  <si>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</si>
  <si>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</si>
  <si>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</si>
  <si>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</si>
  <si>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</si>
  <si>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</si>
  <si>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</si>
  <si>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</si>
  <si>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</si>
  <si>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</si>
  <si>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</si>
  <si>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</si>
  <si>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</si>
  <si>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</si>
  <si>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</si>
  <si>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</si>
  <si>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</si>
  <si>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</si>
  <si>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</si>
  <si>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</si>
  <si>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</si>
  <si>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</si>
  <si>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</si>
  <si>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</si>
  <si>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</si>
  <si>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</si>
  <si>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</si>
  <si>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</si>
  <si>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</si>
  <si>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</si>
  <si>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</si>
  <si>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</si>
  <si>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</si>
  <si>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</si>
  <si>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</si>
  <si>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</si>
  <si>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</si>
  <si>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</si>
  <si>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</si>
  <si>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</si>
  <si>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</si>
  <si>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</si>
  <si>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</si>
  <si>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</si>
  <si>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</si>
  <si>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</si>
  <si>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</si>
  <si>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</si>
  <si>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</si>
  <si>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</si>
  <si>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</si>
  <si>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</si>
  <si>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</si>
  <si>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</si>
  <si>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</si>
  <si>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</si>
  <si>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</si>
  <si>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</si>
  <si>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</si>
  <si>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</si>
  <si>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</si>
  <si>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</si>
  <si>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</si>
  <si>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</si>
  <si>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</si>
  <si>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</si>
  <si>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</si>
  <si>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</si>
  <si>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</si>
  <si>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</si>
  <si>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</si>
  <si>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</si>
  <si>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</si>
  <si>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</si>
  <si>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</si>
  <si>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</si>
  <si>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</si>
  <si>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</si>
  <si>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</si>
  <si>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</si>
  <si>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</si>
  <si>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</si>
  <si>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</si>
  <si>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</si>
  <si>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</si>
  <si>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</si>
  <si>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</si>
  <si>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</si>
  <si>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</si>
  <si>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</si>
  <si>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</si>
  <si>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</si>
  <si>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</si>
  <si>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</si>
  <si>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</si>
  <si>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</si>
  <si>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</si>
  <si>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</si>
  <si>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</si>
  <si>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</si>
  <si>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</si>
  <si>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</si>
  <si>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</si>
  <si>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</si>
  <si>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</si>
  <si>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</si>
  <si>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</si>
  <si>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</si>
  <si>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</si>
  <si>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</si>
  <si>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</si>
  <si>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</si>
  <si>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</si>
  <si>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</si>
  <si>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</si>
  <si>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</si>
  <si>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</si>
  <si>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</si>
  <si>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</si>
  <si>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</si>
  <si>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</si>
  <si>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</si>
  <si>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</si>
  <si>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</si>
  <si>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</si>
  <si>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</si>
  <si>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</si>
  <si>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</si>
  <si>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</si>
  <si>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</si>
  <si>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</si>
  <si>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</si>
  <si>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</si>
  <si>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</si>
  <si>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</si>
  <si>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</si>
  <si>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</si>
  <si>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</si>
  <si>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</si>
  <si>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</si>
  <si>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</si>
  <si>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</si>
  <si>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</si>
  <si>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</si>
  <si>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</si>
  <si>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</si>
  <si>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</si>
  <si>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</si>
  <si>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</si>
  <si>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</si>
  <si>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</si>
  <si>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</si>
  <si>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</si>
  <si>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</si>
  <si>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</si>
  <si>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</si>
  <si>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</si>
  <si>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</si>
  <si>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</si>
  <si>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</si>
  <si>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</si>
  <si>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</si>
  <si>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</si>
  <si>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</si>
  <si>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</si>
  <si>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</si>
  <si>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</si>
  <si>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</si>
  <si>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</si>
  <si>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</si>
  <si>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</si>
  <si>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</si>
  <si>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</si>
  <si>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</si>
  <si>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</si>
  <si>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</si>
  <si>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</si>
  <si>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</si>
  <si>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</si>
  <si>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</si>
  <si>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</si>
  <si>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</si>
  <si>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</si>
  <si>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</si>
  <si>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</si>
  <si>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</si>
  <si>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</si>
  <si>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</si>
  <si>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</si>
  <si>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</si>
  <si>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</si>
  <si>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</si>
  <si>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</si>
  <si>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</si>
  <si>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</si>
  <si>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</si>
  <si>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</si>
  <si>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</si>
  <si>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</si>
  <si>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</si>
  <si>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</si>
  <si>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</si>
  <si>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</si>
  <si>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</si>
  <si>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</si>
  <si>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</si>
  <si>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</si>
  <si>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</si>
  <si>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</si>
  <si>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</si>
  <si>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</si>
  <si>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</si>
  <si>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</si>
  <si>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</si>
  <si>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</si>
  <si>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</si>
  <si>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</si>
  <si>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</si>
  <si>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</si>
  <si>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</si>
  <si>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</si>
  <si>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</si>
  <si>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</si>
  <si>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</si>
  <si>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</si>
  <si>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</si>
  <si>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</si>
  <si>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</si>
  <si>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</si>
  <si>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</si>
  <si>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</si>
  <si>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</si>
  <si>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</si>
  <si>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</si>
  <si>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</si>
  <si>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</si>
  <si>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</si>
  <si>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</si>
  <si>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</si>
  <si>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</si>
  <si>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</si>
  <si>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</si>
  <si>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</si>
  <si>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</si>
  <si>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</si>
  <si>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</si>
  <si>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XAVIER MATEU</t>
  </si>
  <si>
    <t>STEPHANE DURIEUX</t>
  </si>
  <si>
    <t>FLORENT BOITON</t>
  </si>
  <si>
    <t>OLIVIER JAUFFRES</t>
  </si>
  <si>
    <t>ALAIN FERRANT</t>
  </si>
  <si>
    <t>CEDRIC LAURANCY</t>
  </si>
  <si>
    <t>YOHAN STROBEL</t>
  </si>
  <si>
    <t>06:18</t>
  </si>
  <si>
    <t>02:14</t>
  </si>
  <si>
    <t>01:52</t>
  </si>
  <si>
    <t>01:19</t>
  </si>
  <si>
    <t>I think your job is excellent. I have made you change or add plays at the limit where it’s also possible that your judgment was correct from your position. Communicate the score at the end of each period.</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</si>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</sst>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37</v>
      </c>
      <c r="D1" s="124" t="s">
        <v>749</v>
      </c>
      <c r="E1" s="125">
        <v>2025</v>
      </c>
      <c r="F1" s="120" t="str">
        <f>TEXT(C1,"00") &amp; "_" &amp; TEXT(C2,"000")&amp; "_" &amp; H4 &amp; "_" &amp; H5 &amp; "_" &amp; B2</f>
        <v>37_368_ASV_RED_E2025</v>
      </c>
      <c r="G1" s="5"/>
      <c r="H1" s="5"/>
      <c r="I1" s="5"/>
      <c r="J1" s="8" t="s">
        <v>707</v>
      </c>
      <c r="K1" s="121" t="s">
        <v>742</v>
      </c>
      <c r="L1" s="121"/>
      <c r="M1" s="122" t="s">
        <v>239</v>
      </c>
      <c r="N1" s="121" t="s">
        <v>762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368</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46122.833333333336</v>
      </c>
      <c r="C3" s="178"/>
      <c r="D3" s="39">
        <v>560</v>
      </c>
      <c r="E3" s="29"/>
      <c r="F3" s="26">
        <f>SUBTOTAL(3,I17:I106)</f>
        <v>4</v>
      </c>
      <c r="G3" s="27">
        <f>IF(OR(D3="",D3=0),"",F3/D3)</f>
        <v>7.1428571428571426E-3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LDLC ASVEL Villeurbanne</v>
      </c>
      <c r="E4" s="182"/>
      <c r="F4" s="182"/>
      <c r="G4" s="183"/>
      <c r="H4" s="118" t="str">
        <f>IF(ISERROR(VLOOKUP($B$2&amp;TEXT($C$2,"000"),GAMES!$A$3:$I$562,6,FALSE)),"LOC",VLOOKUP($B$2&amp;TEXT($C$2,"000"),GAMES!$A$3:$I$562,6,FALSE))</f>
        <v>ASV</v>
      </c>
      <c r="I4" s="5"/>
      <c r="J4" s="119" t="s">
        <v>714</v>
      </c>
      <c r="K4" s="54" t="s">
        <v>743</v>
      </c>
      <c r="L4" s="5"/>
      <c r="M4" s="185" t="s">
        <v>761</v>
      </c>
      <c r="N4" s="186"/>
      <c r="O4" s="2"/>
      <c r="P4" s="2"/>
      <c r="Q4" s="84" t="s">
        <v>175</v>
      </c>
      <c r="R4" s="94">
        <f>(IF(G3="",0,G3))</f>
        <v>7.1428571428571426E-3</v>
      </c>
      <c r="S4" s="61">
        <f>SUM(I13:M13)</f>
        <v>0</v>
      </c>
      <c r="T4" s="78"/>
      <c r="U4" s="61">
        <f>AC18</f>
        <v>4</v>
      </c>
      <c r="V4" s="61">
        <f>+AC22</f>
        <v>0</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Crvena Zvezda Meridianbet Belgrade</v>
      </c>
      <c r="E5" s="192"/>
      <c r="F5" s="192"/>
      <c r="G5" s="193"/>
      <c r="H5" s="118" t="str">
        <f>IF(ISERROR(VLOOKUP($B$2&amp;TEXT($C$2,"000"),GAMES!$A$3:$I$562,7,FALSE)),"VIS",VLOOKUP($B$2&amp;TEXT($C$2,"000"),GAMES!$A$3:$I$562,7,FALSE))</f>
        <v>RED</v>
      </c>
      <c r="I5" s="5"/>
      <c r="J5" s="5"/>
      <c r="K5" s="5"/>
      <c r="L5" s="5"/>
      <c r="M5" s="187"/>
      <c r="N5" s="188"/>
      <c r="O5" s="2"/>
      <c r="P5" s="2"/>
      <c r="Q5" s="89" t="s">
        <v>174</v>
      </c>
      <c r="R5" s="94">
        <f>R4*R3</f>
        <v>0.7142857142857143</v>
      </c>
      <c r="S5" s="70">
        <f t="shared" ref="S5" si="0">S4*S3</f>
        <v>0</v>
      </c>
      <c r="T5" s="92"/>
      <c r="U5" s="70">
        <f t="shared" ref="U5:AG5" si="1">U4*U3</f>
        <v>2</v>
      </c>
      <c r="V5" s="70">
        <f t="shared" si="1"/>
        <v>0</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751</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752</v>
      </c>
      <c r="E7" s="159"/>
      <c r="F7" s="159"/>
      <c r="G7" s="160"/>
      <c r="H7" s="129" t="s">
        <v>709</v>
      </c>
      <c r="I7" s="129" t="s">
        <v>710</v>
      </c>
      <c r="J7" s="129" t="s">
        <v>711</v>
      </c>
      <c r="K7" s="129" t="s">
        <v>712</v>
      </c>
      <c r="L7" s="129" t="s">
        <v>713</v>
      </c>
      <c r="M7" s="58">
        <f>Q7</f>
        <v>2.7142857142857144</v>
      </c>
      <c r="N7" s="58"/>
      <c r="O7" s="2"/>
      <c r="P7" s="2"/>
      <c r="Q7" s="86">
        <f>SUM(R5,S5,AC16)</f>
        <v>2.7142857142857144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753</v>
      </c>
      <c r="E8" s="162"/>
      <c r="F8" s="162"/>
      <c r="G8" s="163"/>
      <c r="H8" s="129" t="s">
        <v>747</v>
      </c>
      <c r="I8" s="129" t="s">
        <v>747</v>
      </c>
      <c r="J8" s="129" t="s">
        <v>748</v>
      </c>
      <c r="K8" s="129" t="s">
        <v>744</v>
      </c>
      <c r="L8" s="129" t="s">
        <v>745</v>
      </c>
      <c r="M8" s="129" t="s">
        <v>108</v>
      </c>
      <c r="N8" s="2"/>
      <c r="O8" s="2"/>
      <c r="P8" s="2"/>
      <c r="Q8" s="85">
        <f>SUM(R5:BA5)</f>
        <v>2.7142857142857144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754</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755</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756</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368</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750</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4</v>
      </c>
      <c r="J15" s="24">
        <f>SUBTOTAL(3,J17:J106)</f>
        <v>4</v>
      </c>
      <c r="K15" s="24">
        <f>SUBTOTAL(3,K17:K106)</f>
        <v>4</v>
      </c>
      <c r="L15" s="24">
        <f>SUBTOTAL(3,L17:L106)</f>
        <v>4</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4</v>
      </c>
      <c r="Z16" s="90" t="s">
        <v>110</v>
      </c>
      <c r="AA16" s="75">
        <f>SUM(AA17:AA24)</f>
        <v>4</v>
      </c>
      <c r="AB16" s="76" t="s">
        <v>54</v>
      </c>
      <c r="AC16" s="75">
        <f>SUM(AC17*AD17,AC18*AD18,AC19*AD19,AC20*AD20,AC21*AD21,AC22*AD22,AC23*AD23,AC24*AD24,AC25*AD25,AC26*AD26,AC27*AD27,AC28*AD28,AC29*AD29,AC30*AD30,AC30*AD30,AC31*AD31,AC32*AD32,AC33*AD33,AC34*AD34,AC35*AD35,AC36*AD36)</f>
        <v>2</v>
      </c>
      <c r="AD16" s="75">
        <f>SUM(AD17:AD24)</f>
        <v>45</v>
      </c>
      <c r="AE16" s="76" t="s">
        <v>42</v>
      </c>
      <c r="AF16" s="75">
        <f>SUM(AF17:AF24)</f>
        <v>3</v>
      </c>
      <c r="AG16" s="75">
        <f>SUM(AG17:AG21)</f>
        <v>4</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368</v>
      </c>
      <c r="D17" s="32" t="s">
        <v>757</v>
      </c>
      <c r="E17" s="33">
        <v>1</v>
      </c>
      <c r="F17" s="36">
        <v>7</v>
      </c>
      <c r="G17" s="36">
        <v>9</v>
      </c>
      <c r="H17" s="38" t="str">
        <f>IF(I17="","",$I$14)</f>
        <v>SCOUTING</v>
      </c>
      <c r="I17" s="34">
        <v>33</v>
      </c>
      <c r="J17" s="13" t="s">
        <v>4</v>
      </c>
      <c r="K17" s="13" t="s">
        <v>62</v>
      </c>
      <c r="L17" s="13" t="s">
        <v>5</v>
      </c>
      <c r="M17" s="13" t="s">
        <v>27</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4</v>
      </c>
      <c r="Z17" s="105" t="s">
        <v>63</v>
      </c>
      <c r="AA17" s="62">
        <f>COUNTIF($K$17:$K$106,Z17)</f>
        <v>2</v>
      </c>
      <c r="AB17" s="66" t="s">
        <v>19</v>
      </c>
      <c r="AC17" s="61">
        <f t="shared" ref="AC17:AC29" si="5">COUNTIF($L$17:$L$106,AB17)</f>
        <v>0</v>
      </c>
      <c r="AD17" s="61">
        <f t="shared" ref="AD17:AD25" si="6">P17</f>
        <v>10</v>
      </c>
      <c r="AE17" s="66" t="s">
        <v>11</v>
      </c>
      <c r="AF17" s="65">
        <f t="shared" ref="AF17:AF48" si="7">COUNTIF($M$17:$M$106,AE17)</f>
        <v>3</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368</v>
      </c>
      <c r="D18" s="32" t="s">
        <v>758</v>
      </c>
      <c r="E18" s="33">
        <v>3</v>
      </c>
      <c r="F18" s="36">
        <v>67</v>
      </c>
      <c r="G18" s="36">
        <v>67</v>
      </c>
      <c r="H18" s="38" t="str">
        <f t="shared" ref="H18:H81" si="8">IF(I18="","",$I$14)</f>
        <v>SCOUTING</v>
      </c>
      <c r="I18" s="34">
        <v>406</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4</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368</v>
      </c>
      <c r="D19" s="32" t="s">
        <v>759</v>
      </c>
      <c r="E19" s="33">
        <v>4</v>
      </c>
      <c r="F19" s="36">
        <v>88</v>
      </c>
      <c r="G19" s="36">
        <v>101</v>
      </c>
      <c r="H19" s="38" t="str">
        <f t="shared" si="8"/>
        <v>SCOUTING</v>
      </c>
      <c r="I19" s="34">
        <v>537</v>
      </c>
      <c r="J19" s="13" t="s">
        <v>4</v>
      </c>
      <c r="K19" s="13" t="s">
        <v>63</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368</v>
      </c>
      <c r="D20" s="32" t="s">
        <v>760</v>
      </c>
      <c r="E20" s="33">
        <v>4</v>
      </c>
      <c r="F20" s="36">
        <v>93</v>
      </c>
      <c r="G20" s="36">
        <v>103</v>
      </c>
      <c r="H20" s="38" t="str">
        <f t="shared" si="8"/>
        <v>SCOUTING</v>
      </c>
      <c r="I20" s="34">
        <v>546</v>
      </c>
      <c r="J20" s="13" t="s">
        <v>4</v>
      </c>
      <c r="K20" s="13" t="s">
        <v>62</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REPORT_E2025368</v>
      </c>
    </row>
    <row r="2" spans="2:6" x14ac:dyDescent="0.25">
      <c r="F2" s="45" t="s">
        <v>157</v>
      </c>
    </row>
    <row r="3" spans="2:6" x14ac:dyDescent="0.25">
      <c r="B3" s="43" t="s">
        <v>156</v>
      </c>
      <c r="C3" s="43" t="str">
        <f>""""&amp;'SCOUT &amp; LOGISTICS'!B2&amp;TEXT('SCOUT &amp; LOGISTICS'!C2,"000")&amp;""""</f>
        <v>"E2025368"</v>
      </c>
      <c r="F3" s="45" t="str">
        <f t="shared" ref="F3:F16" si="0">""""&amp;B3&amp;"""" &amp; " : " &amp;C3&amp;","</f>
        <v>"name" : "E2025368",</v>
      </c>
    </row>
    <row r="4" spans="2:6" x14ac:dyDescent="0.25">
      <c r="B4" s="43" t="s">
        <v>119</v>
      </c>
      <c r="C4" s="43" t="str">
        <f>""""&amp;LEFT('SCOUT &amp; LOGISTICS'!B2,1) &amp; TEXT('SCOUT &amp; LOGISTICS'!C2,"000")&amp;""""</f>
        <v>"E368"</v>
      </c>
      <c r="F4" s="45" t="str">
        <f t="shared" si="0"/>
        <v>"cod" : "E368",</v>
      </c>
    </row>
    <row r="5" spans="2:6" x14ac:dyDescent="0.25">
      <c r="B5" s="43" t="s">
        <v>117</v>
      </c>
      <c r="C5" s="43" t="str">
        <f>""""&amp;LEFT('SCOUT &amp; LOGISTICS'!B2,1)&amp;""""</f>
        <v>"E"</v>
      </c>
      <c r="F5" s="45" t="str">
        <f t="shared" si="0"/>
        <v>"competition" : "E",</v>
      </c>
    </row>
    <row r="6" spans="2:6" x14ac:dyDescent="0.25">
      <c r="B6" s="43" t="s">
        <v>118</v>
      </c>
      <c r="C6" s="43" t="str">
        <f>TEXT('SCOUT &amp; LOGISTICS'!C2,"000")</f>
        <v>368</v>
      </c>
      <c r="F6" s="45" t="str">
        <f t="shared" si="0"/>
        <v>"number" : 368,</v>
      </c>
    </row>
    <row r="7" spans="2:6" x14ac:dyDescent="0.25">
      <c r="B7" s="43" t="s">
        <v>116</v>
      </c>
      <c r="C7" s="43" t="str">
        <f ca="1">""""&amp;TEXT('SCOUT &amp; LOGISTICS'!B3,"dd/mm/aaaa")&amp;""""</f>
        <v>"10/04/Friday"</v>
      </c>
      <c r="F7" s="45" t="str">
        <f t="shared" ca="1" si="0"/>
        <v>"date" : "10/04/Friday",</v>
      </c>
    </row>
    <row r="8" spans="2:6" x14ac:dyDescent="0.25">
      <c r="B8" s="43" t="s">
        <v>125</v>
      </c>
      <c r="C8" s="43" t="str">
        <f>""""&amp;'SCOUT &amp; LOGISTICS'!D4 &amp;""""</f>
        <v>"LDLC ASVEL Villeurbanne"</v>
      </c>
      <c r="F8" s="45" t="str">
        <f t="shared" si="0"/>
        <v>"home_team" : "LDLC ASVEL Villeurbanne",</v>
      </c>
    </row>
    <row r="9" spans="2:6" x14ac:dyDescent="0.25">
      <c r="B9" s="43" t="s">
        <v>126</v>
      </c>
      <c r="C9" s="43" t="str">
        <f>""""&amp;'SCOUT &amp; LOGISTICS'!D5&amp;""""</f>
        <v>"Crvena Zvezda Meridianbet Belgrade"</v>
      </c>
      <c r="F9" s="45" t="str">
        <f t="shared" si="0"/>
        <v>"away_team" : "Crvena Zvezda Meridianbet Belgrade",</v>
      </c>
    </row>
    <row r="10" spans="2:6" x14ac:dyDescent="0.25">
      <c r="B10" s="43" t="s">
        <v>127</v>
      </c>
      <c r="C10" s="43" t="str">
        <f>""""&amp;IF('SCOUT &amp; LOGISTICS'!D6="","",'SCOUT &amp; LOGISTICS'!D6)&amp;""""</f>
        <v>"STEPHANE DURIEUX"</v>
      </c>
      <c r="F10" s="45" t="str">
        <f t="shared" si="0"/>
        <v>"Data_entry" : "STEPHANE DURIEUX",</v>
      </c>
    </row>
    <row r="11" spans="2:6" x14ac:dyDescent="0.25">
      <c r="B11" s="43" t="s">
        <v>128</v>
      </c>
      <c r="C11" s="43" t="str">
        <f>""""&amp;IF('SCOUT &amp; LOGISTICS'!D7="","",'SCOUT &amp; LOGISTICS'!D7)&amp;""""</f>
        <v>"FLORENT BOITON"</v>
      </c>
      <c r="F11" s="45" t="str">
        <f t="shared" si="0"/>
        <v>"Caller_1" : "FLORENT BOITON",</v>
      </c>
    </row>
    <row r="12" spans="2:6" x14ac:dyDescent="0.25">
      <c r="B12" s="43" t="s">
        <v>129</v>
      </c>
      <c r="C12" s="43" t="str">
        <f>""""&amp;IF('SCOUT &amp; LOGISTICS'!D8="","",'SCOUT &amp; LOGISTICS'!D8)&amp;""""</f>
        <v>"OLIVIER JAUFFRES"</v>
      </c>
      <c r="F12" s="45" t="str">
        <f t="shared" si="0"/>
        <v>"Caller_2" : "OLIVIER JAUFFRES",</v>
      </c>
    </row>
    <row r="13" spans="2:6" x14ac:dyDescent="0.25">
      <c r="B13" s="43" t="s">
        <v>98</v>
      </c>
      <c r="C13" s="43" t="str">
        <f>""""&amp;IF('SCOUT &amp; LOGISTICS'!D9="","",'SCOUT &amp; LOGISTICS'!D9)&amp;""""</f>
        <v>"ALAIN FERRANT"</v>
      </c>
      <c r="F13" s="45" t="str">
        <f t="shared" si="0"/>
        <v>"Timerkeeper" : "ALAIN FERRANT",</v>
      </c>
    </row>
    <row r="14" spans="2:6" x14ac:dyDescent="0.25">
      <c r="B14" s="43" t="s">
        <v>99</v>
      </c>
      <c r="C14" s="43" t="str">
        <f>""""&amp;IF('SCOUT &amp; LOGISTICS'!D10="","",'SCOUT &amp; LOGISTICS'!D10)&amp;""""</f>
        <v>"CEDRIC LAURANCY"</v>
      </c>
      <c r="F14" s="45" t="str">
        <f t="shared" si="0"/>
        <v>"Shotclock" : "CEDRIC LAURANCY",</v>
      </c>
    </row>
    <row r="15" spans="2:6" x14ac:dyDescent="0.25">
      <c r="B15" s="43" t="s">
        <v>108</v>
      </c>
      <c r="C15" s="43" t="str">
        <f>""""&amp;IF('SCOUT &amp; LOGISTICS'!D11="","",'SCOUT &amp; LOGISTICS'!D11)&amp;""""</f>
        <v>"YOHAN STROBEL"</v>
      </c>
      <c r="F15" s="45" t="str">
        <f t="shared" si="0"/>
        <v>"IRS" : "YOHAN STROBEL",</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560</v>
      </c>
      <c r="F25" s="45" t="str">
        <f t="shared" ref="F25:F48" si="1">""""&amp;C25&amp;"""" &amp; " : " &amp;D25&amp;","</f>
        <v>"total_actions" : 560,</v>
      </c>
    </row>
    <row r="26" spans="2:6" x14ac:dyDescent="0.25">
      <c r="C26" s="43" t="s">
        <v>132</v>
      </c>
      <c r="D26" s="43">
        <f>'SCOUT &amp; LOGISTICS'!F3</f>
        <v>4</v>
      </c>
      <c r="F26" s="45" t="str">
        <f t="shared" si="1"/>
        <v>"total_correcions" : 4,</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0</v>
      </c>
      <c r="F32" s="45" t="str">
        <f t="shared" si="1"/>
        <v>"q2" : 0,</v>
      </c>
    </row>
    <row r="33" spans="3:6" x14ac:dyDescent="0.25">
      <c r="C33" s="43" t="s">
        <v>137</v>
      </c>
      <c r="D33" s="43">
        <f>'SCOUT &amp; LOGISTICS'!AG19</f>
        <v>1</v>
      </c>
      <c r="F33" s="45" t="str">
        <f t="shared" si="1"/>
        <v>"q3" : 1,</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4</v>
      </c>
      <c r="F37" s="45" t="str">
        <f t="shared" si="1"/>
        <v>"scoresheet_corrections" : 4,</v>
      </c>
    </row>
    <row r="38" spans="3:6" x14ac:dyDescent="0.25">
      <c r="C38" s="43" t="s">
        <v>141</v>
      </c>
      <c r="D38" s="43">
        <f>'SCOUT &amp; LOGISTICS'!AC17</f>
        <v>0</v>
      </c>
      <c r="F38" s="45" t="str">
        <f t="shared" si="1"/>
        <v>"criteria" : 0,</v>
      </c>
    </row>
    <row r="39" spans="3:6" x14ac:dyDescent="0.25">
      <c r="C39" s="43" t="s">
        <v>142</v>
      </c>
      <c r="D39" s="43">
        <f>'SCOUT &amp; LOGISTICS'!AC18</f>
        <v>4</v>
      </c>
      <c r="F39" s="45" t="str">
        <f t="shared" si="1"/>
        <v>"missidentity" : 4,</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 think your job is excellent. I have made you change or add plays at the limit where it’s also possible that your judgment was correct from your position. Communicate the score at the end of each period."</v>
      </c>
      <c r="F51" s="45" t="str">
        <f>""""&amp;B51&amp;"""" &amp; " : " &amp;C51&amp;","</f>
        <v>"comments" : "I think your job is excellent. I have made you change or add plays at the limit where it’s also possible that your judgment was correct from your position. Communicate the score at the end of each period.",</v>
      </c>
    </row>
    <row r="52" spans="2:6" x14ac:dyDescent="0.25">
      <c r="B52" s="43" t="s">
        <v>153</v>
      </c>
      <c r="C52" s="43" t="str">
        <f>TEXT('SCOUT &amp; LOGISTICS'!F1,"0,0")</f>
        <v>37_368_ASV_RED_E2025</v>
      </c>
      <c r="F52" s="45" t="str">
        <f>""""&amp;B52&amp;"""" &amp; " : " &amp;C52</f>
        <v>"result" : 37_368_ASV_RED_E2025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E368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10/04</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Ldlc Asvel Villeurbanne</v>
      </c>
      <c r="C6" s="197"/>
      <c r="D6" s="197"/>
      <c r="E6" s="197"/>
      <c r="F6" s="197"/>
      <c r="G6" s="197"/>
      <c r="H6" s="197"/>
      <c r="I6" s="197"/>
      <c r="J6" s="197"/>
      <c r="K6" s="197"/>
      <c r="L6" s="197"/>
      <c r="M6" s="197"/>
      <c r="N6" s="197"/>
      <c r="O6" s="197"/>
      <c r="P6" s="197"/>
      <c r="Q6" s="197" t="str">
        <f>PROPER('SCOUT &amp; LOGISTICS'!D5)</f>
        <v>Crvena Zvezda Meridianbet Belgrade</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STEPHANE DURIEUX</v>
      </c>
      <c r="C8" s="201"/>
      <c r="D8" s="201"/>
      <c r="E8" s="201"/>
      <c r="F8" s="201"/>
      <c r="G8" s="201" t="str">
        <f>IF('SCOUT &amp; LOGISTICS'!D7="","",'SCOUT &amp; LOGISTICS'!D7)</f>
        <v>FLORENT BOITON</v>
      </c>
      <c r="H8" s="201"/>
      <c r="I8" s="201"/>
      <c r="J8" s="201"/>
      <c r="K8" s="201"/>
      <c r="L8" s="201" t="str">
        <f>IF('SCOUT &amp; LOGISTICS'!D8="","",'SCOUT &amp; LOGISTICS'!D8)</f>
        <v>OLIVIER JAUFFRES</v>
      </c>
      <c r="M8" s="201"/>
      <c r="N8" s="201"/>
      <c r="O8" s="201"/>
      <c r="P8" s="201"/>
      <c r="Q8" s="201" t="str">
        <f>IF('SCOUT &amp; LOGISTICS'!D9="","",'SCOUT &amp; LOGISTICS'!D9)</f>
        <v>ALAIN FERRANT</v>
      </c>
      <c r="R8" s="201"/>
      <c r="S8" s="201"/>
      <c r="T8" s="201"/>
      <c r="U8" s="201"/>
      <c r="V8" s="201" t="str">
        <f>IF('SCOUT &amp; LOGISTICS'!D10="","",'SCOUT &amp; LOGISTICS'!D10)</f>
        <v>CEDRIC LAURANCY</v>
      </c>
      <c r="W8" s="201"/>
      <c r="X8" s="201"/>
      <c r="Y8" s="201"/>
      <c r="Z8" s="201"/>
      <c r="AA8" s="201" t="str">
        <f>IF('SCOUT &amp; LOGISTICS'!D11="","",'SCOUT &amp; LOGISTICS'!D11)</f>
        <v>YOHAN STROBEL</v>
      </c>
      <c r="AB8" s="201"/>
      <c r="AC8" s="201"/>
      <c r="AD8" s="201"/>
      <c r="AE8" s="201"/>
      <c r="AF8" s="48"/>
    </row>
    <row r="9" spans="1:33" ht="13" thickBot="1" x14ac:dyDescent="0.3">
      <c r="A9" s="48"/>
      <c r="B9" s="209" t="str">
        <f>IF(OR('SCOUT &amp; LOGISTICS'!D14="",'SCOUT &amp; LOGISTICS'!D14=0),"",'SCOUT &amp; LOGISTICS'!B14 &amp; ": " &amp; 'SCOUT &amp; LOGISTICS'!D14) &amp; "     "</f>
        <v xml:space="preserve">L G M: : XAVIER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560</v>
      </c>
      <c r="C17" s="203"/>
      <c r="D17" s="203"/>
      <c r="E17" s="203"/>
      <c r="F17" s="203"/>
      <c r="G17" s="203"/>
      <c r="H17" s="203"/>
      <c r="I17" s="203"/>
      <c r="J17" s="203"/>
      <c r="K17" s="203"/>
      <c r="L17" s="203">
        <f>'SCOUT &amp; LOGISTICS'!F3</f>
        <v>4</v>
      </c>
      <c r="M17" s="203"/>
      <c r="N17" s="203"/>
      <c r="O17" s="203"/>
      <c r="P17" s="203"/>
      <c r="Q17" s="203"/>
      <c r="R17" s="203"/>
      <c r="S17" s="203"/>
      <c r="T17" s="203"/>
      <c r="U17" s="203"/>
      <c r="V17" s="206">
        <f>IF(OR(B17="",B17=0),"",L17/B17)</f>
        <v>7.1428571428571426E-3</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2</v>
      </c>
      <c r="C20" s="199"/>
      <c r="D20" s="199"/>
      <c r="E20" s="199"/>
      <c r="F20" s="199"/>
      <c r="G20" s="199"/>
      <c r="H20" s="199"/>
      <c r="I20" s="199"/>
      <c r="J20" s="199"/>
      <c r="K20" s="199"/>
      <c r="L20" s="199">
        <f>IF('SCOUT &amp; LOGISTICS'!AA18="","",'SCOUT &amp; LOGISTICS'!AA18)</f>
        <v>2</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1</v>
      </c>
      <c r="C22" s="199"/>
      <c r="D22" s="199"/>
      <c r="E22" s="199"/>
      <c r="F22" s="199"/>
      <c r="G22" s="199"/>
      <c r="H22" s="199">
        <f>'SCOUT &amp; LOGISTICS'!AG18</f>
        <v>0</v>
      </c>
      <c r="I22" s="199"/>
      <c r="J22" s="199"/>
      <c r="K22" s="199"/>
      <c r="L22" s="199"/>
      <c r="M22" s="199"/>
      <c r="N22" s="199">
        <f>'SCOUT &amp; LOGISTICS'!AG19</f>
        <v>1</v>
      </c>
      <c r="O22" s="199"/>
      <c r="P22" s="199"/>
      <c r="Q22" s="199"/>
      <c r="R22" s="199"/>
      <c r="S22" s="199"/>
      <c r="T22" s="199">
        <f>'SCOUT &amp; LOGISTICS'!AG20</f>
        <v>2</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4</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4</v>
      </c>
      <c r="C27" s="199"/>
      <c r="D27" s="199"/>
      <c r="E27" s="199"/>
      <c r="F27" s="199"/>
      <c r="G27" s="199">
        <f>'SCOUT &amp; LOGISTICS'!AC22</f>
        <v>0</v>
      </c>
      <c r="H27" s="199"/>
      <c r="I27" s="199"/>
      <c r="J27" s="199"/>
      <c r="K27" s="199"/>
      <c r="L27" s="199">
        <f>'SCOUT &amp; LOGISTICS'!AC23</f>
        <v>0</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0</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I think your job is excellent. I have made you change or add plays at the limit where it’s also possible that your judgment was correct from your position. Communicate the score at the end of each period.</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2.7142857142857144</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4EFA49DF-6A21-435C-B115-219E2AD288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2026-04-14T14:28:09Z</cp:lastPrinted>
  <dcterms:created xsi:type="dcterms:W3CDTF">2023-09-19T19:50:35Z</dcterms:created>
  <dcterms:modified xsi:type="dcterms:W3CDTF">2026-04-14T14:28:13Z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