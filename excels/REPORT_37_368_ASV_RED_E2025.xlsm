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28E6CDFE-2110-43DE-8760-F537EA3B2DBF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<sst xmlns="http://schemas.openxmlformats.org/spreadsheetml/2006/main" count="3235" uniqueCount="752">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</sst>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37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37_368_ASV_RED_E2025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368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46122.833333333336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LDLC ASVEL Villeurbanne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ASV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Crvena Zvezda Meridianbet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REPORT_E2025368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"E2025368"</v>
      </c>
      <c r="F3" s="45" t="str">
        <f t="shared" ref="F3:F16" si="0">""""&amp;B3&amp;"""" &amp; " : " &amp;C3&amp;","</f>
        <v>"name" : "E2025368",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"E368"</v>
      </c>
      <c r="F4" s="45" t="str">
        <f t="shared" si="0"/>
        <v>"cod" : "E368",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368</v>
      </c>
      <c r="F6" s="45" t="str">
        <f t="shared" si="0"/>
        <v>"number" : 368,</v>
      </c>
    </row>
    <row r="7" spans="2:6" x14ac:dyDescent="0.2">
      <c r="B7" s="43" t="s">
        <v>116</v>
      </c>
      <c r="C7" s="43" t="str">
        <f ca="1">""""&amp;TEXT('SCOUT &amp; LOGISTICS'!B3,"dd/mm/aaaa")&amp;""""</f>
        <v>"10/04/Friday"</v>
      </c>
      <c r="F7" s="45" t="str">
        <f t="shared" ca="1" si="0"/>
        <v>"date" : "10/04/Friday",</v>
      </c>
    </row>
    <row r="8" spans="2:6" x14ac:dyDescent="0.2">
      <c r="B8" s="43" t="s">
        <v>125</v>
      </c>
      <c r="C8" s="43" t="str">
        <f>""""&amp;'SCOUT &amp; LOGISTICS'!D4 &amp;""""</f>
        <v>"LDLC ASVEL Villeurbanne"</v>
      </c>
      <c r="F8" s="45" t="str">
        <f t="shared" si="0"/>
        <v>"home_team" : "LDLC ASVEL Villeurbanne",</v>
      </c>
    </row>
    <row r="9" spans="2:6" x14ac:dyDescent="0.2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37_368_ASV_RED_E2025</v>
      </c>
      <c r="F52" s="45" t="str">
        <f>""""&amp;B52&amp;"""" &amp; " : " &amp;C52</f>
        <v>"result" : 37_368_ASV_RED_E2025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E368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10/04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Ldlc Asvel Villeurbanne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Crvena Zvezda Meridianbet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C270C61-A7BF-4832-A377-09BEDAD8AB5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