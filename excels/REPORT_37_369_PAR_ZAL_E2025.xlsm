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0F8B0E9B-7B09-463F-AF3E-694A274B7282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<sst xmlns="http://schemas.openxmlformats.org/spreadsheetml/2006/main" count="3235" uniqueCount="752">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</sst>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37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37_369_PAR_ZAL_E2025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369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46122.854166666664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Partizan Mozzart 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Zalgiris Kaunas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ZAL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REPORT_E2025369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"E2025369"</v>
      </c>
      <c r="F3" s="45" t="str">
        <f t="shared" ref="F3:F16" si="0">""""&amp;B3&amp;"""" &amp; " : " &amp;C3&amp;","</f>
        <v>"name" : "E2025369",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"E369"</v>
      </c>
      <c r="F4" s="45" t="str">
        <f t="shared" si="0"/>
        <v>"cod" : "E369",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369</v>
      </c>
      <c r="F6" s="45" t="str">
        <f t="shared" si="0"/>
        <v>"number" : 369,</v>
      </c>
    </row>
    <row r="7" spans="2:6" x14ac:dyDescent="0.2">
      <c r="B7" s="43" t="s">
        <v>116</v>
      </c>
      <c r="C7" s="43" t="str">
        <f ca="1">""""&amp;TEXT('SCOUT &amp; LOGISTICS'!B3,"dd/mm/aaaa")&amp;""""</f>
        <v>"10/04/Friday"</v>
      </c>
      <c r="F7" s="45" t="str">
        <f t="shared" ca="1" si="0"/>
        <v>"date" : "10/04/Friday",</v>
      </c>
    </row>
    <row r="8" spans="2:6" x14ac:dyDescent="0.2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">
      <c r="B9" s="43" t="s">
        <v>126</v>
      </c>
      <c r="C9" s="43" t="str">
        <f>""""&amp;'SCOUT &amp; LOGISTICS'!D5&amp;""""</f>
        <v>"Zalgiris Kaunas"</v>
      </c>
      <c r="F9" s="45" t="str">
        <f t="shared" si="0"/>
        <v>"away_team" : "Zalgiris Kaunas",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37_369_PAR_ZAL_E2025</v>
      </c>
      <c r="F52" s="45" t="str">
        <f>""""&amp;B52&amp;"""" &amp; " : " &amp;C52</f>
        <v>"result" : 37_369_PAR_ZAL_E2025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E369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10/04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Partizan Mozzart 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Zalgiris Kaunas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25393CA-F13D-47B7-9EDC-1C277966E46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