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B533A29D-93F2-4411-9834-A3F5568D9311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<sst xmlns="http://schemas.openxmlformats.org/spreadsheetml/2006/main" count="3280" uniqueCount="764">
  <si>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</si>
  <si>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</si>
  <si>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</si>
  <si>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</si>
  <si>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</si>
  <si>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</si>
  <si>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</si>
  <si>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</si>
  <si>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</si>
  <si>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</si>
  <si>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</si>
  <si>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</si>
  <si>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</si>
  <si>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</si>
  <si>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</si>
  <si>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</si>
  <si>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</si>
  <si>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</si>
  <si>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</si>
  <si>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</si>
  <si>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</si>
  <si>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</si>
  <si>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</si>
  <si>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</si>
  <si>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</si>
  <si>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</si>
  <si>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</si>
  <si>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</si>
  <si>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</si>
  <si>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</si>
  <si>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</si>
  <si>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</si>
  <si>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</si>
  <si>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</si>
  <si>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</si>
  <si>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</si>
  <si>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</si>
  <si>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</si>
  <si>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</si>
  <si>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</si>
  <si>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</si>
  <si>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</si>
  <si>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</si>
  <si>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</si>
  <si>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</si>
  <si>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</si>
  <si>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</si>
  <si>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</si>
  <si>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</si>
  <si>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</si>
  <si>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</si>
  <si>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</si>
  <si>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</si>
  <si>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</si>
  <si>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</si>
  <si>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</si>
  <si>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</si>
  <si>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</si>
  <si>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</si>
  <si>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</si>
  <si>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</si>
  <si>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</si>
  <si>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</si>
  <si>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</si>
  <si>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</si>
  <si>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</si>
  <si>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</si>
  <si>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</si>
  <si>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</si>
  <si>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</si>
  <si>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</si>
  <si>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</si>
  <si>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</si>
  <si>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</si>
  <si>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</si>
  <si>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</si>
  <si>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</si>
  <si>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</si>
  <si>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</si>
  <si>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</si>
  <si>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</si>
  <si>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</si>
  <si>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</si>
  <si>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</si>
  <si>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</si>
  <si>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</si>
  <si>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</si>
  <si>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</si>
  <si>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</si>
  <si>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</si>
  <si>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</si>
  <si>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</si>
  <si>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</si>
  <si>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</si>
  <si>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</si>
  <si>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</si>
  <si>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</si>
  <si>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</si>
  <si>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</si>
  <si>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</si>
  <si>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</si>
  <si>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</si>
  <si>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</si>
  <si>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</si>
  <si>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</si>
  <si>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</si>
  <si>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</si>
  <si>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</si>
  <si>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</si>
  <si>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</si>
  <si>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</si>
  <si>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</si>
  <si>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</si>
  <si>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</si>
  <si>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</si>
  <si>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</si>
  <si>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</si>
  <si>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</si>
  <si>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</si>
  <si>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</si>
  <si>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</si>
  <si>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</si>
  <si>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</si>
  <si>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</si>
  <si>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</si>
  <si>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</si>
  <si>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</si>
  <si>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</si>
  <si>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</si>
  <si>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</si>
  <si>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</si>
  <si>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</si>
  <si>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</si>
  <si>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</si>
  <si>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</si>
  <si>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</si>
  <si>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</si>
  <si>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</si>
  <si>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</si>
  <si>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</si>
  <si>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</si>
  <si>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</si>
  <si>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</si>
  <si>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</si>
  <si>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</si>
  <si>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</si>
  <si>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</si>
  <si>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</si>
  <si>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</si>
  <si>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</si>
  <si>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</si>
  <si>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</si>
  <si>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</si>
  <si>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</si>
  <si>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</si>
  <si>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</si>
  <si>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</si>
  <si>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</si>
  <si>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</si>
  <si>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</si>
  <si>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</si>
  <si>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</si>
  <si>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</si>
  <si>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</si>
  <si>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</si>
  <si>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</si>
  <si>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</si>
  <si>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</si>
  <si>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</si>
  <si>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</si>
  <si>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</si>
  <si>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</si>
  <si>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</si>
  <si>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</si>
  <si>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</si>
  <si>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</si>
  <si>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</si>
  <si>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</si>
  <si>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</si>
  <si>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</si>
  <si>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</si>
  <si>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</si>
  <si>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</si>
  <si>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</si>
  <si>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</si>
  <si>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</si>
  <si>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</si>
  <si>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</si>
  <si>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</si>
  <si>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</si>
  <si>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</si>
  <si>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</si>
  <si>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</si>
  <si>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</si>
  <si>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</si>
  <si>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</si>
  <si>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</si>
  <si>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</si>
  <si>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</si>
  <si>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</si>
  <si>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</si>
  <si>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</si>
  <si>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</si>
  <si>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</si>
  <si>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</si>
  <si>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</si>
  <si>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</si>
  <si>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</si>
  <si>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</si>
  <si>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</si>
  <si>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</si>
  <si>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</si>
  <si>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</si>
  <si>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</si>
  <si>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</si>
  <si>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</si>
  <si>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</si>
  <si>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</si>
  <si>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</si>
  <si>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</si>
  <si>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</si>
  <si>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</si>
  <si>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</si>
  <si>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</si>
  <si>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</si>
  <si>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</si>
  <si>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</si>
  <si>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</si>
  <si>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</si>
  <si>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</si>
  <si>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</si>
  <si>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</si>
  <si>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</si>
  <si>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</si>
  <si>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</si>
  <si>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</si>
  <si>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</si>
  <si>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</si>
  <si>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</si>
  <si>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</si>
  <si>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</si>
  <si>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</si>
  <si>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</si>
  <si>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</si>
  <si>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</si>
  <si>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</si>
  <si>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</si>
  <si>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</si>
  <si>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</si>
  <si>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</si>
  <si>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</si>
  <si>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</si>
  <si>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</si>
  <si>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</si>
  <si>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</si>
  <si>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</si>
  <si>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</si>
  <si>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</si>
  <si>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</si>
  <si>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</si>
  <si>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</si>
  <si>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</si>
  <si>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</si>
  <si>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</si>
  <si>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</si>
  <si>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</si>
  <si>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</si>
  <si>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</si>
  <si>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</si>
  <si>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</si>
  <si>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</si>
  <si>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</si>
  <si>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</si>
  <si>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</si>
  <si>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</si>
  <si>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</si>
  <si>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</si>
  <si>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</si>
  <si>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</si>
  <si>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</si>
  <si>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</si>
  <si>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</si>
  <si>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</si>
  <si>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</si>
  <si>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</si>
  <si>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</si>
  <si>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</si>
  <si>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</si>
  <si>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</si>
  <si>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</si>
  <si>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</si>
  <si>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</si>
  <si>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</si>
  <si>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</si>
  <si>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</si>
  <si>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</si>
  <si>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</si>
  <si>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</si>
  <si>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</si>
  <si>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</si>
  <si>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</si>
  <si>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</si>
  <si>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</si>
  <si>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</si>
  <si>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</si>
  <si>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</si>
  <si>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</si>
  <si>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</si>
  <si>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</si>
  <si>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</si>
  <si>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</si>
  <si>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</si>
  <si>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</si>
  <si>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</si>
  <si>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</si>
  <si>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</si>
  <si>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</si>
  <si>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</si>
  <si>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</si>
  <si>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</si>
  <si>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</si>
  <si>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</si>
  <si>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</si>
  <si>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</si>
  <si>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</si>
  <si>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</si>
  <si>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</si>
  <si>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</si>
  <si>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</si>
  <si>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</si>
  <si>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</si>
  <si>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</si>
  <si>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</si>
  <si>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</si>
  <si>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</si>
  <si>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</si>
  <si>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</si>
  <si>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</si>
  <si>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</si>
  <si>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</si>
  <si>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</si>
  <si>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</si>
  <si>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</si>
  <si>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</si>
  <si>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</si>
  <si>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</si>
  <si>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</si>
  <si>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</si>
  <si>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</si>
  <si>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</si>
  <si>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</si>
  <si>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</si>
  <si>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</si>
  <si>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</si>
  <si>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</si>
  <si>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</si>
  <si>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</si>
  <si>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</si>
  <si>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</si>
  <si>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</si>
  <si>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</si>
  <si>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</si>
  <si>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</si>
  <si>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</si>
  <si>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</si>
  <si>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</si>
  <si>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</si>
  <si>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</si>
  <si>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</si>
  <si>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</si>
  <si>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</si>
  <si>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</si>
  <si>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</si>
  <si>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</si>
  <si>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</si>
  <si>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</si>
  <si>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</si>
  <si>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</si>
  <si>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</si>
  <si>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</si>
  <si>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</si>
  <si>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</si>
  <si>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</si>
  <si>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</si>
  <si>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</si>
  <si>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</si>
  <si>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</si>
  <si>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</si>
  <si>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</si>
  <si>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</si>
  <si>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</si>
  <si>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</si>
  <si>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</si>
  <si>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</si>
  <si>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</si>
  <si>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</si>
  <si>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</si>
  <si>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</si>
  <si>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</si>
  <si>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</si>
  <si>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</si>
  <si>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</si>
  <si>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</si>
  <si>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</si>
  <si>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</si>
  <si>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</si>
  <si>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</si>
  <si>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</si>
  <si>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</si>
  <si>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</si>
  <si>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</si>
  <si>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</si>
  <si>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</si>
  <si>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</si>
  <si>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</si>
  <si>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</si>
  <si>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</si>
  <si>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</si>
  <si>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</si>
  <si>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</si>
  <si>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</si>
  <si>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</si>
  <si>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</si>
  <si>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</si>
  <si>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</si>
  <si>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</si>
  <si>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</si>
  <si>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</si>
  <si>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</si>
  <si>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</si>
  <si>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</si>
  <si>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</si>
  <si>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</si>
  <si>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</si>
  <si>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</si>
  <si>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</si>
  <si>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</si>
  <si>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</si>
  <si>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</si>
  <si>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</si>
  <si>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</si>
  <si>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</si>
  <si>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</si>
  <si>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</si>
  <si>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</si>
  <si>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</si>
  <si>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</si>
  <si>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</si>
  <si>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</si>
  <si>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</si>
  <si>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</si>
  <si>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</si>
  <si>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</si>
  <si>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</si>
  <si>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</si>
  <si>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</si>
  <si>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</si>
  <si>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</si>
  <si>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</si>
  <si>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</si>
  <si>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</si>
  <si>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</si>
  <si>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</si>
  <si>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</si>
  <si>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</si>
  <si>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</si>
  <si>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</si>
  <si>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</si>
  <si>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</si>
  <si>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</si>
  <si>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</si>
  <si>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</si>
  <si>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</si>
  <si>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</si>
  <si>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</si>
  <si>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</si>
  <si>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</si>
  <si>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</si>
  <si>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</si>
  <si>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</si>
  <si>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</si>
  <si>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</si>
  <si>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</si>
  <si>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</si>
  <si>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</si>
  <si>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</si>
  <si>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</si>
  <si>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</si>
  <si>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</si>
  <si>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</si>
  <si>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</si>
  <si>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</si>
  <si>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</si>
  <si>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</si>
  <si>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</si>
  <si>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</si>
  <si>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</si>
  <si>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</si>
  <si>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</si>
  <si>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</si>
  <si>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</si>
  <si>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</si>
  <si>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</si>
  <si>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</si>
  <si>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</si>
  <si>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</si>
  <si>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</si>
  <si>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</si>
  <si>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</si>
  <si>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</si>
  <si>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</si>
  <si>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</si>
  <si>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</si>
  <si>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</si>
  <si>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</si>
  <si>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</si>
  <si>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</si>
  <si>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</si>
  <si>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</si>
  <si>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</si>
  <si>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</si>
  <si>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</si>
  <si>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</si>
  <si>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</si>
  <si>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</si>
  <si>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</si>
  <si>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</si>
  <si>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</si>
  <si>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</si>
  <si>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</si>
  <si>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</si>
  <si>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</si>
  <si>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</si>
  <si>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</si>
  <si>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</si>
  <si>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</si>
  <si>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</si>
  <si>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</si>
  <si>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</si>
  <si>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</si>
  <si>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</si>
  <si>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</si>
  <si>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</si>
  <si>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</si>
  <si>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</si>
  <si>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</si>
  <si>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</si>
  <si>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</si>
  <si>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</si>
  <si>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</si>
  <si>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</si>
  <si>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</si>
  <si>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</si>
  <si>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</si>
  <si>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</si>
  <si>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</si>
  <si>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</si>
  <si>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</si>
  <si>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</si>
  <si>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</si>
  <si>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</si>
  <si>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</si>
  <si>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</si>
  <si>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</si>
  <si>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</si>
  <si>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</si>
  <si>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</si>
  <si>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</si>
  <si>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</si>
  <si>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</si>
  <si>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</si>
  <si>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</si>
  <si>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</si>
  <si>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</si>
  <si>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</si>
  <si>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</si>
  <si>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</si>
  <si>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</si>
  <si>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</si>
  <si>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</si>
  <si>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</si>
  <si>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</si>
  <si>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</si>
  <si>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</si>
  <si>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</si>
  <si>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</si>
  <si>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</si>
  <si>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</si>
  <si>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</si>
  <si>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</si>
  <si>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</si>
  <si>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</si>
  <si>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</si>
  <si>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</si>
  <si>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</si>
  <si>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</si>
  <si>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</si>
  <si>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</si>
  <si>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</si>
  <si>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</si>
  <si>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</si>
  <si>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</si>
  <si>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</si>
  <si>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</si>
  <si>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</si>
  <si>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</si>
  <si>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</si>
  <si>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</si>
  <si>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</si>
  <si>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</si>
  <si>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</si>
  <si>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</si>
  <si>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</si>
  <si>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</si>
  <si>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</si>
  <si>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</si>
  <si>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</si>
  <si>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</si>
  <si>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</si>
  <si>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</si>
  <si>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</si>
  <si>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</si>
  <si>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</si>
  <si>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</si>
  <si>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</si>
  <si>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</si>
  <si>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</si>
  <si>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</si>
  <si>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</si>
  <si>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</si>
  <si>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</si>
  <si>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</si>
  <si>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</si>
  <si>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</si>
  <si>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</si>
  <si>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</si>
  <si>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</si>
  <si>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</si>
  <si>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</si>
  <si>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</si>
  <si>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</si>
  <si>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</si>
  <si>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</si>
  <si>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</si>
  <si>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</si>
  <si>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</si>
  <si>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</si>
  <si>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</si>
  <si>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</si>
  <si>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</si>
  <si>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</si>
  <si>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</si>
  <si>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</si>
  <si>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</si>
  <si>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</si>
  <si>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</si>
  <si>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</si>
  <si>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</si>
  <si>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</si>
  <si>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</si>
  <si>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</si>
  <si>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</si>
  <si>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</si>
  <si>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</si>
  <si>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</si>
  <si>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</si>
  <si>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</si>
  <si>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</si>
  <si>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</si>
  <si>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</si>
  <si>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</si>
  <si>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</si>
  <si>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</si>
  <si>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</si>
  <si>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</si>
  <si>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</si>
  <si>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</si>
  <si>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</si>
  <si>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</si>
  <si>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</si>
  <si>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</si>
  <si>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</si>
  <si>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</si>
  <si>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</si>
  <si>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</si>
  <si>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</si>
  <si>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</si>
  <si>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</si>
  <si>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</si>
  <si>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</si>
  <si>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</si>
  <si>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</si>
  <si>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</si>
  <si>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</si>
  <si>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</si>
  <si>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</si>
  <si>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</si>
  <si>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</si>
  <si>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</si>
  <si>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</si>
  <si>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</si>
  <si>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</si>
  <si>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</si>
  <si>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</si>
  <si>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</si>
  <si>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</si>
  <si>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</si>
  <si>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</si>
  <si>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</si>
  <si>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</si>
  <si>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</si>
  <si>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</si>
  <si>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</si>
  <si>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</si>
  <si>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</si>
  <si>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</si>
  <si>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</si>
  <si>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</si>
  <si>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</si>
  <si>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</si>
  <si>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</si>
  <si>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</si>
  <si>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</si>
  <si>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</si>
  <si>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</si>
  <si>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</si>
  <si>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</si>
  <si>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</si>
  <si>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</si>
  <si>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</si>
  <si>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</si>
  <si>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</si>
  <si>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</si>
  <si>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</si>
  <si>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</si>
  <si>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</si>
  <si>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</si>
  <si>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</si>
  <si>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</si>
  <si>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</si>
  <si>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</si>
  <si>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</si>
  <si>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</si>
  <si>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</si>
  <si>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</si>
  <si>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</si>
  <si>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</si>
  <si>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</si>
  <si>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</si>
  <si>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</si>
  <si>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JAIME LAQUIDAIN</t>
  </si>
  <si>
    <t>MIGUEL PEÑALBA</t>
  </si>
  <si>
    <t>ALEX CORNET</t>
  </si>
  <si>
    <t>ANDRES DE LA COBA</t>
  </si>
  <si>
    <t>NOA GARCIA</t>
  </si>
  <si>
    <t>ALBERTO GONZALEZ</t>
  </si>
  <si>
    <t>OSCAR CUESTA</t>
  </si>
  <si>
    <t>5:51</t>
  </si>
  <si>
    <t>4:13</t>
  </si>
  <si>
    <t>4:08</t>
  </si>
  <si>
    <t>9:18</t>
  </si>
  <si>
    <t>0:54</t>
  </si>
  <si>
    <t>6:49</t>
  </si>
  <si>
    <t>Lástima de aquella jugada tan rara, porque el resto ha sido muy sólido. Felicidades. Ahora, a apretar en el Playoff!!!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</si>
</sst>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38_374_MAD_RED_E2025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46128.864583333336</v>
      </c>
      <c r="C3" s="157"/>
      <c r="D3" s="39">
        <v>598</v>
      </c>
      <c r="E3" s="29"/>
      <c r="F3" s="26">
        <f>SUBTOTAL(3,I17:I106)</f>
        <v>7</v>
      </c>
      <c r="G3" s="27">
        <f>IF(OR(D3="",D3=0),"",F3/D3)</f>
        <v>1.1705685618729096E-2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1.1705685618729096E-2</v>
      </c>
      <c r="S4" s="61">
        <f>SUM(I13:M13)</f>
        <v>0</v>
      </c>
      <c r="T4" s="78"/>
      <c r="U4" s="61">
        <f>AC18</f>
        <v>4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1.1705685618729096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7.6705685618729094</v>
      </c>
      <c r="N7" s="58"/>
      <c r="O7" s="2"/>
      <c r="P7" s="2"/>
      <c r="Q7" s="86">
        <f>SUM(R5,S5,AC16)</f>
        <v>7.6705685618729094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7.6705685618729094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374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374</v>
      </c>
      <c r="D17" s="32" t="s">
        <v>757</v>
      </c>
      <c r="E17" s="33">
        <v>1</v>
      </c>
      <c r="F17" s="36">
        <v>10</v>
      </c>
      <c r="G17" s="36">
        <v>13</v>
      </c>
      <c r="H17" s="38" t="str">
        <f>IF(I17="","",$I$14)</f>
        <v>SCOUTING</v>
      </c>
      <c r="I17" s="34">
        <v>49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374</v>
      </c>
      <c r="D18" s="32" t="s">
        <v>758</v>
      </c>
      <c r="E18" s="33">
        <v>1</v>
      </c>
      <c r="F18" s="36">
        <v>12</v>
      </c>
      <c r="G18" s="36">
        <v>17</v>
      </c>
      <c r="H18" s="38" t="str">
        <f t="shared" ref="H18:H81" si="8">IF(I18="","",$I$14)</f>
        <v>SCOUTING</v>
      </c>
      <c r="I18" s="34">
        <v>76</v>
      </c>
      <c r="J18" s="13" t="s">
        <v>4</v>
      </c>
      <c r="K18" s="13" t="s">
        <v>62</v>
      </c>
      <c r="L18" s="13" t="s">
        <v>7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374</v>
      </c>
      <c r="D19" s="32" t="s">
        <v>759</v>
      </c>
      <c r="E19" s="33">
        <v>2</v>
      </c>
      <c r="F19" s="36">
        <v>12</v>
      </c>
      <c r="G19" s="36">
        <v>17</v>
      </c>
      <c r="H19" s="38" t="str">
        <f t="shared" si="8"/>
        <v>SCOUTING</v>
      </c>
      <c r="I19" s="34">
        <v>77</v>
      </c>
      <c r="J19" s="13" t="s">
        <v>4</v>
      </c>
      <c r="K19" s="13" t="s">
        <v>63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374</v>
      </c>
      <c r="D20" s="32" t="s">
        <v>760</v>
      </c>
      <c r="E20" s="33">
        <v>1</v>
      </c>
      <c r="F20" s="36">
        <v>12</v>
      </c>
      <c r="G20" s="36">
        <v>17</v>
      </c>
      <c r="H20" s="38" t="str">
        <f t="shared" si="8"/>
        <v>SCOUTING</v>
      </c>
      <c r="I20" s="34">
        <v>80</v>
      </c>
      <c r="J20" s="13" t="s">
        <v>4</v>
      </c>
      <c r="K20" s="13" t="s">
        <v>62</v>
      </c>
      <c r="L20" s="13" t="s">
        <v>6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374</v>
      </c>
      <c r="D21" s="32" t="s">
        <v>760</v>
      </c>
      <c r="E21" s="33">
        <v>2</v>
      </c>
      <c r="F21" s="36">
        <v>30</v>
      </c>
      <c r="G21" s="36">
        <v>26</v>
      </c>
      <c r="H21" s="38" t="str">
        <f t="shared" si="8"/>
        <v>SCOUTING</v>
      </c>
      <c r="I21" s="34">
        <v>155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374</v>
      </c>
      <c r="D22" s="32" t="s">
        <v>761</v>
      </c>
      <c r="E22" s="33">
        <v>3</v>
      </c>
      <c r="F22" s="36">
        <v>70</v>
      </c>
      <c r="G22" s="36">
        <v>61</v>
      </c>
      <c r="H22" s="38" t="str">
        <f t="shared" si="8"/>
        <v>SCOUTING</v>
      </c>
      <c r="I22" s="34">
        <v>435</v>
      </c>
      <c r="J22" s="13" t="s">
        <v>4</v>
      </c>
      <c r="K22" s="13" t="s">
        <v>63</v>
      </c>
      <c r="L22" s="13" t="s">
        <v>5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374</v>
      </c>
      <c r="D23" s="32" t="s">
        <v>762</v>
      </c>
      <c r="E23" s="33">
        <v>4</v>
      </c>
      <c r="F23" s="36">
        <v>85</v>
      </c>
      <c r="G23" s="36">
        <v>67</v>
      </c>
      <c r="H23" s="38" t="str">
        <f t="shared" si="8"/>
        <v>SCOUTING</v>
      </c>
      <c r="I23" s="34">
        <v>510</v>
      </c>
      <c r="J23" s="13" t="s">
        <v>4</v>
      </c>
      <c r="K23" s="13" t="s">
        <v>62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REPORT_E2025374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"E2025374"</v>
      </c>
      <c r="F3" s="45" t="str">
        <f t="shared" ref="F3:F16" si="0">""""&amp;B3&amp;"""" &amp; " : " &amp;C3&amp;","</f>
        <v>"name" : "E2025374",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"E374"</v>
      </c>
      <c r="F4" s="45" t="str">
        <f t="shared" si="0"/>
        <v>"cod" : "E374",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374</v>
      </c>
      <c r="F6" s="45" t="str">
        <f t="shared" si="0"/>
        <v>"number" : 374,</v>
      </c>
    </row>
    <row r="7" spans="2:6" x14ac:dyDescent="0.25">
      <c r="B7" s="43" t="s">
        <v>116</v>
      </c>
      <c r="C7" s="43" t="str">
        <f ca="1">""""&amp;TEXT('SCOUT &amp; LOGISTICS'!B3,"dd/mm/aaaa")&amp;""""</f>
        <v>"16/04/2026"</v>
      </c>
      <c r="F7" s="45" t="str">
        <f t="shared" ca="1" si="0"/>
        <v>"date" : "16/04/2026",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"MIGUEL PEÑALBA"</v>
      </c>
      <c r="F11" s="45" t="str">
        <f t="shared" si="0"/>
        <v>"Caller_1" : "MIGUEL PEÑALBA",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"ALEX CORNET"</v>
      </c>
      <c r="F12" s="45" t="str">
        <f t="shared" si="0"/>
        <v>"Caller_2" : "ALEX CORNET",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"ANDRES DE LA COBA"</v>
      </c>
      <c r="F13" s="45" t="str">
        <f t="shared" si="0"/>
        <v>"Timerkeeper" : "ANDRES DE LA COBA",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"NOA GARCIA"</v>
      </c>
      <c r="F14" s="45" t="str">
        <f t="shared" si="0"/>
        <v>"Shotclock" : "NOA GARCIA",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598</v>
      </c>
      <c r="F25" s="45" t="str">
        <f t="shared" ref="F25:F48" si="1">""""&amp;C25&amp;"""" &amp; " : " &amp;D25&amp;","</f>
        <v>"total_actions" : 598,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"1,2%"</v>
      </c>
      <c r="F27" s="45" t="str">
        <f t="shared" si="1"/>
        <v>"%_corrections" : "1,2%",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"Lástima de aquella jugada tan rara, porque el resto ha sido muy sólido. Felicidades. Ahora, a apretar en el Playoff!!!"</v>
      </c>
      <c r="F51" s="45" t="str">
        <f>""""&amp;B51&amp;"""" &amp; " : " &amp;C51&amp;","</f>
        <v>"comments" : "Lástima de aquella jugada tan rara, porque el resto ha sido muy sólido. Felicidades. Ahora, a apretar en el Playoff!!!",</v>
      </c>
    </row>
    <row r="52" spans="2:6" x14ac:dyDescent="0.25">
      <c r="B52" s="43" t="s">
        <v>153</v>
      </c>
      <c r="C52" s="43" t="str">
        <f>TEXT('SCOUT &amp; LOGISTICS'!F1,"0,0")</f>
        <v>38_374_MAD_RED_E2025</v>
      </c>
      <c r="F52" s="45" t="str">
        <f>""""&amp;B52&amp;"""" &amp; " : " &amp;C52</f>
        <v>"result" : 38_374_MAD_RED_E2025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E374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16/04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JAIME LAQUIDAIN</v>
      </c>
      <c r="C8" s="206"/>
      <c r="D8" s="206"/>
      <c r="E8" s="206"/>
      <c r="F8" s="206"/>
      <c r="G8" s="206" t="str">
        <f>IF('SCOUT &amp; LOGISTICS'!D7="","",'SCOUT &amp; LOGISTICS'!D7)</f>
        <v>MIGUEL PEÑALBA</v>
      </c>
      <c r="H8" s="206"/>
      <c r="I8" s="206"/>
      <c r="J8" s="206"/>
      <c r="K8" s="206"/>
      <c r="L8" s="206" t="str">
        <f>IF('SCOUT &amp; LOGISTICS'!D8="","",'SCOUT &amp; LOGISTICS'!D8)</f>
        <v>ALEX CORNET</v>
      </c>
      <c r="M8" s="206"/>
      <c r="N8" s="206"/>
      <c r="O8" s="206"/>
      <c r="P8" s="206"/>
      <c r="Q8" s="206" t="str">
        <f>IF('SCOUT &amp; LOGISTICS'!D9="","",'SCOUT &amp; LOGISTICS'!D9)</f>
        <v>ANDRES DE LA COBA</v>
      </c>
      <c r="R8" s="206"/>
      <c r="S8" s="206"/>
      <c r="T8" s="206"/>
      <c r="U8" s="206"/>
      <c r="V8" s="206" t="str">
        <f>IF('SCOUT &amp; LOGISTICS'!D10="","",'SCOUT &amp; LOGISTICS'!D10)</f>
        <v>NOA GARCIA</v>
      </c>
      <c r="W8" s="206"/>
      <c r="X8" s="206"/>
      <c r="Y8" s="206"/>
      <c r="Z8" s="206"/>
      <c r="AA8" s="206" t="str">
        <f>IF('SCOUT &amp; LOGISTICS'!D11="","",'SCOUT &amp; LOGISTICS'!D11)</f>
        <v>ALBERTO GONZALEZ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598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1.1705685618729096E-2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Lástima de aquella jugada tan rara, porque el resto ha sido muy sólido. Felicidades. Ahora, a apretar en el Playoff!!!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7.6705685618729094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3D64FC-E705-4233-9FE3-9911430D56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2026-04-16T20:49:39Z</cp:lastPrinted>
  <dcterms:created xsi:type="dcterms:W3CDTF">2023-09-19T19:50:35Z</dcterms:created>
  <dcterms:modified xsi:type="dcterms:W3CDTF">2026-04-16T20:49:43Z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