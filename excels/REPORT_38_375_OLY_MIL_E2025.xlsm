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33" documentId="8_{E98D3E23-B65B-470C-8088-33E9444E75DC}" xr6:coauthVersionLast="47" xr6:coauthVersionMax="47" xr10:uidLastSave="{FA0942E5-4F2E-42B7-9992-30D96073AAFB}"/>
  <bookViews>
    <workbookView xWindow="-28920" yWindow="-207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<sst xmlns="http://schemas.openxmlformats.org/spreadsheetml/2006/main" count="3255" uniqueCount="760">
  <si>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</si>
  <si>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</si>
  <si>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</si>
  <si>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</si>
  <si>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</si>
  <si>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</si>
  <si>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</si>
  <si>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</si>
  <si>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</si>
  <si>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</si>
  <si>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</si>
  <si>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</si>
  <si>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</si>
  <si>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</si>
  <si>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</si>
  <si>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</si>
  <si>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</si>
  <si>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</si>
  <si>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</si>
  <si>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</si>
  <si>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</si>
  <si>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</si>
  <si>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</si>
  <si>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</si>
  <si>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</si>
  <si>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</si>
  <si>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</si>
  <si>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</si>
  <si>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</si>
  <si>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</si>
  <si>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</si>
  <si>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</si>
  <si>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</si>
  <si>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</si>
  <si>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</si>
  <si>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</si>
  <si>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</si>
  <si>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</si>
  <si>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</si>
  <si>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</si>
  <si>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</si>
  <si>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</si>
  <si>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</si>
  <si>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</si>
  <si>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</si>
  <si>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</si>
  <si>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</si>
  <si>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</si>
  <si>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</si>
  <si>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</si>
  <si>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</si>
  <si>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</si>
  <si>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</si>
  <si>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</si>
  <si>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</si>
  <si>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</si>
  <si>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</si>
  <si>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</si>
  <si>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</si>
  <si>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</si>
  <si>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</si>
  <si>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</si>
  <si>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</si>
  <si>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</si>
  <si>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</si>
  <si>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</si>
  <si>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</si>
  <si>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</si>
  <si>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</si>
  <si>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</si>
  <si>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</si>
  <si>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</si>
  <si>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</si>
  <si>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</si>
  <si>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</si>
  <si>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</si>
  <si>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</si>
  <si>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</si>
  <si>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</si>
  <si>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</si>
  <si>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</si>
  <si>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</si>
  <si>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</si>
  <si>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</si>
  <si>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</si>
  <si>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</si>
  <si>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</si>
  <si>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</si>
  <si>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</si>
  <si>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</si>
  <si>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</si>
  <si>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</si>
  <si>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</si>
  <si>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</si>
  <si>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</si>
  <si>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</si>
  <si>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</si>
  <si>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</si>
  <si>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</si>
  <si>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</si>
  <si>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</si>
  <si>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</si>
  <si>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</si>
  <si>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</si>
  <si>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</si>
  <si>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</si>
  <si>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</si>
  <si>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</si>
  <si>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</si>
  <si>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</si>
  <si>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</si>
  <si>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</si>
  <si>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</si>
  <si>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</si>
  <si>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</si>
  <si>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</si>
  <si>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</si>
  <si>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</si>
  <si>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</si>
  <si>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</si>
  <si>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</si>
  <si>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</si>
  <si>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</si>
  <si>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</si>
  <si>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</si>
  <si>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</si>
  <si>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</si>
  <si>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</si>
  <si>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</si>
  <si>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</si>
  <si>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</si>
  <si>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</si>
  <si>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</si>
  <si>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</si>
  <si>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</si>
  <si>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</si>
  <si>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</si>
  <si>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</si>
  <si>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</si>
  <si>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</si>
  <si>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</si>
  <si>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</si>
  <si>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</si>
  <si>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</si>
  <si>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</si>
  <si>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</si>
  <si>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</si>
  <si>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</si>
  <si>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</si>
  <si>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</si>
  <si>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</si>
  <si>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</si>
  <si>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</si>
  <si>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</si>
  <si>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</si>
  <si>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</si>
  <si>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</si>
  <si>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</si>
  <si>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</si>
  <si>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</si>
  <si>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</si>
  <si>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</si>
  <si>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</si>
  <si>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</si>
  <si>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</si>
  <si>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</si>
  <si>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</si>
  <si>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</si>
  <si>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</si>
  <si>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</si>
  <si>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</si>
  <si>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</si>
  <si>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</si>
  <si>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</si>
  <si>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</si>
  <si>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</si>
  <si>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</si>
  <si>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</si>
  <si>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</si>
  <si>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</si>
  <si>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</si>
  <si>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</si>
  <si>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</si>
  <si>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</si>
  <si>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</si>
  <si>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</si>
  <si>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</si>
  <si>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</si>
  <si>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</si>
  <si>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</si>
  <si>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</si>
  <si>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</si>
  <si>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</si>
  <si>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</si>
  <si>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</si>
  <si>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</si>
  <si>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</si>
  <si>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</si>
  <si>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</si>
  <si>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</si>
  <si>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</si>
  <si>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</si>
  <si>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</si>
  <si>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</si>
  <si>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</si>
  <si>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</si>
  <si>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</si>
  <si>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</si>
  <si>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</si>
  <si>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</si>
  <si>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</si>
  <si>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</si>
  <si>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</si>
  <si>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</si>
  <si>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</si>
  <si>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</si>
  <si>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</si>
  <si>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</si>
  <si>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</si>
  <si>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</si>
  <si>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</si>
  <si>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</si>
  <si>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</si>
  <si>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</si>
  <si>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</si>
  <si>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</si>
  <si>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</si>
  <si>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</si>
  <si>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</si>
  <si>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</si>
  <si>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</si>
  <si>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</si>
  <si>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</si>
  <si>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</si>
  <si>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</si>
  <si>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</si>
  <si>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</si>
  <si>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</si>
  <si>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</si>
  <si>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</si>
  <si>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</si>
  <si>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</si>
  <si>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</si>
  <si>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</si>
  <si>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</si>
  <si>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</si>
  <si>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</si>
  <si>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</si>
  <si>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</si>
  <si>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</si>
  <si>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</si>
  <si>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</si>
  <si>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</si>
  <si>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</si>
  <si>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</si>
  <si>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</si>
  <si>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</si>
  <si>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</si>
  <si>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</si>
  <si>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</si>
  <si>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</si>
  <si>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</si>
  <si>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</si>
  <si>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</si>
  <si>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</si>
  <si>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</si>
  <si>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</si>
  <si>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</si>
  <si>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</si>
  <si>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</si>
  <si>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</si>
  <si>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</si>
  <si>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</si>
  <si>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</si>
  <si>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</si>
  <si>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</si>
  <si>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</si>
  <si>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</si>
  <si>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</si>
  <si>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</si>
  <si>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</si>
  <si>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</si>
  <si>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</si>
  <si>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</si>
  <si>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</si>
  <si>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</si>
  <si>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</si>
  <si>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</si>
  <si>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</si>
  <si>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</si>
  <si>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</si>
  <si>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</si>
  <si>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</si>
  <si>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</si>
  <si>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</si>
  <si>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</si>
  <si>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</si>
  <si>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</si>
  <si>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</si>
  <si>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</si>
  <si>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</si>
  <si>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</si>
  <si>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</si>
  <si>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</si>
  <si>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</si>
  <si>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</si>
  <si>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</si>
  <si>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</si>
  <si>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</si>
  <si>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</si>
  <si>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</si>
  <si>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</si>
  <si>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</si>
  <si>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</si>
  <si>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</si>
  <si>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</si>
  <si>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</si>
  <si>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</si>
  <si>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</si>
  <si>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</si>
  <si>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</si>
  <si>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</si>
  <si>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</si>
  <si>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</si>
  <si>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</si>
  <si>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</si>
  <si>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</si>
  <si>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</si>
  <si>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</si>
  <si>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</si>
  <si>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</si>
  <si>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</si>
  <si>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</si>
  <si>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</si>
  <si>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</si>
  <si>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</si>
  <si>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</si>
  <si>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</si>
  <si>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</si>
  <si>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</si>
  <si>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</si>
  <si>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</si>
  <si>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</si>
  <si>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</si>
  <si>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</si>
  <si>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</si>
  <si>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</si>
  <si>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</si>
  <si>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</si>
  <si>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</si>
  <si>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</si>
  <si>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</si>
  <si>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</si>
  <si>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</si>
  <si>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</si>
  <si>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</si>
  <si>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</si>
  <si>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</si>
  <si>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</si>
  <si>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</si>
  <si>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</si>
  <si>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</si>
  <si>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</si>
  <si>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</si>
  <si>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</si>
  <si>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</si>
  <si>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</si>
  <si>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</si>
  <si>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</si>
  <si>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</si>
  <si>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</si>
  <si>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</si>
  <si>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</si>
  <si>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</si>
  <si>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</si>
  <si>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</si>
  <si>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</si>
  <si>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</si>
  <si>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</si>
  <si>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</si>
  <si>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</si>
  <si>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</si>
  <si>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</si>
  <si>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</si>
  <si>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</si>
  <si>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</si>
  <si>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</si>
  <si>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</si>
  <si>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</si>
  <si>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</si>
  <si>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</si>
  <si>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</si>
  <si>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</si>
  <si>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</si>
  <si>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</si>
  <si>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</si>
  <si>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</si>
  <si>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</si>
  <si>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</si>
  <si>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</si>
  <si>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</si>
  <si>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</si>
  <si>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</si>
  <si>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</si>
  <si>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</si>
  <si>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</si>
  <si>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</si>
  <si>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</si>
  <si>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</si>
  <si>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</si>
  <si>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</si>
  <si>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</si>
  <si>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</si>
  <si>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</si>
  <si>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</si>
  <si>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</si>
  <si>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</si>
  <si>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</si>
  <si>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</si>
  <si>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</si>
  <si>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</si>
  <si>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</si>
  <si>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</si>
  <si>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</si>
  <si>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</si>
  <si>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</si>
  <si>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</si>
  <si>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</si>
  <si>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</si>
  <si>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</si>
  <si>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</si>
  <si>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</si>
  <si>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</si>
  <si>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</si>
  <si>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</si>
  <si>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</si>
  <si>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</si>
  <si>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</si>
  <si>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</si>
  <si>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</si>
  <si>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</si>
  <si>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</si>
  <si>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</si>
  <si>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</si>
  <si>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</si>
  <si>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</si>
  <si>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</si>
  <si>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</si>
  <si>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</si>
  <si>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</si>
  <si>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</si>
  <si>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</si>
  <si>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</si>
  <si>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</si>
  <si>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</si>
  <si>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</si>
  <si>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</si>
  <si>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</si>
  <si>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</si>
  <si>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</si>
  <si>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</si>
  <si>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</si>
  <si>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</si>
  <si>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</si>
  <si>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</si>
  <si>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</si>
  <si>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</si>
  <si>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</si>
  <si>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</si>
  <si>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</si>
  <si>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</si>
  <si>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</si>
  <si>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</si>
  <si>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</si>
  <si>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</si>
  <si>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</si>
  <si>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</si>
  <si>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</si>
  <si>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</si>
  <si>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</si>
  <si>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</si>
  <si>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</si>
  <si>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</si>
  <si>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</si>
  <si>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</si>
  <si>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</si>
  <si>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</si>
  <si>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</si>
  <si>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</si>
  <si>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</si>
  <si>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</si>
  <si>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</si>
  <si>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</si>
  <si>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</si>
  <si>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</si>
  <si>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</si>
  <si>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</si>
  <si>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</si>
  <si>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</si>
  <si>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</si>
  <si>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</si>
  <si>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</si>
  <si>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</si>
  <si>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</si>
  <si>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</si>
  <si>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</si>
  <si>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</si>
  <si>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</si>
  <si>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</si>
  <si>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</si>
  <si>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</si>
  <si>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</si>
  <si>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</si>
  <si>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</si>
  <si>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</si>
  <si>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</si>
  <si>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</si>
  <si>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</si>
  <si>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</si>
  <si>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</si>
  <si>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</si>
  <si>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</si>
  <si>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</si>
  <si>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</si>
  <si>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</si>
  <si>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</si>
  <si>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</si>
  <si>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</si>
  <si>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</si>
  <si>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</si>
  <si>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</si>
  <si>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</si>
  <si>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</si>
  <si>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</si>
  <si>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</si>
  <si>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</si>
  <si>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</si>
  <si>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</si>
  <si>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</si>
  <si>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</si>
  <si>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</si>
  <si>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</si>
  <si>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</si>
  <si>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</si>
  <si>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</si>
  <si>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</si>
  <si>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</si>
  <si>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</si>
  <si>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</si>
  <si>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</si>
  <si>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</si>
  <si>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</si>
  <si>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</si>
  <si>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</si>
  <si>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</si>
  <si>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</si>
  <si>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</si>
  <si>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</si>
  <si>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</si>
  <si>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</si>
  <si>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</si>
  <si>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</si>
  <si>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</si>
  <si>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</si>
  <si>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</si>
  <si>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</si>
  <si>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</si>
  <si>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</si>
  <si>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</si>
  <si>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</si>
  <si>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</si>
  <si>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</si>
  <si>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</si>
  <si>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</si>
  <si>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</si>
  <si>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</si>
  <si>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</si>
  <si>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</si>
  <si>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</si>
  <si>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</si>
  <si>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</si>
  <si>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</si>
  <si>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</si>
  <si>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</si>
  <si>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</si>
  <si>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</si>
  <si>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</si>
  <si>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</si>
  <si>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</si>
  <si>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</si>
  <si>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</si>
  <si>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</si>
  <si>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</si>
  <si>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</si>
  <si>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</si>
  <si>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</si>
  <si>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</si>
  <si>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</si>
  <si>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</si>
  <si>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</si>
  <si>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</si>
  <si>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</si>
  <si>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</si>
  <si>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</si>
  <si>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</si>
  <si>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</si>
  <si>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</si>
  <si>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</si>
  <si>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</si>
  <si>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</si>
  <si>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</si>
  <si>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</si>
  <si>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</si>
  <si>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</si>
  <si>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</si>
  <si>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</si>
  <si>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</si>
  <si>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</si>
  <si>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</si>
  <si>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</si>
  <si>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</si>
  <si>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</si>
  <si>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</si>
  <si>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</si>
  <si>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</si>
  <si>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</si>
  <si>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</si>
  <si>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</si>
  <si>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</si>
  <si>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</si>
  <si>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</si>
  <si>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</si>
  <si>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</si>
  <si>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</si>
  <si>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</si>
  <si>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</si>
  <si>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</si>
  <si>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</si>
  <si>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</si>
  <si>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</si>
  <si>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</si>
  <si>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</si>
  <si>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</si>
  <si>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</si>
  <si>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</si>
  <si>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</si>
  <si>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</si>
  <si>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</si>
  <si>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</si>
  <si>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</si>
  <si>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</si>
  <si>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</si>
  <si>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</si>
  <si>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</si>
  <si>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</si>
  <si>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</si>
  <si>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</si>
  <si>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</si>
  <si>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</si>
  <si>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</si>
  <si>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</si>
  <si>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</si>
  <si>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</si>
  <si>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</si>
  <si>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</si>
  <si>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</si>
  <si>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</si>
  <si>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</si>
  <si>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</si>
  <si>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</si>
  <si>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</si>
  <si>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</si>
  <si>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</si>
  <si>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</si>
  <si>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</si>
  <si>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</si>
  <si>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</si>
  <si>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</si>
  <si>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</si>
  <si>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</si>
  <si>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</si>
  <si>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</si>
  <si>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</si>
  <si>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</si>
  <si>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</si>
  <si>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</si>
  <si>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</si>
  <si>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</si>
  <si>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</si>
  <si>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</si>
  <si>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</si>
  <si>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</si>
  <si>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</si>
  <si>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</si>
  <si>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</si>
  <si>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</si>
  <si>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</si>
  <si>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</si>
  <si>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</si>
  <si>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</si>
  <si>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</si>
  <si>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</si>
  <si>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</si>
  <si>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</si>
  <si>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</si>
  <si>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</si>
  <si>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</si>
  <si>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</si>
  <si>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</si>
  <si>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</si>
  <si>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</si>
  <si>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</si>
  <si>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</si>
  <si>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</si>
  <si>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</si>
  <si>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</si>
  <si>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</si>
  <si>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</si>
  <si>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</si>
  <si>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</si>
  <si>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</si>
  <si>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</si>
  <si>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</si>
  <si>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</si>
  <si>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</si>
  <si>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</si>
  <si>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</si>
  <si>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</si>
  <si>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</si>
  <si>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</si>
  <si>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</si>
  <si>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</si>
  <si>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</si>
  <si>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</si>
  <si>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</si>
  <si>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</si>
  <si>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</si>
  <si>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</si>
  <si>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</si>
  <si>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</si>
  <si>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</si>
  <si>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</si>
  <si>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</si>
  <si>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</si>
  <si>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</si>
  <si>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</si>
  <si>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</si>
  <si>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</si>
  <si>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</si>
  <si>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</si>
  <si>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</si>
  <si>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ANASTASIOS KARIOFYLIS</t>
  </si>
  <si>
    <t>ATHINA KAROUMPALOU</t>
  </si>
  <si>
    <t>SPYRIDOULA KOURTI</t>
  </si>
  <si>
    <t>EVGENIA MALLOUCHOU</t>
  </si>
  <si>
    <t>ORIOL GARCIA</t>
  </si>
  <si>
    <t>04:11</t>
  </si>
  <si>
    <t>02:50</t>
  </si>
  <si>
    <t xml:space="preserve">Good general scouting and criteria. On communication remember to warn us when you decide to modify something by yourselfs. </t>
  </si>
  <si>
    <t>C:\Users\oriol.garcia\OneDrive - EUROLEAGUE\Documents\Season 25-26\Reports\Euroleague\Olympiacos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</si>
</sst>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7" sqref="N3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38_375_OLY_MIL_E2025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46128.885416666664</v>
      </c>
      <c r="C3" s="157"/>
      <c r="D3" s="39">
        <v>522</v>
      </c>
      <c r="E3" s="29"/>
      <c r="F3" s="26">
        <f>SUBTOTAL(3,I17:I106)</f>
        <v>2</v>
      </c>
      <c r="G3" s="27">
        <f>IF(OR(D3="",D3=0),"",F3/D3)</f>
        <v>3.8314176245210726E-3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3.8314176245210726E-3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0.38314176245210724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1.8831417624521072</v>
      </c>
      <c r="N7" s="58"/>
      <c r="O7" s="2"/>
      <c r="P7" s="2"/>
      <c r="Q7" s="86">
        <f>SUM(R5,S5,AC16)</f>
        <v>1.8831417624521072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1.8831417624521072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734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375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375</v>
      </c>
      <c r="D17" s="32" t="s">
        <v>756</v>
      </c>
      <c r="E17" s="33">
        <v>1</v>
      </c>
      <c r="F17" s="36">
        <v>19</v>
      </c>
      <c r="G17" s="36">
        <v>12</v>
      </c>
      <c r="H17" s="38" t="str">
        <f>IF(I17="","",$I$14)</f>
        <v>SCOUTING</v>
      </c>
      <c r="I17" s="34">
        <v>58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375</v>
      </c>
      <c r="D18" s="32" t="s">
        <v>757</v>
      </c>
      <c r="E18" s="33">
        <v>4</v>
      </c>
      <c r="F18" s="36">
        <v>79</v>
      </c>
      <c r="G18" s="36">
        <v>71</v>
      </c>
      <c r="H18" s="38" t="str">
        <f t="shared" ref="H18:H81" si="8">IF(I18="","",$I$14)</f>
        <v>SCOUTING</v>
      </c>
      <c r="I18" s="34">
        <v>479</v>
      </c>
      <c r="J18" s="13" t="s">
        <v>4</v>
      </c>
      <c r="K18" s="13" t="s">
        <v>63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REPORT_E2025375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"E2025375"</v>
      </c>
      <c r="F3" s="45" t="str">
        <f t="shared" ref="F3:F16" si="0">""""&amp;B3&amp;"""" &amp; " : " &amp;C3&amp;","</f>
        <v>"name" : "E2025375",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"E375"</v>
      </c>
      <c r="F4" s="45" t="str">
        <f t="shared" si="0"/>
        <v>"cod" : "E375",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375</v>
      </c>
      <c r="F6" s="45" t="str">
        <f t="shared" si="0"/>
        <v>"number" : 375,</v>
      </c>
    </row>
    <row r="7" spans="2:6" x14ac:dyDescent="0.25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"ANASTASIOS KARIOFYLIS"</v>
      </c>
      <c r="F11" s="45" t="str">
        <f t="shared" si="0"/>
        <v>"Caller_1" : "ANASTASIOS KARIOFYLIS",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"SPYRIDOULA KOURTI"</v>
      </c>
      <c r="F13" s="45" t="str">
        <f t="shared" si="0"/>
        <v>"Timerkeeper" : "SPYRIDOULA KOURTI",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"EVGENIA MALLOUCHOU"</v>
      </c>
      <c r="F14" s="45" t="str">
        <f t="shared" si="0"/>
        <v>"Shotclock" : "EVGENIA MALLOUCHOU",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"KONSTANTINOS TROUPIS"</v>
      </c>
      <c r="F15" s="45" t="str">
        <f t="shared" si="0"/>
        <v>"IRS" : "KONSTANTINOS TROUPIS",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522</v>
      </c>
      <c r="F25" s="45" t="str">
        <f t="shared" ref="F25:F48" si="1">""""&amp;C25&amp;"""" &amp; " : " &amp;D25&amp;","</f>
        <v>"total_actions" : 522,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general scouting and criteria. On communication remember to warn us when you decide to modify something by yourselfs. "</v>
      </c>
      <c r="F51" s="45" t="str">
        <f>""""&amp;B51&amp;"""" &amp; " : " &amp;C51&amp;","</f>
        <v>"comments" : "Good general scouting and criteria. On communication remember to warn us when you decide to modify something by yourselfs. ",</v>
      </c>
    </row>
    <row r="52" spans="2:6" x14ac:dyDescent="0.25">
      <c r="B52" s="43" t="s">
        <v>153</v>
      </c>
      <c r="C52" s="43" t="str">
        <f>TEXT('SCOUT &amp; LOGISTICS'!F1,"0,0")</f>
        <v>38_375_OLY_MIL_E2025</v>
      </c>
      <c r="F52" s="45" t="str">
        <f>""""&amp;B52&amp;"""" &amp; " : " &amp;C52</f>
        <v>"result" : 38_375_OLY_MIL_E2025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E375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ANASTASIOS KARIOFYLIS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SPYRIDOULA KOURTI</v>
      </c>
      <c r="R8" s="206"/>
      <c r="S8" s="206"/>
      <c r="T8" s="206"/>
      <c r="U8" s="206"/>
      <c r="V8" s="206" t="str">
        <f>IF('SCOUT &amp; LOGISTICS'!D10="","",'SCOUT &amp; LOGISTICS'!D10)</f>
        <v>EVGENIA MALLOUCHOU</v>
      </c>
      <c r="W8" s="206"/>
      <c r="X8" s="206"/>
      <c r="Y8" s="206"/>
      <c r="Z8" s="206"/>
      <c r="AA8" s="206" t="str">
        <f>IF('SCOUT &amp; LOGISTICS'!D11="","",'SCOUT &amp; LOGISTICS'!D11)</f>
        <v>KONSTANTINOS TROUPIS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3.8314176245210726E-3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Good general scouting and criteria. On communication remember to warn us when you decide to modify something by yourselfs.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1.8831417624521072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0305C9-9F69-4DD2-BB23-FE4339973D2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2026-04-17T19:45:09Z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