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543DF5A3-FB5A-408C-A999-2A761013A46A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<sst xmlns="http://schemas.openxmlformats.org/spreadsheetml/2006/main" count="3235" uniqueCount="752">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</sst>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38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38_376_PAN_IST_E2025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376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46129.885416666664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Panathinaikos AKTOR Athens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PAN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Anadolu Efes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IST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EMMANOUIL SMPOKOS</v>
      </c>
      <c r="I9" s="130" t="str">
        <f>VLOOKUP($H$4,Teams!$B$3:$O$44,3,FALSE)</f>
        <v>EMMANOUIL SMPOKOS</v>
      </c>
      <c r="J9" s="130" t="str">
        <f>VLOOKUP($H$4,Teams!$B$3:$O$44,5,FALSE)</f>
        <v>PANAGIOTIS MORAITIS</v>
      </c>
      <c r="K9" s="130" t="str">
        <f>VLOOKUP($H$4,Teams!$B$3:$O$44,6,FALSE)</f>
        <v>MARIA MERIKA</v>
      </c>
      <c r="L9" s="130" t="str">
        <f>VLOOKUP($H$4,Teams!$B$3:$O$44,7,FALSE)</f>
        <v>PANAGIOTA TSICHLI</v>
      </c>
      <c r="M9" s="131" t="str">
        <f>VLOOKUP($H$4,Teams!$B$3:$O$44,8,FALSE)</f>
        <v>KONSTANTINOS TROUPIS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REPORT_E2025376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"E2025376"</v>
      </c>
      <c r="F3" s="45" t="str">
        <f t="shared" ref="F3:F16" si="0">""""&amp;B3&amp;"""" &amp; " : " &amp;C3&amp;","</f>
        <v>"name" : "E2025376",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"E376"</v>
      </c>
      <c r="F4" s="45" t="str">
        <f t="shared" si="0"/>
        <v>"cod" : "E376",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376</v>
      </c>
      <c r="F6" s="45" t="str">
        <f t="shared" si="0"/>
        <v>"number" : 376,</v>
      </c>
    </row>
    <row r="7" spans="2:6" x14ac:dyDescent="0.2">
      <c r="B7" s="43" t="s">
        <v>116</v>
      </c>
      <c r="C7" s="43" t="str">
        <f ca="1">""""&amp;TEXT('SCOUT &amp; LOGISTICS'!B3,"dd/mm/aaaa")&amp;""""</f>
        <v>"17/04/Friday"</v>
      </c>
      <c r="F7" s="45" t="str">
        <f t="shared" ca="1" si="0"/>
        <v>"date" : "17/04/Friday",</v>
      </c>
    </row>
    <row r="8" spans="2:6" x14ac:dyDescent="0.2">
      <c r="B8" s="43" t="s">
        <v>125</v>
      </c>
      <c r="C8" s="43" t="str">
        <f>""""&amp;'SCOUT &amp; LOGISTICS'!D4 &amp;""""</f>
        <v>"Panathinaikos AKTOR Athens"</v>
      </c>
      <c r="F8" s="45" t="str">
        <f t="shared" si="0"/>
        <v>"home_team" : "Panathinaikos AKTOR Athens",</v>
      </c>
    </row>
    <row r="9" spans="2:6" x14ac:dyDescent="0.2">
      <c r="B9" s="43" t="s">
        <v>126</v>
      </c>
      <c r="C9" s="43" t="str">
        <f>""""&amp;'SCOUT &amp; LOGISTICS'!D5&amp;""""</f>
        <v>"Anadolu Efes Istanbul"</v>
      </c>
      <c r="F9" s="45" t="str">
        <f t="shared" si="0"/>
        <v>"away_team" : "Anadolu Efes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38_376_PAN_IST_E2025</v>
      </c>
      <c r="F52" s="45" t="str">
        <f>""""&amp;B52&amp;"""" &amp; " : " &amp;C52</f>
        <v>"result" : 38_376_PAN_IST_E2025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E376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17/04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Panathinaikos Aktor Athens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Anadolu Efes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70438B3-636B-4C0A-8CAD-6E47B414B927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