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E67AC0DF-5644-4FA3-8134-89D73BAE6874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<sst xmlns="http://schemas.openxmlformats.org/spreadsheetml/2006/main" count="3235" uniqueCount="752">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</sst>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38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38_377_MCO_HTA_E2025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377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46129.8125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AS Monaco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MCO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Hapoel IBI Tel Aviv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HTA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REPORT_E2025377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"E2025377"</v>
      </c>
      <c r="F3" s="45" t="str">
        <f t="shared" ref="F3:F16" si="0">""""&amp;B3&amp;"""" &amp; " : " &amp;C3&amp;","</f>
        <v>"name" : "E2025377",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"E377"</v>
      </c>
      <c r="F4" s="45" t="str">
        <f t="shared" si="0"/>
        <v>"cod" : "E377",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377</v>
      </c>
      <c r="F6" s="45" t="str">
        <f t="shared" si="0"/>
        <v>"number" : 377,</v>
      </c>
    </row>
    <row r="7" spans="2:6" x14ac:dyDescent="0.2">
      <c r="B7" s="43" t="s">
        <v>116</v>
      </c>
      <c r="C7" s="43" t="str">
        <f ca="1">""""&amp;TEXT('SCOUT &amp; LOGISTICS'!B3,"dd/mm/aaaa")&amp;""""</f>
        <v>"17/04/Friday"</v>
      </c>
      <c r="F7" s="45" t="str">
        <f t="shared" ca="1" si="0"/>
        <v>"date" : "17/04/Friday",</v>
      </c>
    </row>
    <row r="8" spans="2:6" x14ac:dyDescent="0.2">
      <c r="B8" s="43" t="s">
        <v>125</v>
      </c>
      <c r="C8" s="43" t="str">
        <f>""""&amp;'SCOUT &amp; LOGISTICS'!D4 &amp;""""</f>
        <v>"AS Monaco"</v>
      </c>
      <c r="F8" s="45" t="str">
        <f t="shared" si="0"/>
        <v>"home_team" : "AS Monaco",</v>
      </c>
    </row>
    <row r="9" spans="2:6" x14ac:dyDescent="0.2">
      <c r="B9" s="43" t="s">
        <v>126</v>
      </c>
      <c r="C9" s="43" t="str">
        <f>""""&amp;'SCOUT &amp; LOGISTICS'!D5&amp;""""</f>
        <v>"Hapoel IBI Tel Aviv"</v>
      </c>
      <c r="F9" s="45" t="str">
        <f t="shared" si="0"/>
        <v>"away_team" : "Hapoel IBI Tel Aviv",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38_377_MCO_HTA_E2025</v>
      </c>
      <c r="F52" s="45" t="str">
        <f>""""&amp;B52&amp;"""" &amp; " : " &amp;C52</f>
        <v>"result" : 38_377_MCO_HTA_E2025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E377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17/04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As Monaco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Hapoel Ibi Tel Aviv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BC6C57-6A9B-4F7F-A644-A6867980437C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