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E594CC74-CE3A-4BEF-9A14-3D0A53FAAAB9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<sst xmlns="http://schemas.openxmlformats.org/spreadsheetml/2006/main" count="3270" uniqueCount="763">
  <si>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</si>
  <si>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</si>
  <si>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</si>
  <si>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</si>
  <si>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</si>
  <si>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</si>
  <si>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</si>
  <si>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</si>
  <si>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</si>
  <si>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</si>
  <si>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</si>
  <si>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</si>
  <si>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</si>
  <si>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</si>
  <si>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</si>
  <si>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</si>
  <si>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</si>
  <si>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</si>
  <si>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</si>
  <si>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</si>
  <si>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</si>
  <si>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</si>
  <si>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</si>
  <si>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</si>
  <si>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</si>
  <si>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</si>
  <si>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</si>
  <si>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</si>
  <si>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</si>
  <si>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</si>
  <si>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</si>
  <si>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</si>
  <si>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</si>
  <si>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</si>
  <si>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</si>
  <si>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</si>
  <si>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</si>
  <si>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</si>
  <si>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</si>
  <si>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</si>
  <si>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</si>
  <si>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</si>
  <si>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</si>
  <si>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</si>
  <si>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</si>
  <si>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</si>
  <si>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</si>
  <si>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</si>
  <si>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</si>
  <si>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</si>
  <si>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</si>
  <si>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</si>
  <si>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</si>
  <si>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</si>
  <si>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</si>
  <si>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</si>
  <si>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</si>
  <si>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</si>
  <si>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</si>
  <si>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</si>
  <si>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</si>
  <si>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</si>
  <si>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</si>
  <si>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</si>
  <si>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</si>
  <si>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</si>
  <si>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</si>
  <si>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</si>
  <si>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</si>
  <si>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</si>
  <si>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</si>
  <si>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</si>
  <si>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</si>
  <si>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</si>
  <si>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</si>
  <si>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</si>
  <si>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</si>
  <si>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</si>
  <si>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</si>
  <si>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</si>
  <si>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</si>
  <si>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</si>
  <si>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</si>
  <si>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</si>
  <si>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</si>
  <si>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</si>
  <si>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</si>
  <si>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</si>
  <si>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</si>
  <si>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</si>
  <si>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</si>
  <si>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</si>
  <si>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</si>
  <si>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</si>
  <si>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</si>
  <si>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</si>
  <si>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</si>
  <si>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</si>
  <si>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</si>
  <si>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</si>
  <si>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</si>
  <si>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</si>
  <si>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</si>
  <si>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</si>
  <si>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</si>
  <si>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</si>
  <si>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</si>
  <si>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</si>
  <si>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</si>
  <si>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</si>
  <si>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</si>
  <si>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</si>
  <si>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</si>
  <si>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</si>
  <si>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</si>
  <si>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</si>
  <si>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</si>
  <si>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</si>
  <si>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</si>
  <si>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</si>
  <si>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</si>
  <si>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</si>
  <si>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</si>
  <si>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</si>
  <si>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</si>
  <si>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</si>
  <si>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</si>
  <si>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</si>
  <si>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</si>
  <si>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</si>
  <si>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</si>
  <si>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</si>
  <si>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</si>
  <si>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</si>
  <si>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</si>
  <si>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</si>
  <si>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</si>
  <si>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</si>
  <si>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</si>
  <si>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</si>
  <si>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</si>
  <si>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</si>
  <si>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</si>
  <si>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</si>
  <si>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</si>
  <si>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</si>
  <si>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</si>
  <si>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</si>
  <si>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</si>
  <si>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</si>
  <si>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</si>
  <si>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</si>
  <si>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</si>
  <si>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</si>
  <si>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</si>
  <si>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</si>
  <si>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</si>
  <si>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</si>
  <si>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</si>
  <si>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</si>
  <si>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</si>
  <si>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</si>
  <si>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</si>
  <si>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</si>
  <si>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</si>
  <si>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</si>
  <si>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</si>
  <si>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</si>
  <si>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</si>
  <si>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</si>
  <si>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</si>
  <si>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</si>
  <si>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</si>
  <si>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</si>
  <si>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</si>
  <si>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</si>
  <si>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</si>
  <si>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</si>
  <si>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</si>
  <si>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</si>
  <si>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</si>
  <si>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</si>
  <si>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</si>
  <si>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</si>
  <si>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</si>
  <si>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</si>
  <si>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</si>
  <si>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</si>
  <si>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</si>
  <si>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</si>
  <si>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</si>
  <si>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</si>
  <si>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</si>
  <si>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</si>
  <si>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</si>
  <si>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</si>
  <si>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</si>
  <si>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</si>
  <si>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</si>
  <si>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</si>
  <si>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</si>
  <si>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</si>
  <si>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</si>
  <si>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</si>
  <si>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</si>
  <si>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</si>
  <si>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</si>
  <si>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</si>
  <si>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</si>
  <si>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</si>
  <si>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</si>
  <si>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</si>
  <si>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</si>
  <si>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</si>
  <si>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</si>
  <si>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</si>
  <si>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</si>
  <si>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</si>
  <si>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</si>
  <si>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</si>
  <si>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</si>
  <si>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</si>
  <si>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</si>
  <si>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</si>
  <si>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</si>
  <si>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</si>
  <si>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</si>
  <si>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</si>
  <si>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</si>
  <si>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</si>
  <si>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</si>
  <si>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</si>
  <si>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</si>
  <si>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</si>
  <si>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</si>
  <si>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</si>
  <si>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</si>
  <si>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</si>
  <si>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</si>
  <si>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</si>
  <si>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</si>
  <si>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</si>
  <si>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</si>
  <si>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</si>
  <si>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</si>
  <si>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</si>
  <si>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</si>
  <si>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</si>
  <si>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</si>
  <si>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</si>
  <si>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</si>
  <si>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</si>
  <si>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</si>
  <si>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</si>
  <si>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</si>
  <si>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</si>
  <si>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</si>
  <si>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</si>
  <si>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</si>
  <si>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</si>
  <si>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</si>
  <si>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</si>
  <si>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</si>
  <si>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</si>
  <si>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</si>
  <si>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</si>
  <si>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</si>
  <si>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</si>
  <si>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</si>
  <si>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</si>
  <si>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</si>
  <si>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</si>
  <si>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</si>
  <si>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</si>
  <si>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</si>
  <si>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</si>
  <si>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</si>
  <si>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</si>
  <si>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</si>
  <si>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</si>
  <si>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</si>
  <si>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</si>
  <si>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</si>
  <si>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</si>
  <si>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</si>
  <si>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</si>
  <si>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</si>
  <si>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</si>
  <si>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</si>
  <si>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</si>
  <si>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</si>
  <si>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</si>
  <si>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</si>
  <si>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</si>
  <si>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</si>
  <si>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</si>
  <si>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</si>
  <si>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</si>
  <si>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</si>
  <si>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</si>
  <si>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</si>
  <si>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</si>
  <si>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</si>
  <si>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</si>
  <si>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</si>
  <si>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</si>
  <si>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</si>
  <si>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</si>
  <si>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</si>
  <si>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</si>
  <si>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</si>
  <si>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</si>
  <si>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</si>
  <si>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</si>
  <si>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</si>
  <si>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</si>
  <si>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</si>
  <si>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</si>
  <si>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</si>
  <si>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</si>
  <si>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</si>
  <si>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</si>
  <si>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</si>
  <si>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</si>
  <si>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</si>
  <si>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</si>
  <si>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</si>
  <si>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</si>
  <si>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</si>
  <si>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</si>
  <si>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</si>
  <si>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</si>
  <si>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</si>
  <si>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</si>
  <si>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</si>
  <si>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</si>
  <si>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</si>
  <si>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</si>
  <si>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</si>
  <si>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</si>
  <si>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</si>
  <si>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</si>
  <si>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</si>
  <si>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</si>
  <si>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</si>
  <si>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</si>
  <si>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</si>
  <si>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</si>
  <si>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</si>
  <si>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</si>
  <si>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</si>
  <si>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</si>
  <si>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</si>
  <si>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</si>
  <si>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</si>
  <si>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</si>
  <si>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</si>
  <si>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</si>
  <si>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</si>
  <si>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</si>
  <si>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</si>
  <si>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</si>
  <si>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</si>
  <si>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</si>
  <si>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</si>
  <si>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</si>
  <si>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</si>
  <si>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</si>
  <si>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</si>
  <si>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</si>
  <si>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</si>
  <si>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</si>
  <si>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</si>
  <si>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</si>
  <si>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</si>
  <si>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</si>
  <si>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</si>
  <si>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</si>
  <si>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</si>
  <si>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</si>
  <si>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</si>
  <si>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</si>
  <si>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</si>
  <si>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</si>
  <si>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</si>
  <si>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</si>
  <si>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</si>
  <si>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</si>
  <si>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</si>
  <si>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</si>
  <si>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</si>
  <si>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</si>
  <si>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</si>
  <si>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</si>
  <si>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</si>
  <si>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</si>
  <si>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</si>
  <si>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</si>
  <si>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</si>
  <si>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</si>
  <si>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</si>
  <si>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</si>
  <si>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</si>
  <si>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</si>
  <si>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</si>
  <si>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</si>
  <si>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</si>
  <si>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</si>
  <si>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</si>
  <si>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</si>
  <si>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</si>
  <si>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</si>
  <si>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</si>
  <si>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</si>
  <si>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</si>
  <si>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</si>
  <si>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</si>
  <si>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</si>
  <si>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</si>
  <si>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</si>
  <si>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</si>
  <si>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</si>
  <si>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</si>
  <si>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</si>
  <si>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</si>
  <si>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</si>
  <si>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</si>
  <si>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</si>
  <si>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</si>
  <si>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</si>
  <si>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</si>
  <si>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</si>
  <si>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</si>
  <si>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</si>
  <si>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</si>
  <si>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</si>
  <si>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</si>
  <si>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</si>
  <si>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</si>
  <si>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</si>
  <si>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</si>
  <si>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</si>
  <si>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</si>
  <si>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</si>
  <si>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</si>
  <si>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</si>
  <si>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</si>
  <si>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</si>
  <si>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</si>
  <si>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</si>
  <si>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</si>
  <si>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</si>
  <si>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</si>
  <si>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</si>
  <si>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</si>
  <si>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</si>
  <si>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</si>
  <si>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</si>
  <si>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</si>
  <si>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</si>
  <si>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</si>
  <si>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</si>
  <si>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</si>
  <si>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</si>
  <si>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</si>
  <si>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</si>
  <si>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</si>
  <si>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</si>
  <si>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</si>
  <si>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</si>
  <si>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</si>
  <si>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</si>
  <si>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</si>
  <si>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</si>
  <si>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</si>
  <si>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</si>
  <si>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</si>
  <si>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</si>
  <si>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</si>
  <si>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</si>
  <si>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</si>
  <si>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</si>
  <si>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</si>
  <si>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</si>
  <si>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</si>
  <si>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</si>
  <si>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</si>
  <si>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</si>
  <si>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</si>
  <si>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</si>
  <si>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</si>
  <si>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</si>
  <si>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</si>
  <si>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</si>
  <si>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</si>
  <si>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</si>
  <si>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</si>
  <si>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</si>
  <si>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</si>
  <si>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</si>
  <si>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</si>
  <si>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</si>
  <si>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</si>
  <si>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</si>
  <si>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</si>
  <si>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</si>
  <si>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</si>
  <si>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</si>
  <si>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</si>
  <si>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</si>
  <si>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</si>
  <si>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</si>
  <si>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</si>
  <si>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</si>
  <si>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</si>
  <si>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</si>
  <si>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</si>
  <si>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</si>
  <si>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</si>
  <si>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</si>
  <si>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</si>
  <si>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</si>
  <si>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</si>
  <si>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</si>
  <si>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</si>
  <si>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</si>
  <si>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</si>
  <si>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</si>
  <si>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</si>
  <si>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</si>
  <si>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</si>
  <si>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</si>
  <si>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</si>
  <si>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</si>
  <si>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</si>
  <si>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</si>
  <si>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</si>
  <si>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</si>
  <si>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</si>
  <si>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</si>
  <si>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</si>
  <si>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</si>
  <si>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</si>
  <si>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</si>
  <si>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</si>
  <si>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</si>
  <si>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</si>
  <si>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</si>
  <si>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</si>
  <si>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</si>
  <si>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</si>
  <si>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</si>
  <si>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</si>
  <si>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</si>
  <si>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</si>
  <si>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</si>
  <si>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</si>
  <si>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</si>
  <si>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</si>
  <si>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</si>
  <si>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</si>
  <si>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</si>
  <si>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</si>
  <si>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</si>
  <si>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</si>
  <si>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</si>
  <si>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</si>
  <si>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</si>
  <si>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</si>
  <si>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</si>
  <si>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</si>
  <si>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</si>
  <si>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</si>
  <si>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</si>
  <si>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</si>
  <si>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</si>
  <si>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</si>
  <si>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</si>
  <si>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</si>
  <si>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</si>
  <si>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</si>
  <si>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</si>
  <si>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</si>
  <si>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</si>
  <si>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</si>
  <si>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</si>
  <si>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</si>
  <si>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</si>
  <si>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</si>
  <si>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</si>
  <si>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</si>
  <si>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</si>
  <si>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</si>
  <si>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</si>
  <si>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</si>
  <si>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</si>
  <si>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</si>
  <si>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</si>
  <si>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</si>
  <si>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</si>
  <si>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</si>
  <si>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</si>
  <si>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</si>
  <si>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</si>
  <si>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</si>
  <si>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</si>
  <si>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</si>
  <si>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</si>
  <si>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</si>
  <si>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</si>
  <si>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</si>
  <si>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</si>
  <si>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</si>
  <si>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</si>
  <si>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</si>
  <si>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</si>
  <si>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</si>
  <si>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</si>
  <si>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</si>
  <si>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</si>
  <si>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</si>
  <si>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</si>
  <si>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</si>
  <si>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</si>
  <si>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</si>
  <si>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</si>
  <si>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</si>
  <si>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</si>
  <si>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</si>
  <si>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</si>
  <si>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</si>
  <si>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</si>
  <si>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</si>
  <si>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</si>
  <si>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</si>
  <si>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</si>
  <si>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</si>
  <si>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</si>
  <si>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</si>
  <si>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</si>
  <si>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</si>
  <si>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</si>
  <si>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</si>
  <si>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</si>
  <si>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</si>
  <si>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</si>
  <si>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</si>
  <si>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</si>
  <si>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</si>
  <si>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</si>
  <si>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</si>
  <si>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</si>
  <si>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</si>
  <si>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</si>
  <si>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</si>
  <si>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</si>
  <si>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</si>
  <si>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</si>
  <si>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</si>
  <si>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</si>
  <si>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</si>
  <si>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</si>
  <si>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</si>
  <si>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</si>
  <si>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</si>
  <si>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</si>
  <si>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</si>
  <si>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</si>
  <si>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</si>
  <si>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</si>
  <si>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</si>
  <si>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</si>
  <si>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</si>
  <si>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</si>
  <si>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</si>
  <si>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</si>
  <si>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</si>
  <si>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</si>
  <si>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</si>
  <si>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</si>
  <si>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</si>
  <si>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</si>
  <si>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</si>
  <si>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</si>
  <si>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</si>
  <si>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</si>
  <si>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</si>
  <si>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</si>
  <si>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</si>
  <si>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</si>
  <si>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</si>
  <si>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</si>
  <si>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</si>
  <si>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</si>
  <si>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</si>
  <si>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</si>
  <si>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</si>
  <si>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</si>
  <si>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</si>
  <si>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</si>
  <si>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</si>
  <si>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</si>
  <si>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</si>
  <si>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</si>
  <si>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</si>
  <si>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</si>
  <si>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</si>
  <si>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</si>
  <si>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</si>
  <si>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</si>
  <si>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</si>
  <si>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</si>
  <si>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</si>
  <si>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</si>
  <si>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</si>
  <si>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</si>
  <si>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</si>
  <si>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</si>
  <si>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</si>
  <si>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</si>
  <si>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</si>
  <si>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</si>
  <si>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</si>
  <si>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</si>
  <si>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</si>
  <si>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</si>
  <si>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</si>
  <si>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</si>
  <si>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</si>
  <si>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</si>
  <si>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</si>
  <si>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</si>
  <si>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</si>
  <si>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</si>
  <si>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</si>
  <si>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</si>
  <si>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</si>
  <si>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</si>
  <si>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</si>
  <si>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</si>
  <si>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</si>
  <si>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</si>
  <si>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</si>
  <si>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</si>
  <si>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</si>
  <si>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</si>
  <si>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</si>
  <si>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</si>
  <si>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</si>
  <si>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</si>
  <si>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CATHERINE RICARD</t>
  </si>
  <si>
    <t>VANESSA CAUCHIE</t>
  </si>
  <si>
    <t>CLAUDINE CARADONNA</t>
  </si>
  <si>
    <t>CORINNE LOGERAIS</t>
  </si>
  <si>
    <t>ISABELLE GUITTI</t>
  </si>
  <si>
    <t>THOMAS ROUSSEL</t>
  </si>
  <si>
    <t>OSCAR CUESTA</t>
  </si>
  <si>
    <t>6:37</t>
  </si>
  <si>
    <t>0:13</t>
  </si>
  <si>
    <t>7:13</t>
  </si>
  <si>
    <t>1:02</t>
  </si>
  <si>
    <t>6:34</t>
  </si>
  <si>
    <t>Excellent and solid performance. See? You can do more games like this. Again, congratulations!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</si>
</sst>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38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38_377_MCO_HTA_E2025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377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46129.8125</v>
      </c>
      <c r="C3" s="157"/>
      <c r="D3" s="39">
        <v>548</v>
      </c>
      <c r="E3" s="29"/>
      <c r="F3" s="26">
        <f>SUBTOTAL(3,I17:I106)</f>
        <v>5</v>
      </c>
      <c r="G3" s="27">
        <f>IF(OR(D3="",D3=0),"",F3/D3)</f>
        <v>9.1240875912408752E-3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AS Monaco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67" t="s">
        <v>762</v>
      </c>
      <c r="N4" s="168"/>
      <c r="O4" s="2"/>
      <c r="P4" s="2"/>
      <c r="Q4" s="84" t="s">
        <v>175</v>
      </c>
      <c r="R4" s="94">
        <f>(IF(G3="",0,G3))</f>
        <v>9.1240875912408752E-3</v>
      </c>
      <c r="S4" s="61">
        <f>SUM(I13:M13)</f>
        <v>0</v>
      </c>
      <c r="T4" s="78"/>
      <c r="U4" s="61">
        <f>AC18</f>
        <v>3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IBI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0.91240875912408748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4.4124087591240873</v>
      </c>
      <c r="N7" s="58"/>
      <c r="O7" s="2"/>
      <c r="P7" s="2"/>
      <c r="Q7" s="86">
        <f>SUM(R5,S5,AC16)</f>
        <v>4.4124087591240873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4.4124087591240873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377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377</v>
      </c>
      <c r="D17" s="32" t="s">
        <v>757</v>
      </c>
      <c r="E17" s="33">
        <v>1</v>
      </c>
      <c r="F17" s="36">
        <v>13</v>
      </c>
      <c r="G17" s="36">
        <v>6</v>
      </c>
      <c r="H17" s="38" t="str">
        <f>IF(I17="","",$I$14)</f>
        <v>SCOUTING</v>
      </c>
      <c r="I17" s="34">
        <v>37</v>
      </c>
      <c r="J17" s="13" t="s">
        <v>4</v>
      </c>
      <c r="K17" s="13" t="s">
        <v>62</v>
      </c>
      <c r="L17" s="13" t="s">
        <v>6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377</v>
      </c>
      <c r="D18" s="32" t="s">
        <v>758</v>
      </c>
      <c r="E18" s="33">
        <v>1</v>
      </c>
      <c r="F18" s="36">
        <v>25</v>
      </c>
      <c r="G18" s="36">
        <v>17</v>
      </c>
      <c r="H18" s="38" t="str">
        <f t="shared" ref="H18:H81" si="8">IF(I18="","",$I$14)</f>
        <v>SCOUTING</v>
      </c>
      <c r="I18" s="34">
        <v>138</v>
      </c>
      <c r="J18" s="13" t="s">
        <v>4</v>
      </c>
      <c r="K18" s="13" t="s">
        <v>62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377</v>
      </c>
      <c r="D19" s="32" t="s">
        <v>759</v>
      </c>
      <c r="E19" s="33">
        <v>3</v>
      </c>
      <c r="F19" s="36">
        <v>64</v>
      </c>
      <c r="G19" s="36">
        <v>43</v>
      </c>
      <c r="H19" s="38" t="str">
        <f t="shared" si="8"/>
        <v>SCOUTING</v>
      </c>
      <c r="I19" s="34">
        <v>314</v>
      </c>
      <c r="J19" s="13" t="s">
        <v>4</v>
      </c>
      <c r="K19" s="13" t="s">
        <v>62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377</v>
      </c>
      <c r="D20" s="32" t="s">
        <v>760</v>
      </c>
      <c r="E20" s="33">
        <v>3</v>
      </c>
      <c r="F20" s="36">
        <v>83</v>
      </c>
      <c r="G20" s="36">
        <v>61</v>
      </c>
      <c r="H20" s="38" t="str">
        <f t="shared" si="8"/>
        <v>SCOUTING</v>
      </c>
      <c r="I20" s="34">
        <v>411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E2025</v>
      </c>
      <c r="C21" s="31">
        <f t="shared" si="3"/>
        <v>377</v>
      </c>
      <c r="D21" s="32" t="s">
        <v>761</v>
      </c>
      <c r="E21" s="33">
        <v>4</v>
      </c>
      <c r="F21" s="36">
        <v>88</v>
      </c>
      <c r="G21" s="36">
        <v>68</v>
      </c>
      <c r="H21" s="38" t="str">
        <f t="shared" si="8"/>
        <v>SCOUTING</v>
      </c>
      <c r="I21" s="34">
        <v>462</v>
      </c>
      <c r="J21" s="13" t="s">
        <v>4</v>
      </c>
      <c r="K21" s="13" t="s">
        <v>63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REPORT_E2025377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"E2025377"</v>
      </c>
      <c r="F3" s="45" t="str">
        <f t="shared" ref="F3:F16" si="0">""""&amp;B3&amp;"""" &amp; " : " &amp;C3&amp;","</f>
        <v>"name" : "E2025377",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"E377"</v>
      </c>
      <c r="F4" s="45" t="str">
        <f t="shared" si="0"/>
        <v>"cod" : "E377",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377</v>
      </c>
      <c r="F6" s="45" t="str">
        <f t="shared" si="0"/>
        <v>"number" : 377,</v>
      </c>
    </row>
    <row r="7" spans="2:6" x14ac:dyDescent="0.25">
      <c r="B7" s="43" t="s">
        <v>116</v>
      </c>
      <c r="C7" s="43" t="str">
        <f ca="1">""""&amp;TEXT('SCOUT &amp; LOGISTICS'!B3,"dd/mm/aaaa")&amp;""""</f>
        <v>"17/04/2026"</v>
      </c>
      <c r="F7" s="45" t="str">
        <f t="shared" ca="1" si="0"/>
        <v>"date" : "17/04/2026",</v>
      </c>
    </row>
    <row r="8" spans="2:6" x14ac:dyDescent="0.25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5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"CATHERINE RICARD"</v>
      </c>
      <c r="F10" s="45" t="str">
        <f t="shared" si="0"/>
        <v>"Data_entry" : "CATHERINE RICARD",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"VANESSA CAUCHIE"</v>
      </c>
      <c r="F11" s="45" t="str">
        <f t="shared" si="0"/>
        <v>"Caller_1" : "VANESSA CAUCHIE",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"CLAUDINE CARADONNA"</v>
      </c>
      <c r="F12" s="45" t="str">
        <f t="shared" si="0"/>
        <v>"Caller_2" : "CLAUDINE CARADONNA",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"CORINNE LOGERAIS"</v>
      </c>
      <c r="F13" s="45" t="str">
        <f t="shared" si="0"/>
        <v>"Timerkeeper" : "CORINNE LOGERAIS",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"ISABELLE GUITTI"</v>
      </c>
      <c r="F14" s="45" t="str">
        <f t="shared" si="0"/>
        <v>"Shotclock" : "ISABELLE GUITTI",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"THOMAS ROUSSEL"</v>
      </c>
      <c r="F15" s="45" t="str">
        <f t="shared" si="0"/>
        <v>"IRS" : "THOMAS ROUSSEL",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548</v>
      </c>
      <c r="F25" s="45" t="str">
        <f t="shared" ref="F25:F48" si="1">""""&amp;C25&amp;"""" &amp; " : " &amp;D25&amp;","</f>
        <v>"total_actions" : 548,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"0,9%"</v>
      </c>
      <c r="F27" s="45" t="str">
        <f t="shared" si="1"/>
        <v>"%_corrections" : "0,9%",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and solid performance. See? You can do more games like this. Again, congratulations!"</v>
      </c>
      <c r="F51" s="45" t="str">
        <f>""""&amp;B51&amp;"""" &amp; " : " &amp;C51&amp;","</f>
        <v>"comments" : "Excellent and solid performance. See? You can do more games like this. Again, congratulations!",</v>
      </c>
    </row>
    <row r="52" spans="2:6" x14ac:dyDescent="0.25">
      <c r="B52" s="43" t="s">
        <v>153</v>
      </c>
      <c r="C52" s="43" t="str">
        <f>TEXT('SCOUT &amp; LOGISTICS'!F1,"0,0")</f>
        <v>38_377_MCO_HTA_E2025</v>
      </c>
      <c r="F52" s="45" t="str">
        <f>""""&amp;B52&amp;"""" &amp; " : " &amp;C52</f>
        <v>"result" : 38_377_MCO_HTA_E2025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E377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17/04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As Monaco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Ibi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CATHERINE RICARD</v>
      </c>
      <c r="C8" s="206"/>
      <c r="D8" s="206"/>
      <c r="E8" s="206"/>
      <c r="F8" s="206"/>
      <c r="G8" s="206" t="str">
        <f>IF('SCOUT &amp; LOGISTICS'!D7="","",'SCOUT &amp; LOGISTICS'!D7)</f>
        <v>VANESSA CAUCHIE</v>
      </c>
      <c r="H8" s="206"/>
      <c r="I8" s="206"/>
      <c r="J8" s="206"/>
      <c r="K8" s="206"/>
      <c r="L8" s="206" t="str">
        <f>IF('SCOUT &amp; LOGISTICS'!D8="","",'SCOUT &amp; LOGISTICS'!D8)</f>
        <v>CLAUDINE CARADONNA</v>
      </c>
      <c r="M8" s="206"/>
      <c r="N8" s="206"/>
      <c r="O8" s="206"/>
      <c r="P8" s="206"/>
      <c r="Q8" s="206" t="str">
        <f>IF('SCOUT &amp; LOGISTICS'!D9="","",'SCOUT &amp; LOGISTICS'!D9)</f>
        <v>CORINNE LOGERAIS</v>
      </c>
      <c r="R8" s="206"/>
      <c r="S8" s="206"/>
      <c r="T8" s="206"/>
      <c r="U8" s="206"/>
      <c r="V8" s="206" t="str">
        <f>IF('SCOUT &amp; LOGISTICS'!D10="","",'SCOUT &amp; LOGISTICS'!D10)</f>
        <v>ISABELLE GUITTI</v>
      </c>
      <c r="W8" s="206"/>
      <c r="X8" s="206"/>
      <c r="Y8" s="206"/>
      <c r="Z8" s="206"/>
      <c r="AA8" s="206" t="str">
        <f>IF('SCOUT &amp; LOGISTICS'!D11="","",'SCOUT &amp; LOGISTICS'!D11)</f>
        <v>THOMAS ROUSSEL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548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9.1240875912408752E-3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Excellent and solid performance. See? You can do more games like this. Again, congratulations!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4.4124087591240873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CBC6C57-6A9B-4F7F-A644-A6867980437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2026-04-17T20:03:08Z</cp:lastPrinted>
  <dcterms:created xsi:type="dcterms:W3CDTF">2023-09-19T19:50:35Z</dcterms:created>
  <dcterms:modified xsi:type="dcterms:W3CDTF">2026-04-17T20:03:14Z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