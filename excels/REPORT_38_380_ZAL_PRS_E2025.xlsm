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34" documentId="8_{F707F330-BFDD-4265-B052-FAD21737E23B}" xr6:coauthVersionLast="47" xr6:coauthVersionMax="47" xr10:uidLastSave="{4F3504C9-C4FD-4907-9136-C5EA7A729B40}"/>
  <bookViews>
    <workbookView xWindow="-28920" yWindow="-207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<sst xmlns="http://schemas.openxmlformats.org/spreadsheetml/2006/main" count="3255" uniqueCount="761">
  <si>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</si>
  <si>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</si>
  <si>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</si>
  <si>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</si>
  <si>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</si>
  <si>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</si>
  <si>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</si>
  <si>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</si>
  <si>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</si>
  <si>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</si>
  <si>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</si>
  <si>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</si>
  <si>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</si>
  <si>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</si>
  <si>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</si>
  <si>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</si>
  <si>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</si>
  <si>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</si>
  <si>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</si>
  <si>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</si>
  <si>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</si>
  <si>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</si>
  <si>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</si>
  <si>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</si>
  <si>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</si>
  <si>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</si>
  <si>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</si>
  <si>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</si>
  <si>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</si>
  <si>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</si>
  <si>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</si>
  <si>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</si>
  <si>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</si>
  <si>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</si>
  <si>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</si>
  <si>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</si>
  <si>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</si>
  <si>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</si>
  <si>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</si>
  <si>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</si>
  <si>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</si>
  <si>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</si>
  <si>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</si>
  <si>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</si>
  <si>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</si>
  <si>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</si>
  <si>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</si>
  <si>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</si>
  <si>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</si>
  <si>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</si>
  <si>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</si>
  <si>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</si>
  <si>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</si>
  <si>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</si>
  <si>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</si>
  <si>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</si>
  <si>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</si>
  <si>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</si>
  <si>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</si>
  <si>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</si>
  <si>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</si>
  <si>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</si>
  <si>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</si>
  <si>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</si>
  <si>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</si>
  <si>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</si>
  <si>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</si>
  <si>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</si>
  <si>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</si>
  <si>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</si>
  <si>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</si>
  <si>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</si>
  <si>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</si>
  <si>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</si>
  <si>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</si>
  <si>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</si>
  <si>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</si>
  <si>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</si>
  <si>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</si>
  <si>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</si>
  <si>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</si>
  <si>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</si>
  <si>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</si>
  <si>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</si>
  <si>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</si>
  <si>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</si>
  <si>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</si>
  <si>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</si>
  <si>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</si>
  <si>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</si>
  <si>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</si>
  <si>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</si>
  <si>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</si>
  <si>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</si>
  <si>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</si>
  <si>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</si>
  <si>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</si>
  <si>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</si>
  <si>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</si>
  <si>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</si>
  <si>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</si>
  <si>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</si>
  <si>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</si>
  <si>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</si>
  <si>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</si>
  <si>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</si>
  <si>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</si>
  <si>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</si>
  <si>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</si>
  <si>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</si>
  <si>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</si>
  <si>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</si>
  <si>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</si>
  <si>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</si>
  <si>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</si>
  <si>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</si>
  <si>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</si>
  <si>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</si>
  <si>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</si>
  <si>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</si>
  <si>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</si>
  <si>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</si>
  <si>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</si>
  <si>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</si>
  <si>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</si>
  <si>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</si>
  <si>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</si>
  <si>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</si>
  <si>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</si>
  <si>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</si>
  <si>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</si>
  <si>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</si>
  <si>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</si>
  <si>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</si>
  <si>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</si>
  <si>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</si>
  <si>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</si>
  <si>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</si>
  <si>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</si>
  <si>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</si>
  <si>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</si>
  <si>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</si>
  <si>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</si>
  <si>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</si>
  <si>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</si>
  <si>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</si>
  <si>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</si>
  <si>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</si>
  <si>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</si>
  <si>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</si>
  <si>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</si>
  <si>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</si>
  <si>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</si>
  <si>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</si>
  <si>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</si>
  <si>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</si>
  <si>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</si>
  <si>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</si>
  <si>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</si>
  <si>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</si>
  <si>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</si>
  <si>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</si>
  <si>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</si>
  <si>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</si>
  <si>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</si>
  <si>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</si>
  <si>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</si>
  <si>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</si>
  <si>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</si>
  <si>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</si>
  <si>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</si>
  <si>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</si>
  <si>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</si>
  <si>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</si>
  <si>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</si>
  <si>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</si>
  <si>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</si>
  <si>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</si>
  <si>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</si>
  <si>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</si>
  <si>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</si>
  <si>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</si>
  <si>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</si>
  <si>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</si>
  <si>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</si>
  <si>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</si>
  <si>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</si>
  <si>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</si>
  <si>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</si>
  <si>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</si>
  <si>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</si>
  <si>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</si>
  <si>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</si>
  <si>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</si>
  <si>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</si>
  <si>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</si>
  <si>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</si>
  <si>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</si>
  <si>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</si>
  <si>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</si>
  <si>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</si>
  <si>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</si>
  <si>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</si>
  <si>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</si>
  <si>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</si>
  <si>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</si>
  <si>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</si>
  <si>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</si>
  <si>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</si>
  <si>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</si>
  <si>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</si>
  <si>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</si>
  <si>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</si>
  <si>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</si>
  <si>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</si>
  <si>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</si>
  <si>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</si>
  <si>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</si>
  <si>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</si>
  <si>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</si>
  <si>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</si>
  <si>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</si>
  <si>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</si>
  <si>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</si>
  <si>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</si>
  <si>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</si>
  <si>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</si>
  <si>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</si>
  <si>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</si>
  <si>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</si>
  <si>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</si>
  <si>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</si>
  <si>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</si>
  <si>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</si>
  <si>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</si>
  <si>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</si>
  <si>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</si>
  <si>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</si>
  <si>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</si>
  <si>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</si>
  <si>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</si>
  <si>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</si>
  <si>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</si>
  <si>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</si>
  <si>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</si>
  <si>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</si>
  <si>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</si>
  <si>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</si>
  <si>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</si>
  <si>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</si>
  <si>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</si>
  <si>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</si>
  <si>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</si>
  <si>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</si>
  <si>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</si>
  <si>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</si>
  <si>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</si>
  <si>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</si>
  <si>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</si>
  <si>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</si>
  <si>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</si>
  <si>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</si>
  <si>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</si>
  <si>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</si>
  <si>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</si>
  <si>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</si>
  <si>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</si>
  <si>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</si>
  <si>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</si>
  <si>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</si>
  <si>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</si>
  <si>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</si>
  <si>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</si>
  <si>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</si>
  <si>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</si>
  <si>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</si>
  <si>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</si>
  <si>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</si>
  <si>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</si>
  <si>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</si>
  <si>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</si>
  <si>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</si>
  <si>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</si>
  <si>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</si>
  <si>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</si>
  <si>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</si>
  <si>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</si>
  <si>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</si>
  <si>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</si>
  <si>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</si>
  <si>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</si>
  <si>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</si>
  <si>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</si>
  <si>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</si>
  <si>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</si>
  <si>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</si>
  <si>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</si>
  <si>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</si>
  <si>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</si>
  <si>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</si>
  <si>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</si>
  <si>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</si>
  <si>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</si>
  <si>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</si>
  <si>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</si>
  <si>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</si>
  <si>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</si>
  <si>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</si>
  <si>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</si>
  <si>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</si>
  <si>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</si>
  <si>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</si>
  <si>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</si>
  <si>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</si>
  <si>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</si>
  <si>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</si>
  <si>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</si>
  <si>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</si>
  <si>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</si>
  <si>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</si>
  <si>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</si>
  <si>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</si>
  <si>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</si>
  <si>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</si>
  <si>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</si>
  <si>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</si>
  <si>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</si>
  <si>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</si>
  <si>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</si>
  <si>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</si>
  <si>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</si>
  <si>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</si>
  <si>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</si>
  <si>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</si>
  <si>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</si>
  <si>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</si>
  <si>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</si>
  <si>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</si>
  <si>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</si>
  <si>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</si>
  <si>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</si>
  <si>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</si>
  <si>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</si>
  <si>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</si>
  <si>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</si>
  <si>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</si>
  <si>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</si>
  <si>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</si>
  <si>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</si>
  <si>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</si>
  <si>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</si>
  <si>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</si>
  <si>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</si>
  <si>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</si>
  <si>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</si>
  <si>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</si>
  <si>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</si>
  <si>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</si>
  <si>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</si>
  <si>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</si>
  <si>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</si>
  <si>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</si>
  <si>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</si>
  <si>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</si>
  <si>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</si>
  <si>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</si>
  <si>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</si>
  <si>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</si>
  <si>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</si>
  <si>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</si>
  <si>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</si>
  <si>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</si>
  <si>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</si>
  <si>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</si>
  <si>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</si>
  <si>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</si>
  <si>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</si>
  <si>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</si>
  <si>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</si>
  <si>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</si>
  <si>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</si>
  <si>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</si>
  <si>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</si>
  <si>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</si>
  <si>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</si>
  <si>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</si>
  <si>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</si>
  <si>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</si>
  <si>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</si>
  <si>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</si>
  <si>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</si>
  <si>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</si>
  <si>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</si>
  <si>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</si>
  <si>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</si>
  <si>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</si>
  <si>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</si>
  <si>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</si>
  <si>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</si>
  <si>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</si>
  <si>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</si>
  <si>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</si>
  <si>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</si>
  <si>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</si>
  <si>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</si>
  <si>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</si>
  <si>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</si>
  <si>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</si>
  <si>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</si>
  <si>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</si>
  <si>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</si>
  <si>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</si>
  <si>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</si>
  <si>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</si>
  <si>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</si>
  <si>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</si>
  <si>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</si>
  <si>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</si>
  <si>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</si>
  <si>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</si>
  <si>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</si>
  <si>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</si>
  <si>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</si>
  <si>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</si>
  <si>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</si>
  <si>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</si>
  <si>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</si>
  <si>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</si>
  <si>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</si>
  <si>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</si>
  <si>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</si>
  <si>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</si>
  <si>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</si>
  <si>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</si>
  <si>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</si>
  <si>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</si>
  <si>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</si>
  <si>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</si>
  <si>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</si>
  <si>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</si>
  <si>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</si>
  <si>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</si>
  <si>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</si>
  <si>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</si>
  <si>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</si>
  <si>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</si>
  <si>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</si>
  <si>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</si>
  <si>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</si>
  <si>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</si>
  <si>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</si>
  <si>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</si>
  <si>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</si>
  <si>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</si>
  <si>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</si>
  <si>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</si>
  <si>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</si>
  <si>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</si>
  <si>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</si>
  <si>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</si>
  <si>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</si>
  <si>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</si>
  <si>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</si>
  <si>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</si>
  <si>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</si>
  <si>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</si>
  <si>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</si>
  <si>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</si>
  <si>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</si>
  <si>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</si>
  <si>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</si>
  <si>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</si>
  <si>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</si>
  <si>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</si>
  <si>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</si>
  <si>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</si>
  <si>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</si>
  <si>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</si>
  <si>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</si>
  <si>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</si>
  <si>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</si>
  <si>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</si>
  <si>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</si>
  <si>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</si>
  <si>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</si>
  <si>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</si>
  <si>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</si>
  <si>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</si>
  <si>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</si>
  <si>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</si>
  <si>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</si>
  <si>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</si>
  <si>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</si>
  <si>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</si>
  <si>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</si>
  <si>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</si>
  <si>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</si>
  <si>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</si>
  <si>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</si>
  <si>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</si>
  <si>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</si>
  <si>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</si>
  <si>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</si>
  <si>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</si>
  <si>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</si>
  <si>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</si>
  <si>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</si>
  <si>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</si>
  <si>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</si>
  <si>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</si>
  <si>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</si>
  <si>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</si>
  <si>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</si>
  <si>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</si>
  <si>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</si>
  <si>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</si>
  <si>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</si>
  <si>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</si>
  <si>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</si>
  <si>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</si>
  <si>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</si>
  <si>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</si>
  <si>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</si>
  <si>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</si>
  <si>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</si>
  <si>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</si>
  <si>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</si>
  <si>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</si>
  <si>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</si>
  <si>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</si>
  <si>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</si>
  <si>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</si>
  <si>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</si>
  <si>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</si>
  <si>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</si>
  <si>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</si>
  <si>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</si>
  <si>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</si>
  <si>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</si>
  <si>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</si>
  <si>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</si>
  <si>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</si>
  <si>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</si>
  <si>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</si>
  <si>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</si>
  <si>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</si>
  <si>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</si>
  <si>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</si>
  <si>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</si>
  <si>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</si>
  <si>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</si>
  <si>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</si>
  <si>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</si>
  <si>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</si>
  <si>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</si>
  <si>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</si>
  <si>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</si>
  <si>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</si>
  <si>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</si>
  <si>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</si>
  <si>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</si>
  <si>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</si>
  <si>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</si>
  <si>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</si>
  <si>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</si>
  <si>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</si>
  <si>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</si>
  <si>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</si>
  <si>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</si>
  <si>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</si>
  <si>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</si>
  <si>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</si>
  <si>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</si>
  <si>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</si>
  <si>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</si>
  <si>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</si>
  <si>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</si>
  <si>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</si>
  <si>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</si>
  <si>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</si>
  <si>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</si>
  <si>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</si>
  <si>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</si>
  <si>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</si>
  <si>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</si>
  <si>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</si>
  <si>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</si>
  <si>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</si>
  <si>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</si>
  <si>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</si>
  <si>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</si>
  <si>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</si>
  <si>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</si>
  <si>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</si>
  <si>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</si>
  <si>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</si>
  <si>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</si>
  <si>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</si>
  <si>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</si>
  <si>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</si>
  <si>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</si>
  <si>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</si>
  <si>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</si>
  <si>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</si>
  <si>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</si>
  <si>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</si>
  <si>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</si>
  <si>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</si>
  <si>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</si>
  <si>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</si>
  <si>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</si>
  <si>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</si>
  <si>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</si>
  <si>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</si>
  <si>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</si>
  <si>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</si>
  <si>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</si>
  <si>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</si>
  <si>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</si>
  <si>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</si>
  <si>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</si>
  <si>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</si>
  <si>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</si>
  <si>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</si>
  <si>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</si>
  <si>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</si>
  <si>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</si>
  <si>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</si>
  <si>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</si>
  <si>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</si>
  <si>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</si>
  <si>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</si>
  <si>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</si>
  <si>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</si>
  <si>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</si>
  <si>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</si>
  <si>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</si>
  <si>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</si>
  <si>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</si>
  <si>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</si>
  <si>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</si>
  <si>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</si>
  <si>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</si>
  <si>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</si>
  <si>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</si>
  <si>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</si>
  <si>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</si>
  <si>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</si>
  <si>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</si>
  <si>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</si>
  <si>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</si>
  <si>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</si>
  <si>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</si>
  <si>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</si>
  <si>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</si>
  <si>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</si>
  <si>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</si>
  <si>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</si>
  <si>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</si>
  <si>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</si>
  <si>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</si>
  <si>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</si>
  <si>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</si>
  <si>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</si>
  <si>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</si>
  <si>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</si>
  <si>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</si>
  <si>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</si>
  <si>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</si>
  <si>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</si>
  <si>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</si>
  <si>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</si>
  <si>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</si>
  <si>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</si>
  <si>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</si>
  <si>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</si>
  <si>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</si>
  <si>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</si>
  <si>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</si>
  <si>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</si>
  <si>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</si>
  <si>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</si>
  <si>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</si>
  <si>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</si>
  <si>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</si>
  <si>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</si>
  <si>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</si>
  <si>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</si>
  <si>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</si>
  <si>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</si>
  <si>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</si>
  <si>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</si>
  <si>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</si>
  <si>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</si>
  <si>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</si>
  <si>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</si>
  <si>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</si>
  <si>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</si>
  <si>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</si>
  <si>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</si>
  <si>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</si>
  <si>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</si>
  <si>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</si>
  <si>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</si>
  <si>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</si>
  <si>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</si>
  <si>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</si>
  <si>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</si>
  <si>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</si>
  <si>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</si>
  <si>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</si>
  <si>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</si>
  <si>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</si>
  <si>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</si>
  <si>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</si>
  <si>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</si>
  <si>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</si>
  <si>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</si>
  <si>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</si>
  <si>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</si>
  <si>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</si>
  <si>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</si>
  <si>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</si>
  <si>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</si>
  <si>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</si>
  <si>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</si>
  <si>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</si>
  <si>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</si>
  <si>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</si>
  <si>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</si>
  <si>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</si>
  <si>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</si>
  <si>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</si>
  <si>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</si>
  <si>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</si>
  <si>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</si>
  <si>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</si>
  <si>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</si>
  <si>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</si>
  <si>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</si>
  <si>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</si>
  <si>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</si>
  <si>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</si>
  <si>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</si>
  <si>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</si>
  <si>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</si>
  <si>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</si>
  <si>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</si>
  <si>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</si>
  <si>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</si>
  <si>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GIEDRE GARCINSKAITE</t>
  </si>
  <si>
    <t>RASA KIZIKAITE</t>
  </si>
  <si>
    <t>AUKSE ZAKRIENE</t>
  </si>
  <si>
    <t>VYTAUTAS RUDZEVICIUS</t>
  </si>
  <si>
    <t>NERIJUS MAINONIS</t>
  </si>
  <si>
    <t>MINDAUGAS RUDZEVICIUS</t>
  </si>
  <si>
    <t>ORIOL GARCIA</t>
  </si>
  <si>
    <t>08:16</t>
  </si>
  <si>
    <t>01:59</t>
  </si>
  <si>
    <t>Good scouting with a perfect second half. Good communication sharing IR videos to analyze better, but remember to tell us any modification you decide to make by yourselfs.</t>
  </si>
  <si>
    <t>C:\Users\oriol.garcia\OneDrive - EUROLEAGUE\Documents\Season 25-26\Reports\Euroleague\Zalgiris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</si>
</sst>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6" sqref="N3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38_380_ZAL_PRS_E2025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380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46129.833333333336</v>
      </c>
      <c r="C3" s="157"/>
      <c r="D3" s="39">
        <v>661</v>
      </c>
      <c r="E3" s="29"/>
      <c r="F3" s="26">
        <f>SUBTOTAL(3,I17:I106)</f>
        <v>2</v>
      </c>
      <c r="G3" s="27">
        <f>IF(OR(D3="",D3=0),"",F3/D3)</f>
        <v>3.0257186081694403E-3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Zalgiris Kaunas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3.0257186081694403E-3</v>
      </c>
      <c r="S4" s="61">
        <f>SUM(I13:M13)</f>
        <v>2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Paris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0.30257186081694404</v>
      </c>
      <c r="S5" s="70">
        <f t="shared" ref="S5" si="0">S4*S3</f>
        <v>2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3.3025718608169439</v>
      </c>
      <c r="N7" s="58"/>
      <c r="O7" s="2"/>
      <c r="P7" s="2"/>
      <c r="Q7" s="86">
        <f>SUM(R5,S5,AC16)</f>
        <v>3.3025718608169439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3.3025718608169439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380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380</v>
      </c>
      <c r="D17" s="32" t="s">
        <v>757</v>
      </c>
      <c r="E17" s="33">
        <v>1</v>
      </c>
      <c r="F17" s="36">
        <v>5</v>
      </c>
      <c r="G17" s="36">
        <v>6</v>
      </c>
      <c r="H17" s="38" t="str">
        <f>IF(I17="","",$I$14)</f>
        <v>SCOUTING</v>
      </c>
      <c r="I17" s="34">
        <v>23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380</v>
      </c>
      <c r="D18" s="32" t="s">
        <v>758</v>
      </c>
      <c r="E18" s="33">
        <v>1</v>
      </c>
      <c r="F18" s="36">
        <v>23</v>
      </c>
      <c r="G18" s="36">
        <v>24</v>
      </c>
      <c r="H18" s="38" t="str">
        <f t="shared" ref="H18:H81" si="8">IF(I18="","",$I$14)</f>
        <v>SCOUTING</v>
      </c>
      <c r="I18" s="34">
        <v>143</v>
      </c>
      <c r="J18" s="13" t="s">
        <v>4</v>
      </c>
      <c r="K18" s="13" t="s">
        <v>63</v>
      </c>
      <c r="L18" s="13" t="s">
        <v>5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REPORT_E2025380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"E2025380"</v>
      </c>
      <c r="F3" s="45" t="str">
        <f t="shared" ref="F3:F16" si="0">""""&amp;B3&amp;"""" &amp; " : " &amp;C3&amp;","</f>
        <v>"name" : "E2025380",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"E380"</v>
      </c>
      <c r="F4" s="45" t="str">
        <f t="shared" si="0"/>
        <v>"cod" : "E380",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380</v>
      </c>
      <c r="F6" s="45" t="str">
        <f t="shared" si="0"/>
        <v>"number" : 380,</v>
      </c>
    </row>
    <row r="7" spans="2:6" x14ac:dyDescent="0.25">
      <c r="B7" s="43" t="s">
        <v>116</v>
      </c>
      <c r="C7" s="43" t="str">
        <f ca="1">""""&amp;TEXT('SCOUT &amp; LOGISTICS'!B3,"dd/mm/aaaa")&amp;""""</f>
        <v>"17/04/Friday"</v>
      </c>
      <c r="F7" s="45" t="str">
        <f t="shared" ca="1" si="0"/>
        <v>"date" : "17/04/Friday",</v>
      </c>
    </row>
    <row r="8" spans="2:6" x14ac:dyDescent="0.25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5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"VYTAUTAS RUDZEVICIUS"</v>
      </c>
      <c r="F13" s="45" t="str">
        <f t="shared" si="0"/>
        <v>"Timerkeeper" : "VYTAUTAS RUDZEVICIUS",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661</v>
      </c>
      <c r="F25" s="45" t="str">
        <f t="shared" ref="F25:F48" si="1">""""&amp;C25&amp;"""" &amp; " : " &amp;D25&amp;","</f>
        <v>"total_actions" : 661,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scouting with a perfect second half. Good communication sharing IR videos to analyze better, but remember to tell us any modification you decide to make by yourselfs."</v>
      </c>
      <c r="F51" s="45" t="str">
        <f>""""&amp;B51&amp;"""" &amp; " : " &amp;C51&amp;","</f>
        <v>"comments" : "Good scouting with a perfect second half. Good communication sharing IR videos to analyze better, but remember to tell us any modification you decide to make by yourselfs.",</v>
      </c>
    </row>
    <row r="52" spans="2:6" x14ac:dyDescent="0.25">
      <c r="B52" s="43" t="s">
        <v>153</v>
      </c>
      <c r="C52" s="43" t="str">
        <f>TEXT('SCOUT &amp; LOGISTICS'!F1,"0,0")</f>
        <v>38_380_ZAL_PRS_E2025</v>
      </c>
      <c r="F52" s="45" t="str">
        <f>""""&amp;B52&amp;"""" &amp; " : " &amp;C52</f>
        <v>"result" : 38_380_ZAL_PRS_E2025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E380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17/04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Zalgiris Kaunas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Paris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GIEDRE GARCINSKAITE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VYTAUTAS RUDZEVICIUS</v>
      </c>
      <c r="R8" s="206"/>
      <c r="S8" s="206"/>
      <c r="T8" s="206"/>
      <c r="U8" s="206"/>
      <c r="V8" s="206" t="str">
        <f>IF('SCOUT &amp; LOGISTICS'!D10="","",'SCOUT &amp; LOGISTICS'!D10)</f>
        <v>MINDAUGAS RUDZEVICIUS</v>
      </c>
      <c r="W8" s="206"/>
      <c r="X8" s="206"/>
      <c r="Y8" s="206"/>
      <c r="Z8" s="206"/>
      <c r="AA8" s="206" t="str">
        <f>IF('SCOUT &amp; LOGISTICS'!D11="","",'SCOUT &amp; LOGISTICS'!D11)</f>
        <v>NERIJUS MAINONIS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OK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661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3.0257186081694403E-3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Good scouting with a perfect second half. Good communication sharing IR videos to analyze better, but remember to tell us any modification you decide to make by yourselfs.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3.3025718608169439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2EDA9B-E771-489D-9952-7BBA294DDB8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2026-04-17T19:18:47Z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